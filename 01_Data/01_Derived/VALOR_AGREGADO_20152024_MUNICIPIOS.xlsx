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 Provincias\Proyecto datos y tablas\01_Data\01_Derived\"/>
    </mc:Choice>
  </mc:AlternateContent>
  <xr:revisionPtr revIDLastSave="0" documentId="8_{364EC4C7-8829-4CF1-B651-97E93E2F939D}" xr6:coauthVersionLast="47" xr6:coauthVersionMax="47" xr10:uidLastSave="{00000000-0000-0000-0000-000000000000}"/>
  <bookViews>
    <workbookView xWindow="-120" yWindow="-120" windowWidth="29040" windowHeight="15720" xr2:uid="{D7D91538-6A6E-4FE8-B8C1-0DFB07E0EB47}"/>
  </bookViews>
  <sheets>
    <sheet name="PIB Mpal 2015-2024 Cons" sheetId="1" r:id="rId1"/>
  </sheets>
  <externalReferences>
    <externalReference r:id="rId2"/>
  </externalReferences>
  <definedNames>
    <definedName name="_xlnm._FilterDatabase" localSheetId="0" hidden="1">'PIB Mpal 2015-2024 Cons'!$A$4:$AC$1264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64" i="1" l="1"/>
  <c r="AB1264" i="1"/>
  <c r="AA1264" i="1"/>
  <c r="Z1264" i="1"/>
  <c r="AC1263" i="1"/>
  <c r="AB1263" i="1"/>
  <c r="AA1263" i="1"/>
  <c r="Z1263" i="1"/>
  <c r="AC1262" i="1"/>
  <c r="AB1262" i="1"/>
  <c r="AA1262" i="1"/>
  <c r="Z1262" i="1"/>
  <c r="AC1261" i="1"/>
  <c r="AB1261" i="1"/>
  <c r="AA1261" i="1"/>
  <c r="Z1261" i="1"/>
  <c r="AC1260" i="1"/>
  <c r="AB1260" i="1"/>
  <c r="AA1260" i="1"/>
  <c r="Z1260" i="1"/>
  <c r="AC1259" i="1"/>
  <c r="AB1259" i="1"/>
  <c r="AA1259" i="1"/>
  <c r="Z1259" i="1"/>
  <c r="AC1258" i="1"/>
  <c r="AB1258" i="1"/>
  <c r="AA1258" i="1"/>
  <c r="Z1258" i="1"/>
  <c r="AC1257" i="1"/>
  <c r="AB1257" i="1"/>
  <c r="AA1257" i="1"/>
  <c r="Z1257" i="1"/>
  <c r="AC1256" i="1"/>
  <c r="AB1256" i="1"/>
  <c r="AA1256" i="1"/>
  <c r="Z1256" i="1"/>
  <c r="AC1255" i="1"/>
  <c r="AB1255" i="1"/>
  <c r="AA1255" i="1"/>
  <c r="Z1255" i="1"/>
  <c r="AC1254" i="1"/>
  <c r="AB1254" i="1"/>
  <c r="AA1254" i="1"/>
  <c r="Z1254" i="1"/>
  <c r="AC1253" i="1"/>
  <c r="AB1253" i="1"/>
  <c r="AA1253" i="1"/>
  <c r="Z1253" i="1"/>
  <c r="AC1252" i="1"/>
  <c r="AB1252" i="1"/>
  <c r="AA1252" i="1"/>
  <c r="Z1252" i="1"/>
  <c r="AC1251" i="1"/>
  <c r="AB1251" i="1"/>
  <c r="AA1251" i="1"/>
  <c r="Z1251" i="1"/>
  <c r="AC1250" i="1"/>
  <c r="AB1250" i="1"/>
  <c r="AA1250" i="1"/>
  <c r="Z1250" i="1"/>
  <c r="AC1249" i="1"/>
  <c r="AB1249" i="1"/>
  <c r="AA1249" i="1"/>
  <c r="Z1249" i="1"/>
  <c r="AC1248" i="1"/>
  <c r="AB1248" i="1"/>
  <c r="AA1248" i="1"/>
  <c r="Z1248" i="1"/>
  <c r="AC1247" i="1"/>
  <c r="AB1247" i="1"/>
  <c r="AA1247" i="1"/>
  <c r="Z1247" i="1"/>
  <c r="AC1246" i="1"/>
  <c r="AB1246" i="1"/>
  <c r="AA1246" i="1"/>
  <c r="Z1246" i="1"/>
  <c r="AC1245" i="1"/>
  <c r="AB1245" i="1"/>
  <c r="AA1245" i="1"/>
  <c r="Z1245" i="1"/>
  <c r="AC1244" i="1"/>
  <c r="AB1244" i="1"/>
  <c r="AA1244" i="1"/>
  <c r="Z1244" i="1"/>
  <c r="AC1243" i="1"/>
  <c r="AB1243" i="1"/>
  <c r="AA1243" i="1"/>
  <c r="Z1243" i="1"/>
  <c r="AC1242" i="1"/>
  <c r="AB1242" i="1"/>
  <c r="AA1242" i="1"/>
  <c r="Z1242" i="1"/>
  <c r="AC1241" i="1"/>
  <c r="AB1241" i="1"/>
  <c r="AA1241" i="1"/>
  <c r="Z1241" i="1"/>
  <c r="AC1240" i="1"/>
  <c r="AB1240" i="1"/>
  <c r="AA1240" i="1"/>
  <c r="Z1240" i="1"/>
  <c r="AC1239" i="1"/>
  <c r="AB1239" i="1"/>
  <c r="AA1239" i="1"/>
  <c r="Z1239" i="1"/>
  <c r="AC1238" i="1"/>
  <c r="AB1238" i="1"/>
  <c r="AA1238" i="1"/>
  <c r="Z1238" i="1"/>
  <c r="AC1237" i="1"/>
  <c r="AB1237" i="1"/>
  <c r="AA1237" i="1"/>
  <c r="Z1237" i="1"/>
  <c r="AC1236" i="1"/>
  <c r="AB1236" i="1"/>
  <c r="AA1236" i="1"/>
  <c r="Z1236" i="1"/>
  <c r="AC1235" i="1"/>
  <c r="AB1235" i="1"/>
  <c r="AA1235" i="1"/>
  <c r="Z1235" i="1"/>
  <c r="AC1234" i="1"/>
  <c r="AB1234" i="1"/>
  <c r="AA1234" i="1"/>
  <c r="Z1234" i="1"/>
  <c r="AC1233" i="1"/>
  <c r="AB1233" i="1"/>
  <c r="AA1233" i="1"/>
  <c r="Z1233" i="1"/>
  <c r="AC1232" i="1"/>
  <c r="AB1232" i="1"/>
  <c r="AA1232" i="1"/>
  <c r="Z1232" i="1"/>
  <c r="AC1231" i="1"/>
  <c r="AB1231" i="1"/>
  <c r="AA1231" i="1"/>
  <c r="Z1231" i="1"/>
  <c r="AC1230" i="1"/>
  <c r="AB1230" i="1"/>
  <c r="AA1230" i="1"/>
  <c r="Z1230" i="1"/>
  <c r="AC1229" i="1"/>
  <c r="AB1229" i="1"/>
  <c r="AA1229" i="1"/>
  <c r="Z1229" i="1"/>
  <c r="AC1228" i="1"/>
  <c r="AB1228" i="1"/>
  <c r="AA1228" i="1"/>
  <c r="Z1228" i="1"/>
  <c r="AC1227" i="1"/>
  <c r="AB1227" i="1"/>
  <c r="AA1227" i="1"/>
  <c r="Z1227" i="1"/>
  <c r="AC1226" i="1"/>
  <c r="AB1226" i="1"/>
  <c r="AA1226" i="1"/>
  <c r="Z1226" i="1"/>
  <c r="AC1225" i="1"/>
  <c r="AB1225" i="1"/>
  <c r="AA1225" i="1"/>
  <c r="Z1225" i="1"/>
  <c r="AC1224" i="1"/>
  <c r="AB1224" i="1"/>
  <c r="AA1224" i="1"/>
  <c r="Z1224" i="1"/>
  <c r="AC1223" i="1"/>
  <c r="AB1223" i="1"/>
  <c r="AA1223" i="1"/>
  <c r="Z1223" i="1"/>
  <c r="AC1222" i="1"/>
  <c r="AB1222" i="1"/>
  <c r="AA1222" i="1"/>
  <c r="Z1222" i="1"/>
  <c r="AC1221" i="1"/>
  <c r="AB1221" i="1"/>
  <c r="AA1221" i="1"/>
  <c r="Z1221" i="1"/>
  <c r="AC1220" i="1"/>
  <c r="AB1220" i="1"/>
  <c r="AA1220" i="1"/>
  <c r="Z1220" i="1"/>
  <c r="AC1219" i="1"/>
  <c r="AB1219" i="1"/>
  <c r="AA1219" i="1"/>
  <c r="Z1219" i="1"/>
  <c r="AC1218" i="1"/>
  <c r="AB1218" i="1"/>
  <c r="AA1218" i="1"/>
  <c r="Z1218" i="1"/>
  <c r="AC1217" i="1"/>
  <c r="AB1217" i="1"/>
  <c r="AA1217" i="1"/>
  <c r="Z1217" i="1"/>
  <c r="AC1216" i="1"/>
  <c r="AB1216" i="1"/>
  <c r="AA1216" i="1"/>
  <c r="Z1216" i="1"/>
  <c r="AC1215" i="1"/>
  <c r="AB1215" i="1"/>
  <c r="AA1215" i="1"/>
  <c r="Z1215" i="1"/>
  <c r="AC1214" i="1"/>
  <c r="AB1214" i="1"/>
  <c r="AA1214" i="1"/>
  <c r="Z1214" i="1"/>
  <c r="AC1213" i="1"/>
  <c r="AB1213" i="1"/>
  <c r="AA1213" i="1"/>
  <c r="Z1213" i="1"/>
  <c r="AC1212" i="1"/>
  <c r="AB1212" i="1"/>
  <c r="AA1212" i="1"/>
  <c r="Z1212" i="1"/>
  <c r="AC1211" i="1"/>
  <c r="AB1211" i="1"/>
  <c r="AA1211" i="1"/>
  <c r="Z1211" i="1"/>
  <c r="AC1210" i="1"/>
  <c r="AB1210" i="1"/>
  <c r="AA1210" i="1"/>
  <c r="Z1210" i="1"/>
  <c r="AC1209" i="1"/>
  <c r="AB1209" i="1"/>
  <c r="AA1209" i="1"/>
  <c r="Z1209" i="1"/>
  <c r="AC1208" i="1"/>
  <c r="AB1208" i="1"/>
  <c r="AA1208" i="1"/>
  <c r="Z1208" i="1"/>
  <c r="AC1207" i="1"/>
  <c r="AB1207" i="1"/>
  <c r="AA1207" i="1"/>
  <c r="Z1207" i="1"/>
  <c r="AC1206" i="1"/>
  <c r="AB1206" i="1"/>
  <c r="AA1206" i="1"/>
  <c r="Z1206" i="1"/>
  <c r="AC1205" i="1"/>
  <c r="AB1205" i="1"/>
  <c r="AA1205" i="1"/>
  <c r="Z1205" i="1"/>
  <c r="AC1204" i="1"/>
  <c r="AB1204" i="1"/>
  <c r="AA1204" i="1"/>
  <c r="Z1204" i="1"/>
  <c r="AC1203" i="1"/>
  <c r="AB1203" i="1"/>
  <c r="AA1203" i="1"/>
  <c r="Z1203" i="1"/>
  <c r="AC1202" i="1"/>
  <c r="AB1202" i="1"/>
  <c r="AA1202" i="1"/>
  <c r="Z1202" i="1"/>
  <c r="AC1201" i="1"/>
  <c r="AB1201" i="1"/>
  <c r="AA1201" i="1"/>
  <c r="Z1201" i="1"/>
  <c r="AC1200" i="1"/>
  <c r="AB1200" i="1"/>
  <c r="AA1200" i="1"/>
  <c r="Z1200" i="1"/>
  <c r="AC1199" i="1"/>
  <c r="AB1199" i="1"/>
  <c r="AA1199" i="1"/>
  <c r="Z1199" i="1"/>
  <c r="AC1198" i="1"/>
  <c r="AB1198" i="1"/>
  <c r="AA1198" i="1"/>
  <c r="Z1198" i="1"/>
  <c r="AC1197" i="1"/>
  <c r="AB1197" i="1"/>
  <c r="AA1197" i="1"/>
  <c r="Z1197" i="1"/>
  <c r="AC1196" i="1"/>
  <c r="AB1196" i="1"/>
  <c r="AA1196" i="1"/>
  <c r="Z1196" i="1"/>
  <c r="AC1195" i="1"/>
  <c r="AB1195" i="1"/>
  <c r="AA1195" i="1"/>
  <c r="Z1195" i="1"/>
  <c r="AC1194" i="1"/>
  <c r="AB1194" i="1"/>
  <c r="AA1194" i="1"/>
  <c r="Z1194" i="1"/>
  <c r="AC1193" i="1"/>
  <c r="AB1193" i="1"/>
  <c r="AA1193" i="1"/>
  <c r="Z1193" i="1"/>
  <c r="AC1192" i="1"/>
  <c r="AB1192" i="1"/>
  <c r="AA1192" i="1"/>
  <c r="Z1192" i="1"/>
  <c r="AC1191" i="1"/>
  <c r="AB1191" i="1"/>
  <c r="AA1191" i="1"/>
  <c r="Z1191" i="1"/>
  <c r="AC1190" i="1"/>
  <c r="AB1190" i="1"/>
  <c r="AA1190" i="1"/>
  <c r="Z1190" i="1"/>
  <c r="AC1189" i="1"/>
  <c r="AB1189" i="1"/>
  <c r="AA1189" i="1"/>
  <c r="Z1189" i="1"/>
  <c r="AC1188" i="1"/>
  <c r="AB1188" i="1"/>
  <c r="AA1188" i="1"/>
  <c r="Z1188" i="1"/>
  <c r="AC1187" i="1"/>
  <c r="AB1187" i="1"/>
  <c r="AA1187" i="1"/>
  <c r="Z1187" i="1"/>
  <c r="AC1186" i="1"/>
  <c r="AB1186" i="1"/>
  <c r="AA1186" i="1"/>
  <c r="Z1186" i="1"/>
  <c r="AC1185" i="1"/>
  <c r="AB1185" i="1"/>
  <c r="AA1185" i="1"/>
  <c r="Z1185" i="1"/>
  <c r="AC1184" i="1"/>
  <c r="AB1184" i="1"/>
  <c r="AA1184" i="1"/>
  <c r="Z1184" i="1"/>
  <c r="AC1183" i="1"/>
  <c r="AB1183" i="1"/>
  <c r="AA1183" i="1"/>
  <c r="Z1183" i="1"/>
  <c r="AC1182" i="1"/>
  <c r="AB1182" i="1"/>
  <c r="AA1182" i="1"/>
  <c r="Z1182" i="1"/>
  <c r="AC1181" i="1"/>
  <c r="AB1181" i="1"/>
  <c r="AA1181" i="1"/>
  <c r="Z1181" i="1"/>
  <c r="AC1180" i="1"/>
  <c r="AB1180" i="1"/>
  <c r="AA1180" i="1"/>
  <c r="Z1180" i="1"/>
  <c r="AC1179" i="1"/>
  <c r="AB1179" i="1"/>
  <c r="AA1179" i="1"/>
  <c r="Z1179" i="1"/>
  <c r="AC1178" i="1"/>
  <c r="AB1178" i="1"/>
  <c r="AA1178" i="1"/>
  <c r="Z1178" i="1"/>
  <c r="AC1177" i="1"/>
  <c r="AB1177" i="1"/>
  <c r="AA1177" i="1"/>
  <c r="Z1177" i="1"/>
  <c r="AC1176" i="1"/>
  <c r="AB1176" i="1"/>
  <c r="AA1176" i="1"/>
  <c r="Z1176" i="1"/>
  <c r="AC1175" i="1"/>
  <c r="AB1175" i="1"/>
  <c r="AA1175" i="1"/>
  <c r="Z1175" i="1"/>
  <c r="AC1174" i="1"/>
  <c r="AB1174" i="1"/>
  <c r="AA1174" i="1"/>
  <c r="Z1174" i="1"/>
  <c r="AC1173" i="1"/>
  <c r="AB1173" i="1"/>
  <c r="AA1173" i="1"/>
  <c r="Z1173" i="1"/>
  <c r="AC1172" i="1"/>
  <c r="AB1172" i="1"/>
  <c r="AA1172" i="1"/>
  <c r="Z1172" i="1"/>
  <c r="AC1171" i="1"/>
  <c r="AB1171" i="1"/>
  <c r="AA1171" i="1"/>
  <c r="Z1171" i="1"/>
  <c r="AC1170" i="1"/>
  <c r="AB1170" i="1"/>
  <c r="AA1170" i="1"/>
  <c r="Z1170" i="1"/>
  <c r="AC1169" i="1"/>
  <c r="AB1169" i="1"/>
  <c r="AA1169" i="1"/>
  <c r="Z1169" i="1"/>
  <c r="AC1168" i="1"/>
  <c r="AB1168" i="1"/>
  <c r="AA1168" i="1"/>
  <c r="Z1168" i="1"/>
  <c r="AC1167" i="1"/>
  <c r="AB1167" i="1"/>
  <c r="AA1167" i="1"/>
  <c r="Z1167" i="1"/>
  <c r="AC1166" i="1"/>
  <c r="AB1166" i="1"/>
  <c r="AA1166" i="1"/>
  <c r="Z1166" i="1"/>
  <c r="AC1165" i="1"/>
  <c r="AB1165" i="1"/>
  <c r="AA1165" i="1"/>
  <c r="Z1165" i="1"/>
  <c r="AC1164" i="1"/>
  <c r="AB1164" i="1"/>
  <c r="AA1164" i="1"/>
  <c r="Z1164" i="1"/>
  <c r="AC1163" i="1"/>
  <c r="AB1163" i="1"/>
  <c r="AA1163" i="1"/>
  <c r="Z1163" i="1"/>
  <c r="AC1162" i="1"/>
  <c r="AB1162" i="1"/>
  <c r="AA1162" i="1"/>
  <c r="Z1162" i="1"/>
  <c r="AC1161" i="1"/>
  <c r="AB1161" i="1"/>
  <c r="AA1161" i="1"/>
  <c r="Z1161" i="1"/>
  <c r="AC1160" i="1"/>
  <c r="AB1160" i="1"/>
  <c r="AA1160" i="1"/>
  <c r="Z1160" i="1"/>
  <c r="AC1159" i="1"/>
  <c r="AB1159" i="1"/>
  <c r="AA1159" i="1"/>
  <c r="Z1159" i="1"/>
  <c r="AC1158" i="1"/>
  <c r="AB1158" i="1"/>
  <c r="AA1158" i="1"/>
  <c r="Z1158" i="1"/>
  <c r="AC1157" i="1"/>
  <c r="AB1157" i="1"/>
  <c r="AA1157" i="1"/>
  <c r="Z1157" i="1"/>
  <c r="AC1156" i="1"/>
  <c r="AB1156" i="1"/>
  <c r="AA1156" i="1"/>
  <c r="Z1156" i="1"/>
  <c r="AC1155" i="1"/>
  <c r="AB1155" i="1"/>
  <c r="AA1155" i="1"/>
  <c r="Z1155" i="1"/>
  <c r="AC1154" i="1"/>
  <c r="AB1154" i="1"/>
  <c r="AA1154" i="1"/>
  <c r="Z1154" i="1"/>
  <c r="AC1153" i="1"/>
  <c r="AB1153" i="1"/>
  <c r="AA1153" i="1"/>
  <c r="Z1153" i="1"/>
  <c r="AC1152" i="1"/>
  <c r="AB1152" i="1"/>
  <c r="AA1152" i="1"/>
  <c r="Z1152" i="1"/>
  <c r="AC1151" i="1"/>
  <c r="AB1151" i="1"/>
  <c r="AA1151" i="1"/>
  <c r="Z1151" i="1"/>
  <c r="AC1150" i="1"/>
  <c r="AB1150" i="1"/>
  <c r="AA1150" i="1"/>
  <c r="Z1150" i="1"/>
  <c r="AC1149" i="1"/>
  <c r="AB1149" i="1"/>
  <c r="AA1149" i="1"/>
  <c r="Z1149" i="1"/>
  <c r="AC1148" i="1"/>
  <c r="AB1148" i="1"/>
  <c r="AA1148" i="1"/>
  <c r="Z1148" i="1"/>
  <c r="AC1147" i="1"/>
  <c r="AB1147" i="1"/>
  <c r="AA1147" i="1"/>
  <c r="Z1147" i="1"/>
  <c r="AC1146" i="1"/>
  <c r="AB1146" i="1"/>
  <c r="AA1146" i="1"/>
  <c r="Z1146" i="1"/>
  <c r="AC1145" i="1"/>
  <c r="AB1145" i="1"/>
  <c r="AA1145" i="1"/>
  <c r="Z1145" i="1"/>
  <c r="AC1144" i="1"/>
  <c r="AB1144" i="1"/>
  <c r="AA1144" i="1"/>
  <c r="Z1144" i="1"/>
  <c r="AC1143" i="1"/>
  <c r="AB1143" i="1"/>
  <c r="AA1143" i="1"/>
  <c r="Z1143" i="1"/>
  <c r="AC1142" i="1"/>
  <c r="AB1142" i="1"/>
  <c r="AA1142" i="1"/>
  <c r="Z1142" i="1"/>
  <c r="AC1141" i="1"/>
  <c r="AB1141" i="1"/>
  <c r="AA1141" i="1"/>
  <c r="Z1141" i="1"/>
  <c r="AC1140" i="1"/>
  <c r="AB1140" i="1"/>
  <c r="AA1140" i="1"/>
  <c r="Z1140" i="1"/>
  <c r="AC1139" i="1"/>
  <c r="AB1139" i="1"/>
  <c r="AA1139" i="1"/>
  <c r="Z1139" i="1"/>
  <c r="AC1138" i="1"/>
  <c r="AB1138" i="1"/>
  <c r="AA1138" i="1"/>
  <c r="Z1138" i="1"/>
  <c r="AC1137" i="1"/>
  <c r="AB1137" i="1"/>
  <c r="AA1137" i="1"/>
  <c r="Z1137" i="1"/>
  <c r="AC1136" i="1"/>
  <c r="AB1136" i="1"/>
  <c r="AA1136" i="1"/>
  <c r="Z1136" i="1"/>
  <c r="AC1135" i="1"/>
  <c r="AB1135" i="1"/>
  <c r="AA1135" i="1"/>
  <c r="Z1135" i="1"/>
  <c r="AC1134" i="1"/>
  <c r="AB1134" i="1"/>
  <c r="AA1134" i="1"/>
  <c r="Z1134" i="1"/>
  <c r="AC1133" i="1"/>
  <c r="AB1133" i="1"/>
  <c r="AA1133" i="1"/>
  <c r="Z1133" i="1"/>
  <c r="AC1132" i="1"/>
  <c r="AB1132" i="1"/>
  <c r="AA1132" i="1"/>
  <c r="Z1132" i="1"/>
  <c r="AC1131" i="1"/>
  <c r="AB1131" i="1"/>
  <c r="AA1131" i="1"/>
  <c r="Z1131" i="1"/>
  <c r="AC1130" i="1"/>
  <c r="AB1130" i="1"/>
  <c r="AA1130" i="1"/>
  <c r="Z1130" i="1"/>
  <c r="AC1129" i="1"/>
  <c r="AB1129" i="1"/>
  <c r="AA1129" i="1"/>
  <c r="Z1129" i="1"/>
  <c r="AC1128" i="1"/>
  <c r="AB1128" i="1"/>
  <c r="AA1128" i="1"/>
  <c r="Z1128" i="1"/>
  <c r="AC1127" i="1"/>
  <c r="AB1127" i="1"/>
  <c r="AA1127" i="1"/>
  <c r="Z1127" i="1"/>
  <c r="AC1126" i="1"/>
  <c r="AB1126" i="1"/>
  <c r="AA1126" i="1"/>
  <c r="Z1126" i="1"/>
  <c r="AC1125" i="1"/>
  <c r="AB1125" i="1"/>
  <c r="AA1125" i="1"/>
  <c r="Z1125" i="1"/>
  <c r="AC1124" i="1"/>
  <c r="AB1124" i="1"/>
  <c r="AA1124" i="1"/>
  <c r="Z1124" i="1"/>
  <c r="AC1123" i="1"/>
  <c r="AB1123" i="1"/>
  <c r="AA1123" i="1"/>
  <c r="Z1123" i="1"/>
  <c r="AC1122" i="1"/>
  <c r="AB1122" i="1"/>
  <c r="AA1122" i="1"/>
  <c r="Z1122" i="1"/>
  <c r="AC1121" i="1"/>
  <c r="AB1121" i="1"/>
  <c r="AA1121" i="1"/>
  <c r="Z1121" i="1"/>
  <c r="AC1120" i="1"/>
  <c r="AB1120" i="1"/>
  <c r="AA1120" i="1"/>
  <c r="Z1120" i="1"/>
  <c r="AC1119" i="1"/>
  <c r="AB1119" i="1"/>
  <c r="AA1119" i="1"/>
  <c r="Z1119" i="1"/>
  <c r="AC1118" i="1"/>
  <c r="AB1118" i="1"/>
  <c r="AA1118" i="1"/>
  <c r="Z1118" i="1"/>
  <c r="AC1117" i="1"/>
  <c r="AB1117" i="1"/>
  <c r="AA1117" i="1"/>
  <c r="Z1117" i="1"/>
  <c r="AC1116" i="1"/>
  <c r="AB1116" i="1"/>
  <c r="AA1116" i="1"/>
  <c r="Z1116" i="1"/>
  <c r="AC1115" i="1"/>
  <c r="AB1115" i="1"/>
  <c r="AA1115" i="1"/>
  <c r="Z1115" i="1"/>
  <c r="AC1114" i="1"/>
  <c r="AB1114" i="1"/>
  <c r="AA1114" i="1"/>
  <c r="Z1114" i="1"/>
  <c r="AC1113" i="1"/>
  <c r="AB1113" i="1"/>
  <c r="AA1113" i="1"/>
  <c r="Z1113" i="1"/>
  <c r="AC1112" i="1"/>
  <c r="AB1112" i="1"/>
  <c r="AA1112" i="1"/>
  <c r="Z1112" i="1"/>
  <c r="AC1111" i="1"/>
  <c r="AB1111" i="1"/>
  <c r="AA1111" i="1"/>
  <c r="Z1111" i="1"/>
  <c r="AC1110" i="1"/>
  <c r="AB1110" i="1"/>
  <c r="AA1110" i="1"/>
  <c r="Z1110" i="1"/>
  <c r="AC1109" i="1"/>
  <c r="AB1109" i="1"/>
  <c r="AA1109" i="1"/>
  <c r="Z1109" i="1"/>
  <c r="AC1108" i="1"/>
  <c r="AB1108" i="1"/>
  <c r="AA1108" i="1"/>
  <c r="Z1108" i="1"/>
  <c r="AC1107" i="1"/>
  <c r="AB1107" i="1"/>
  <c r="AA1107" i="1"/>
  <c r="Z1107" i="1"/>
  <c r="AC1106" i="1"/>
  <c r="AB1106" i="1"/>
  <c r="AA1106" i="1"/>
  <c r="Z1106" i="1"/>
  <c r="AC1105" i="1"/>
  <c r="AB1105" i="1"/>
  <c r="AA1105" i="1"/>
  <c r="Z1105" i="1"/>
  <c r="AC1104" i="1"/>
  <c r="AB1104" i="1"/>
  <c r="AA1104" i="1"/>
  <c r="Z1104" i="1"/>
  <c r="AC1103" i="1"/>
  <c r="AB1103" i="1"/>
  <c r="AA1103" i="1"/>
  <c r="Z1103" i="1"/>
  <c r="AC1102" i="1"/>
  <c r="AB1102" i="1"/>
  <c r="AA1102" i="1"/>
  <c r="Z1102" i="1"/>
  <c r="AC1101" i="1"/>
  <c r="AB1101" i="1"/>
  <c r="AA1101" i="1"/>
  <c r="Z1101" i="1"/>
  <c r="AC1100" i="1"/>
  <c r="AB1100" i="1"/>
  <c r="AA1100" i="1"/>
  <c r="Z1100" i="1"/>
  <c r="AC1099" i="1"/>
  <c r="AB1099" i="1"/>
  <c r="AA1099" i="1"/>
  <c r="Z1099" i="1"/>
  <c r="AC1098" i="1"/>
  <c r="AB1098" i="1"/>
  <c r="AA1098" i="1"/>
  <c r="Z1098" i="1"/>
  <c r="AC1097" i="1"/>
  <c r="AB1097" i="1"/>
  <c r="AA1097" i="1"/>
  <c r="Z1097" i="1"/>
  <c r="AC1096" i="1"/>
  <c r="AB1096" i="1"/>
  <c r="AA1096" i="1"/>
  <c r="Z1096" i="1"/>
  <c r="AC1095" i="1"/>
  <c r="AB1095" i="1"/>
  <c r="AA1095" i="1"/>
  <c r="Z1095" i="1"/>
  <c r="AC1094" i="1"/>
  <c r="AB1094" i="1"/>
  <c r="AA1094" i="1"/>
  <c r="Z1094" i="1"/>
  <c r="AC1093" i="1"/>
  <c r="AB1093" i="1"/>
  <c r="AA1093" i="1"/>
  <c r="Z1093" i="1"/>
  <c r="AC1092" i="1"/>
  <c r="AB1092" i="1"/>
  <c r="AA1092" i="1"/>
  <c r="Z1092" i="1"/>
  <c r="AC1091" i="1"/>
  <c r="AB1091" i="1"/>
  <c r="AA1091" i="1"/>
  <c r="Z1091" i="1"/>
  <c r="AC1090" i="1"/>
  <c r="AB1090" i="1"/>
  <c r="AA1090" i="1"/>
  <c r="Z1090" i="1"/>
  <c r="AC1089" i="1"/>
  <c r="AB1089" i="1"/>
  <c r="AA1089" i="1"/>
  <c r="Z1089" i="1"/>
  <c r="AC1088" i="1"/>
  <c r="AB1088" i="1"/>
  <c r="AA1088" i="1"/>
  <c r="Z1088" i="1"/>
  <c r="AC1087" i="1"/>
  <c r="AB1087" i="1"/>
  <c r="AA1087" i="1"/>
  <c r="Z1087" i="1"/>
  <c r="AC1086" i="1"/>
  <c r="AB1086" i="1"/>
  <c r="AA1086" i="1"/>
  <c r="Z1086" i="1"/>
  <c r="AC1085" i="1"/>
  <c r="AB1085" i="1"/>
  <c r="AA1085" i="1"/>
  <c r="Z1085" i="1"/>
  <c r="AC1084" i="1"/>
  <c r="AB1084" i="1"/>
  <c r="AA1084" i="1"/>
  <c r="Z1084" i="1"/>
  <c r="AC1083" i="1"/>
  <c r="AB1083" i="1"/>
  <c r="AA1083" i="1"/>
  <c r="Z1083" i="1"/>
  <c r="AC1082" i="1"/>
  <c r="AB1082" i="1"/>
  <c r="AA1082" i="1"/>
  <c r="Z1082" i="1"/>
  <c r="AC1081" i="1"/>
  <c r="AB1081" i="1"/>
  <c r="AA1081" i="1"/>
  <c r="Z1081" i="1"/>
  <c r="AC1080" i="1"/>
  <c r="AB1080" i="1"/>
  <c r="AA1080" i="1"/>
  <c r="Z1080" i="1"/>
  <c r="AC1079" i="1"/>
  <c r="AB1079" i="1"/>
  <c r="AA1079" i="1"/>
  <c r="Z1079" i="1"/>
  <c r="AC1078" i="1"/>
  <c r="AB1078" i="1"/>
  <c r="AA1078" i="1"/>
  <c r="Z1078" i="1"/>
  <c r="AC1077" i="1"/>
  <c r="AB1077" i="1"/>
  <c r="AA1077" i="1"/>
  <c r="Z1077" i="1"/>
  <c r="AC1076" i="1"/>
  <c r="AB1076" i="1"/>
  <c r="AA1076" i="1"/>
  <c r="Z1076" i="1"/>
  <c r="AC1075" i="1"/>
  <c r="AB1075" i="1"/>
  <c r="AA1075" i="1"/>
  <c r="Z1075" i="1"/>
  <c r="AC1074" i="1"/>
  <c r="AB1074" i="1"/>
  <c r="AA1074" i="1"/>
  <c r="Z1074" i="1"/>
  <c r="AC1073" i="1"/>
  <c r="AB1073" i="1"/>
  <c r="AA1073" i="1"/>
  <c r="Z1073" i="1"/>
  <c r="AC1072" i="1"/>
  <c r="AB1072" i="1"/>
  <c r="AA1072" i="1"/>
  <c r="Z1072" i="1"/>
  <c r="AC1071" i="1"/>
  <c r="AB1071" i="1"/>
  <c r="AA1071" i="1"/>
  <c r="Z1071" i="1"/>
  <c r="AC1070" i="1"/>
  <c r="AB1070" i="1"/>
  <c r="AA1070" i="1"/>
  <c r="Z1070" i="1"/>
  <c r="AC1069" i="1"/>
  <c r="AB1069" i="1"/>
  <c r="AA1069" i="1"/>
  <c r="Z1069" i="1"/>
  <c r="AC1068" i="1"/>
  <c r="AB1068" i="1"/>
  <c r="AA1068" i="1"/>
  <c r="Z1068" i="1"/>
  <c r="AC1067" i="1"/>
  <c r="AB1067" i="1"/>
  <c r="AA1067" i="1"/>
  <c r="Z1067" i="1"/>
  <c r="AC1066" i="1"/>
  <c r="AB1066" i="1"/>
  <c r="AA1066" i="1"/>
  <c r="Z1066" i="1"/>
  <c r="AC1065" i="1"/>
  <c r="AB1065" i="1"/>
  <c r="AA1065" i="1"/>
  <c r="Z1065" i="1"/>
  <c r="AC1064" i="1"/>
  <c r="AB1064" i="1"/>
  <c r="AA1064" i="1"/>
  <c r="Z1064" i="1"/>
  <c r="AC1063" i="1"/>
  <c r="AB1063" i="1"/>
  <c r="AA1063" i="1"/>
  <c r="Z1063" i="1"/>
  <c r="AC1062" i="1"/>
  <c r="AB1062" i="1"/>
  <c r="AA1062" i="1"/>
  <c r="Z1062" i="1"/>
  <c r="AC1061" i="1"/>
  <c r="AB1061" i="1"/>
  <c r="AA1061" i="1"/>
  <c r="Z1061" i="1"/>
  <c r="AC1060" i="1"/>
  <c r="AB1060" i="1"/>
  <c r="AA1060" i="1"/>
  <c r="Z1060" i="1"/>
  <c r="AC1059" i="1"/>
  <c r="AB1059" i="1"/>
  <c r="AA1059" i="1"/>
  <c r="Z1059" i="1"/>
  <c r="AC1058" i="1"/>
  <c r="AB1058" i="1"/>
  <c r="AA1058" i="1"/>
  <c r="Z1058" i="1"/>
  <c r="AC1057" i="1"/>
  <c r="AB1057" i="1"/>
  <c r="AA1057" i="1"/>
  <c r="Z1057" i="1"/>
  <c r="AC1056" i="1"/>
  <c r="AB1056" i="1"/>
  <c r="AA1056" i="1"/>
  <c r="Z1056" i="1"/>
  <c r="AC1055" i="1"/>
  <c r="AB1055" i="1"/>
  <c r="AA1055" i="1"/>
  <c r="Z1055" i="1"/>
  <c r="AC1054" i="1"/>
  <c r="AB1054" i="1"/>
  <c r="AA1054" i="1"/>
  <c r="Z1054" i="1"/>
  <c r="AC1053" i="1"/>
  <c r="AB1053" i="1"/>
  <c r="AA1053" i="1"/>
  <c r="Z1053" i="1"/>
  <c r="AC1052" i="1"/>
  <c r="AB1052" i="1"/>
  <c r="AA1052" i="1"/>
  <c r="Z1052" i="1"/>
  <c r="AC1051" i="1"/>
  <c r="AB1051" i="1"/>
  <c r="AA1051" i="1"/>
  <c r="Z1051" i="1"/>
  <c r="AC1050" i="1"/>
  <c r="AB1050" i="1"/>
  <c r="AA1050" i="1"/>
  <c r="Z1050" i="1"/>
  <c r="AC1049" i="1"/>
  <c r="AB1049" i="1"/>
  <c r="AA1049" i="1"/>
  <c r="Z1049" i="1"/>
  <c r="AC1048" i="1"/>
  <c r="AB1048" i="1"/>
  <c r="AA1048" i="1"/>
  <c r="Z1048" i="1"/>
  <c r="AC1047" i="1"/>
  <c r="AB1047" i="1"/>
  <c r="AA1047" i="1"/>
  <c r="Z1047" i="1"/>
  <c r="AC1046" i="1"/>
  <c r="AB1046" i="1"/>
  <c r="AA1046" i="1"/>
  <c r="Z1046" i="1"/>
  <c r="AC1045" i="1"/>
  <c r="AB1045" i="1"/>
  <c r="AA1045" i="1"/>
  <c r="Z1045" i="1"/>
  <c r="AC1044" i="1"/>
  <c r="AB1044" i="1"/>
  <c r="AA1044" i="1"/>
  <c r="Z1044" i="1"/>
  <c r="AC1043" i="1"/>
  <c r="AB1043" i="1"/>
  <c r="AA1043" i="1"/>
  <c r="Z1043" i="1"/>
  <c r="AC1042" i="1"/>
  <c r="AB1042" i="1"/>
  <c r="AA1042" i="1"/>
  <c r="Z1042" i="1"/>
  <c r="AC1041" i="1"/>
  <c r="AB1041" i="1"/>
  <c r="AA1041" i="1"/>
  <c r="Z1041" i="1"/>
  <c r="AC1040" i="1"/>
  <c r="AB1040" i="1"/>
  <c r="AA1040" i="1"/>
  <c r="Z1040" i="1"/>
  <c r="AC1039" i="1"/>
  <c r="AB1039" i="1"/>
  <c r="AA1039" i="1"/>
  <c r="Z1039" i="1"/>
  <c r="AC1038" i="1"/>
  <c r="AB1038" i="1"/>
  <c r="AA1038" i="1"/>
  <c r="Z1038" i="1"/>
  <c r="AC1037" i="1"/>
  <c r="AB1037" i="1"/>
  <c r="AA1037" i="1"/>
  <c r="Z1037" i="1"/>
  <c r="AC1036" i="1"/>
  <c r="AB1036" i="1"/>
  <c r="AA1036" i="1"/>
  <c r="Z1036" i="1"/>
  <c r="AC1035" i="1"/>
  <c r="AB1035" i="1"/>
  <c r="AA1035" i="1"/>
  <c r="Z1035" i="1"/>
  <c r="AC1034" i="1"/>
  <c r="AB1034" i="1"/>
  <c r="AA1034" i="1"/>
  <c r="Z1034" i="1"/>
  <c r="AC1033" i="1"/>
  <c r="AB1033" i="1"/>
  <c r="AA1033" i="1"/>
  <c r="Z1033" i="1"/>
  <c r="AC1032" i="1"/>
  <c r="AB1032" i="1"/>
  <c r="AA1032" i="1"/>
  <c r="Z1032" i="1"/>
  <c r="AC1031" i="1"/>
  <c r="AB1031" i="1"/>
  <c r="AA1031" i="1"/>
  <c r="Z1031" i="1"/>
  <c r="AC1030" i="1"/>
  <c r="AB1030" i="1"/>
  <c r="AA1030" i="1"/>
  <c r="Z1030" i="1"/>
  <c r="AC1029" i="1"/>
  <c r="AB1029" i="1"/>
  <c r="AA1029" i="1"/>
  <c r="Z1029" i="1"/>
  <c r="AC1028" i="1"/>
  <c r="AB1028" i="1"/>
  <c r="AA1028" i="1"/>
  <c r="Z1028" i="1"/>
  <c r="AC1027" i="1"/>
  <c r="AB1027" i="1"/>
  <c r="AA1027" i="1"/>
  <c r="Z1027" i="1"/>
  <c r="AC1026" i="1"/>
  <c r="AB1026" i="1"/>
  <c r="AA1026" i="1"/>
  <c r="Z1026" i="1"/>
  <c r="AC1025" i="1"/>
  <c r="AB1025" i="1"/>
  <c r="AA1025" i="1"/>
  <c r="Z1025" i="1"/>
  <c r="AC1024" i="1"/>
  <c r="AB1024" i="1"/>
  <c r="AA1024" i="1"/>
  <c r="Z1024" i="1"/>
  <c r="AC1023" i="1"/>
  <c r="AB1023" i="1"/>
  <c r="AA1023" i="1"/>
  <c r="Z1023" i="1"/>
  <c r="AC1022" i="1"/>
  <c r="AB1022" i="1"/>
  <c r="AA1022" i="1"/>
  <c r="Z1022" i="1"/>
  <c r="AC1021" i="1"/>
  <c r="AB1021" i="1"/>
  <c r="AA1021" i="1"/>
  <c r="Z1021" i="1"/>
  <c r="AC1020" i="1"/>
  <c r="AB1020" i="1"/>
  <c r="AA1020" i="1"/>
  <c r="Z1020" i="1"/>
  <c r="AC1019" i="1"/>
  <c r="AB1019" i="1"/>
  <c r="AA1019" i="1"/>
  <c r="Z1019" i="1"/>
  <c r="AC1018" i="1"/>
  <c r="AB1018" i="1"/>
  <c r="AA1018" i="1"/>
  <c r="Z1018" i="1"/>
  <c r="AC1017" i="1"/>
  <c r="AB1017" i="1"/>
  <c r="AA1017" i="1"/>
  <c r="Z1017" i="1"/>
  <c r="AC1016" i="1"/>
  <c r="AB1016" i="1"/>
  <c r="AA1016" i="1"/>
  <c r="Z1016" i="1"/>
  <c r="AC1015" i="1"/>
  <c r="AB1015" i="1"/>
  <c r="AA1015" i="1"/>
  <c r="Z1015" i="1"/>
  <c r="AC1014" i="1"/>
  <c r="AB1014" i="1"/>
  <c r="AA1014" i="1"/>
  <c r="Z1014" i="1"/>
  <c r="AC1013" i="1"/>
  <c r="AB1013" i="1"/>
  <c r="AA1013" i="1"/>
  <c r="Z1013" i="1"/>
  <c r="AC1012" i="1"/>
  <c r="AB1012" i="1"/>
  <c r="AA1012" i="1"/>
  <c r="Z1012" i="1"/>
  <c r="AC1011" i="1"/>
  <c r="AB1011" i="1"/>
  <c r="AA1011" i="1"/>
  <c r="Z1011" i="1"/>
  <c r="AC1010" i="1"/>
  <c r="AB1010" i="1"/>
  <c r="AA1010" i="1"/>
  <c r="Z1010" i="1"/>
  <c r="AC1009" i="1"/>
  <c r="AB1009" i="1"/>
  <c r="AA1009" i="1"/>
  <c r="Z1009" i="1"/>
  <c r="AC1008" i="1"/>
  <c r="AB1008" i="1"/>
  <c r="AA1008" i="1"/>
  <c r="Z1008" i="1"/>
  <c r="AC1007" i="1"/>
  <c r="AB1007" i="1"/>
  <c r="AA1007" i="1"/>
  <c r="Z1007" i="1"/>
  <c r="AC1006" i="1"/>
  <c r="AB1006" i="1"/>
  <c r="AA1006" i="1"/>
  <c r="Z1006" i="1"/>
  <c r="AC1005" i="1"/>
  <c r="AB1005" i="1"/>
  <c r="AA1005" i="1"/>
  <c r="Z1005" i="1"/>
  <c r="AC1004" i="1"/>
  <c r="AB1004" i="1"/>
  <c r="AA1004" i="1"/>
  <c r="Z1004" i="1"/>
  <c r="AC1003" i="1"/>
  <c r="AB1003" i="1"/>
  <c r="AA1003" i="1"/>
  <c r="Z1003" i="1"/>
  <c r="AC1002" i="1"/>
  <c r="AB1002" i="1"/>
  <c r="AA1002" i="1"/>
  <c r="Z1002" i="1"/>
  <c r="AC1001" i="1"/>
  <c r="AB1001" i="1"/>
  <c r="AA1001" i="1"/>
  <c r="Z1001" i="1"/>
  <c r="AC1000" i="1"/>
  <c r="AB1000" i="1"/>
  <c r="AA1000" i="1"/>
  <c r="Z1000" i="1"/>
  <c r="AC999" i="1"/>
  <c r="AB999" i="1"/>
  <c r="AA999" i="1"/>
  <c r="Z999" i="1"/>
  <c r="AC998" i="1"/>
  <c r="AB998" i="1"/>
  <c r="AA998" i="1"/>
  <c r="Z998" i="1"/>
  <c r="AC997" i="1"/>
  <c r="AB997" i="1"/>
  <c r="AA997" i="1"/>
  <c r="Z997" i="1"/>
  <c r="AC996" i="1"/>
  <c r="AB996" i="1"/>
  <c r="AA996" i="1"/>
  <c r="Z996" i="1"/>
  <c r="AC995" i="1"/>
  <c r="AB995" i="1"/>
  <c r="AA995" i="1"/>
  <c r="Z995" i="1"/>
  <c r="AC994" i="1"/>
  <c r="AB994" i="1"/>
  <c r="AA994" i="1"/>
  <c r="Z994" i="1"/>
  <c r="AC993" i="1"/>
  <c r="AB993" i="1"/>
  <c r="AA993" i="1"/>
  <c r="Z993" i="1"/>
  <c r="AC992" i="1"/>
  <c r="AB992" i="1"/>
  <c r="AA992" i="1"/>
  <c r="Z992" i="1"/>
  <c r="AC991" i="1"/>
  <c r="AB991" i="1"/>
  <c r="AA991" i="1"/>
  <c r="Z991" i="1"/>
  <c r="AC990" i="1"/>
  <c r="AB990" i="1"/>
  <c r="AA990" i="1"/>
  <c r="Z990" i="1"/>
  <c r="AC989" i="1"/>
  <c r="AB989" i="1"/>
  <c r="AA989" i="1"/>
  <c r="Z989" i="1"/>
  <c r="AC988" i="1"/>
  <c r="AB988" i="1"/>
  <c r="AA988" i="1"/>
  <c r="Z988" i="1"/>
  <c r="AC987" i="1"/>
  <c r="AB987" i="1"/>
  <c r="AA987" i="1"/>
  <c r="Z987" i="1"/>
  <c r="AC986" i="1"/>
  <c r="AB986" i="1"/>
  <c r="AA986" i="1"/>
  <c r="Z986" i="1"/>
  <c r="AC985" i="1"/>
  <c r="AB985" i="1"/>
  <c r="AA985" i="1"/>
  <c r="Z985" i="1"/>
  <c r="AC984" i="1"/>
  <c r="AB984" i="1"/>
  <c r="AA984" i="1"/>
  <c r="Z984" i="1"/>
  <c r="AC983" i="1"/>
  <c r="AB983" i="1"/>
  <c r="AA983" i="1"/>
  <c r="Z983" i="1"/>
  <c r="AC982" i="1"/>
  <c r="AB982" i="1"/>
  <c r="AA982" i="1"/>
  <c r="Z982" i="1"/>
  <c r="AC981" i="1"/>
  <c r="AB981" i="1"/>
  <c r="AA981" i="1"/>
  <c r="Z981" i="1"/>
  <c r="AC980" i="1"/>
  <c r="AB980" i="1"/>
  <c r="AA980" i="1"/>
  <c r="Z980" i="1"/>
  <c r="AC979" i="1"/>
  <c r="AB979" i="1"/>
  <c r="AA979" i="1"/>
  <c r="Z979" i="1"/>
  <c r="AC978" i="1"/>
  <c r="AB978" i="1"/>
  <c r="AA978" i="1"/>
  <c r="Z978" i="1"/>
  <c r="AC977" i="1"/>
  <c r="AB977" i="1"/>
  <c r="AA977" i="1"/>
  <c r="Z977" i="1"/>
  <c r="AC976" i="1"/>
  <c r="AB976" i="1"/>
  <c r="AA976" i="1"/>
  <c r="Z976" i="1"/>
  <c r="AC975" i="1"/>
  <c r="AB975" i="1"/>
  <c r="AA975" i="1"/>
  <c r="Z975" i="1"/>
  <c r="AC974" i="1"/>
  <c r="AB974" i="1"/>
  <c r="AA974" i="1"/>
  <c r="Z974" i="1"/>
  <c r="AC973" i="1"/>
  <c r="AB973" i="1"/>
  <c r="AA973" i="1"/>
  <c r="Z973" i="1"/>
  <c r="AC972" i="1"/>
  <c r="AB972" i="1"/>
  <c r="AA972" i="1"/>
  <c r="Z972" i="1"/>
  <c r="AC971" i="1"/>
  <c r="AB971" i="1"/>
  <c r="AA971" i="1"/>
  <c r="Z971" i="1"/>
  <c r="AC970" i="1"/>
  <c r="AB970" i="1"/>
  <c r="AA970" i="1"/>
  <c r="Z970" i="1"/>
  <c r="AC969" i="1"/>
  <c r="AB969" i="1"/>
  <c r="AA969" i="1"/>
  <c r="Z969" i="1"/>
  <c r="AC968" i="1"/>
  <c r="AB968" i="1"/>
  <c r="AA968" i="1"/>
  <c r="Z968" i="1"/>
  <c r="AC967" i="1"/>
  <c r="AB967" i="1"/>
  <c r="AA967" i="1"/>
  <c r="Z967" i="1"/>
  <c r="AC966" i="1"/>
  <c r="AB966" i="1"/>
  <c r="AA966" i="1"/>
  <c r="Z966" i="1"/>
  <c r="AC965" i="1"/>
  <c r="AB965" i="1"/>
  <c r="AA965" i="1"/>
  <c r="Z965" i="1"/>
  <c r="AC964" i="1"/>
  <c r="AB964" i="1"/>
  <c r="AA964" i="1"/>
  <c r="Z964" i="1"/>
  <c r="AC963" i="1"/>
  <c r="AB963" i="1"/>
  <c r="AA963" i="1"/>
  <c r="Z963" i="1"/>
  <c r="AC962" i="1"/>
  <c r="AB962" i="1"/>
  <c r="AA962" i="1"/>
  <c r="Z962" i="1"/>
  <c r="AC961" i="1"/>
  <c r="AB961" i="1"/>
  <c r="AA961" i="1"/>
  <c r="Z961" i="1"/>
  <c r="AC960" i="1"/>
  <c r="AB960" i="1"/>
  <c r="AA960" i="1"/>
  <c r="Z960" i="1"/>
  <c r="AC959" i="1"/>
  <c r="AB959" i="1"/>
  <c r="AA959" i="1"/>
  <c r="Z959" i="1"/>
  <c r="AC958" i="1"/>
  <c r="AB958" i="1"/>
  <c r="AA958" i="1"/>
  <c r="Z958" i="1"/>
  <c r="AC957" i="1"/>
  <c r="AB957" i="1"/>
  <c r="AA957" i="1"/>
  <c r="Z957" i="1"/>
  <c r="AC956" i="1"/>
  <c r="AB956" i="1"/>
  <c r="AA956" i="1"/>
  <c r="Z956" i="1"/>
  <c r="AC955" i="1"/>
  <c r="AB955" i="1"/>
  <c r="AA955" i="1"/>
  <c r="Z955" i="1"/>
  <c r="AC954" i="1"/>
  <c r="AB954" i="1"/>
  <c r="AA954" i="1"/>
  <c r="Z954" i="1"/>
  <c r="AC953" i="1"/>
  <c r="AB953" i="1"/>
  <c r="AA953" i="1"/>
  <c r="Z953" i="1"/>
  <c r="AC952" i="1"/>
  <c r="AB952" i="1"/>
  <c r="AA952" i="1"/>
  <c r="Z952" i="1"/>
  <c r="AC951" i="1"/>
  <c r="AB951" i="1"/>
  <c r="AA951" i="1"/>
  <c r="Z951" i="1"/>
  <c r="AC950" i="1"/>
  <c r="AB950" i="1"/>
  <c r="AA950" i="1"/>
  <c r="Z950" i="1"/>
  <c r="AC949" i="1"/>
  <c r="AB949" i="1"/>
  <c r="AA949" i="1"/>
  <c r="Z949" i="1"/>
  <c r="AC948" i="1"/>
  <c r="AB948" i="1"/>
  <c r="AA948" i="1"/>
  <c r="Z948" i="1"/>
  <c r="AC947" i="1"/>
  <c r="AB947" i="1"/>
  <c r="AA947" i="1"/>
  <c r="Z947" i="1"/>
  <c r="AC946" i="1"/>
  <c r="AB946" i="1"/>
  <c r="AA946" i="1"/>
  <c r="Z946" i="1"/>
  <c r="AC945" i="1"/>
  <c r="AB945" i="1"/>
  <c r="AA945" i="1"/>
  <c r="Z945" i="1"/>
  <c r="AC944" i="1"/>
  <c r="AB944" i="1"/>
  <c r="AA944" i="1"/>
  <c r="Z944" i="1"/>
  <c r="AC943" i="1"/>
  <c r="AB943" i="1"/>
  <c r="AA943" i="1"/>
  <c r="Z943" i="1"/>
  <c r="AC942" i="1"/>
  <c r="AB942" i="1"/>
  <c r="AA942" i="1"/>
  <c r="Z942" i="1"/>
  <c r="AC941" i="1"/>
  <c r="AB941" i="1"/>
  <c r="AA941" i="1"/>
  <c r="Z941" i="1"/>
  <c r="AC940" i="1"/>
  <c r="AB940" i="1"/>
  <c r="AA940" i="1"/>
  <c r="Z940" i="1"/>
  <c r="AC939" i="1"/>
  <c r="AB939" i="1"/>
  <c r="AA939" i="1"/>
  <c r="Z939" i="1"/>
  <c r="AC938" i="1"/>
  <c r="AB938" i="1"/>
  <c r="AA938" i="1"/>
  <c r="Z938" i="1"/>
  <c r="AC937" i="1"/>
  <c r="AB937" i="1"/>
  <c r="AA937" i="1"/>
  <c r="Z937" i="1"/>
  <c r="AC936" i="1"/>
  <c r="AB936" i="1"/>
  <c r="AA936" i="1"/>
  <c r="Z936" i="1"/>
  <c r="AC935" i="1"/>
  <c r="AB935" i="1"/>
  <c r="AA935" i="1"/>
  <c r="Z935" i="1"/>
  <c r="AC934" i="1"/>
  <c r="AB934" i="1"/>
  <c r="AA934" i="1"/>
  <c r="Z934" i="1"/>
  <c r="AC933" i="1"/>
  <c r="AB933" i="1"/>
  <c r="AA933" i="1"/>
  <c r="Z933" i="1"/>
  <c r="AC932" i="1"/>
  <c r="AB932" i="1"/>
  <c r="AA932" i="1"/>
  <c r="Z932" i="1"/>
  <c r="AC931" i="1"/>
  <c r="AB931" i="1"/>
  <c r="AA931" i="1"/>
  <c r="Z931" i="1"/>
  <c r="AC930" i="1"/>
  <c r="AB930" i="1"/>
  <c r="AA930" i="1"/>
  <c r="Z930" i="1"/>
  <c r="AC929" i="1"/>
  <c r="AB929" i="1"/>
  <c r="AA929" i="1"/>
  <c r="Z929" i="1"/>
  <c r="AC928" i="1"/>
  <c r="AB928" i="1"/>
  <c r="AA928" i="1"/>
  <c r="Z928" i="1"/>
  <c r="AC927" i="1"/>
  <c r="AB927" i="1"/>
  <c r="AA927" i="1"/>
  <c r="Z927" i="1"/>
  <c r="AC926" i="1"/>
  <c r="AB926" i="1"/>
  <c r="AA926" i="1"/>
  <c r="Z926" i="1"/>
  <c r="AC925" i="1"/>
  <c r="AB925" i="1"/>
  <c r="AA925" i="1"/>
  <c r="Z925" i="1"/>
  <c r="AC924" i="1"/>
  <c r="AB924" i="1"/>
  <c r="AA924" i="1"/>
  <c r="Z924" i="1"/>
  <c r="AC923" i="1"/>
  <c r="AB923" i="1"/>
  <c r="AA923" i="1"/>
  <c r="Z923" i="1"/>
  <c r="AC922" i="1"/>
  <c r="AB922" i="1"/>
  <c r="AA922" i="1"/>
  <c r="Z922" i="1"/>
  <c r="AC921" i="1"/>
  <c r="AB921" i="1"/>
  <c r="AA921" i="1"/>
  <c r="Z921" i="1"/>
  <c r="AC920" i="1"/>
  <c r="AB920" i="1"/>
  <c r="AA920" i="1"/>
  <c r="Z920" i="1"/>
  <c r="AC919" i="1"/>
  <c r="AB919" i="1"/>
  <c r="AA919" i="1"/>
  <c r="Z919" i="1"/>
  <c r="AC918" i="1"/>
  <c r="AB918" i="1"/>
  <c r="AA918" i="1"/>
  <c r="Z918" i="1"/>
  <c r="AC917" i="1"/>
  <c r="AB917" i="1"/>
  <c r="AA917" i="1"/>
  <c r="Z917" i="1"/>
  <c r="AC916" i="1"/>
  <c r="AB916" i="1"/>
  <c r="AA916" i="1"/>
  <c r="Z916" i="1"/>
  <c r="AC915" i="1"/>
  <c r="AB915" i="1"/>
  <c r="AA915" i="1"/>
  <c r="Z915" i="1"/>
  <c r="AC914" i="1"/>
  <c r="AB914" i="1"/>
  <c r="AA914" i="1"/>
  <c r="Z914" i="1"/>
  <c r="AC913" i="1"/>
  <c r="AB913" i="1"/>
  <c r="AA913" i="1"/>
  <c r="Z913" i="1"/>
  <c r="AC912" i="1"/>
  <c r="AB912" i="1"/>
  <c r="AA912" i="1"/>
  <c r="Z912" i="1"/>
  <c r="AC911" i="1"/>
  <c r="AB911" i="1"/>
  <c r="AA911" i="1"/>
  <c r="Z911" i="1"/>
  <c r="AC910" i="1"/>
  <c r="AB910" i="1"/>
  <c r="AA910" i="1"/>
  <c r="Z910" i="1"/>
  <c r="AC909" i="1"/>
  <c r="AB909" i="1"/>
  <c r="AA909" i="1"/>
  <c r="Z909" i="1"/>
  <c r="AC908" i="1"/>
  <c r="AB908" i="1"/>
  <c r="AA908" i="1"/>
  <c r="Z908" i="1"/>
  <c r="AC907" i="1"/>
  <c r="AB907" i="1"/>
  <c r="AA907" i="1"/>
  <c r="Z907" i="1"/>
  <c r="AC906" i="1"/>
  <c r="AB906" i="1"/>
  <c r="AA906" i="1"/>
  <c r="Z906" i="1"/>
  <c r="AC905" i="1"/>
  <c r="AB905" i="1"/>
  <c r="AA905" i="1"/>
  <c r="Z905" i="1"/>
  <c r="AC904" i="1"/>
  <c r="AB904" i="1"/>
  <c r="AA904" i="1"/>
  <c r="Z904" i="1"/>
  <c r="AC903" i="1"/>
  <c r="AB903" i="1"/>
  <c r="AA903" i="1"/>
  <c r="Z903" i="1"/>
  <c r="AC902" i="1"/>
  <c r="AB902" i="1"/>
  <c r="AA902" i="1"/>
  <c r="Z902" i="1"/>
  <c r="AC901" i="1"/>
  <c r="AB901" i="1"/>
  <c r="AA901" i="1"/>
  <c r="Z901" i="1"/>
  <c r="AC900" i="1"/>
  <c r="AB900" i="1"/>
  <c r="AA900" i="1"/>
  <c r="Z900" i="1"/>
  <c r="AC899" i="1"/>
  <c r="AB899" i="1"/>
  <c r="AA899" i="1"/>
  <c r="Z899" i="1"/>
  <c r="AC898" i="1"/>
  <c r="AB898" i="1"/>
  <c r="AA898" i="1"/>
  <c r="Z898" i="1"/>
  <c r="AC897" i="1"/>
  <c r="AB897" i="1"/>
  <c r="AA897" i="1"/>
  <c r="Z897" i="1"/>
  <c r="AC896" i="1"/>
  <c r="AB896" i="1"/>
  <c r="AA896" i="1"/>
  <c r="Z896" i="1"/>
  <c r="AC895" i="1"/>
  <c r="AB895" i="1"/>
  <c r="AA895" i="1"/>
  <c r="Z895" i="1"/>
  <c r="AC894" i="1"/>
  <c r="AB894" i="1"/>
  <c r="AA894" i="1"/>
  <c r="Z894" i="1"/>
  <c r="AC893" i="1"/>
  <c r="AB893" i="1"/>
  <c r="AA893" i="1"/>
  <c r="Z893" i="1"/>
  <c r="AC892" i="1"/>
  <c r="AB892" i="1"/>
  <c r="AA892" i="1"/>
  <c r="Z892" i="1"/>
  <c r="AC891" i="1"/>
  <c r="AB891" i="1"/>
  <c r="AA891" i="1"/>
  <c r="Z891" i="1"/>
  <c r="AC890" i="1"/>
  <c r="AB890" i="1"/>
  <c r="AA890" i="1"/>
  <c r="Z890" i="1"/>
  <c r="AC889" i="1"/>
  <c r="AB889" i="1"/>
  <c r="AA889" i="1"/>
  <c r="Z889" i="1"/>
  <c r="AC888" i="1"/>
  <c r="AB888" i="1"/>
  <c r="AA888" i="1"/>
  <c r="Z888" i="1"/>
  <c r="AC887" i="1"/>
  <c r="AB887" i="1"/>
  <c r="AA887" i="1"/>
  <c r="Z887" i="1"/>
  <c r="AC886" i="1"/>
  <c r="AB886" i="1"/>
  <c r="AA886" i="1"/>
  <c r="Z886" i="1"/>
  <c r="AC885" i="1"/>
  <c r="AB885" i="1"/>
  <c r="AA885" i="1"/>
  <c r="Z885" i="1"/>
  <c r="AC884" i="1"/>
  <c r="AB884" i="1"/>
  <c r="AA884" i="1"/>
  <c r="Z884" i="1"/>
  <c r="AC883" i="1"/>
  <c r="AB883" i="1"/>
  <c r="AA883" i="1"/>
  <c r="Z883" i="1"/>
  <c r="AC882" i="1"/>
  <c r="AB882" i="1"/>
  <c r="AA882" i="1"/>
  <c r="Z882" i="1"/>
  <c r="AC881" i="1"/>
  <c r="AB881" i="1"/>
  <c r="AA881" i="1"/>
  <c r="Z881" i="1"/>
  <c r="AC880" i="1"/>
  <c r="AB880" i="1"/>
  <c r="AA880" i="1"/>
  <c r="Z880" i="1"/>
  <c r="AC879" i="1"/>
  <c r="AB879" i="1"/>
  <c r="AA879" i="1"/>
  <c r="Z879" i="1"/>
  <c r="AC878" i="1"/>
  <c r="AB878" i="1"/>
  <c r="AA878" i="1"/>
  <c r="Z878" i="1"/>
  <c r="AC877" i="1"/>
  <c r="AB877" i="1"/>
  <c r="AA877" i="1"/>
  <c r="Z877" i="1"/>
  <c r="AC876" i="1"/>
  <c r="AB876" i="1"/>
  <c r="AA876" i="1"/>
  <c r="Z876" i="1"/>
  <c r="AC875" i="1"/>
  <c r="AB875" i="1"/>
  <c r="AA875" i="1"/>
  <c r="Z875" i="1"/>
  <c r="AC874" i="1"/>
  <c r="AB874" i="1"/>
  <c r="AA874" i="1"/>
  <c r="Z874" i="1"/>
  <c r="AC873" i="1"/>
  <c r="AB873" i="1"/>
  <c r="AA873" i="1"/>
  <c r="Z873" i="1"/>
  <c r="AC872" i="1"/>
  <c r="AB872" i="1"/>
  <c r="AA872" i="1"/>
  <c r="Z872" i="1"/>
  <c r="AC871" i="1"/>
  <c r="AB871" i="1"/>
  <c r="AA871" i="1"/>
  <c r="Z871" i="1"/>
  <c r="AC870" i="1"/>
  <c r="AB870" i="1"/>
  <c r="AA870" i="1"/>
  <c r="Z870" i="1"/>
  <c r="AC869" i="1"/>
  <c r="AB869" i="1"/>
  <c r="AA869" i="1"/>
  <c r="Z869" i="1"/>
  <c r="AC868" i="1"/>
  <c r="AB868" i="1"/>
  <c r="AA868" i="1"/>
  <c r="Z868" i="1"/>
  <c r="AC867" i="1"/>
  <c r="AB867" i="1"/>
  <c r="AA867" i="1"/>
  <c r="Z867" i="1"/>
  <c r="AC866" i="1"/>
  <c r="AB866" i="1"/>
  <c r="AA866" i="1"/>
  <c r="Z866" i="1"/>
  <c r="AC865" i="1"/>
  <c r="AB865" i="1"/>
  <c r="AA865" i="1"/>
  <c r="Z865" i="1"/>
  <c r="AC864" i="1"/>
  <c r="AB864" i="1"/>
  <c r="AA864" i="1"/>
  <c r="Z864" i="1"/>
  <c r="AC863" i="1"/>
  <c r="AB863" i="1"/>
  <c r="AA863" i="1"/>
  <c r="Z863" i="1"/>
  <c r="AC862" i="1"/>
  <c r="AB862" i="1"/>
  <c r="AA862" i="1"/>
  <c r="Z862" i="1"/>
  <c r="AC861" i="1"/>
  <c r="AB861" i="1"/>
  <c r="AA861" i="1"/>
  <c r="Z861" i="1"/>
  <c r="AC860" i="1"/>
  <c r="AB860" i="1"/>
  <c r="AA860" i="1"/>
  <c r="Z860" i="1"/>
  <c r="AC859" i="1"/>
  <c r="AB859" i="1"/>
  <c r="AA859" i="1"/>
  <c r="Z859" i="1"/>
  <c r="AC858" i="1"/>
  <c r="AB858" i="1"/>
  <c r="AA858" i="1"/>
  <c r="Z858" i="1"/>
  <c r="AC857" i="1"/>
  <c r="AB857" i="1"/>
  <c r="AA857" i="1"/>
  <c r="Z857" i="1"/>
  <c r="AC856" i="1"/>
  <c r="AB856" i="1"/>
  <c r="AA856" i="1"/>
  <c r="Z856" i="1"/>
  <c r="AC855" i="1"/>
  <c r="AB855" i="1"/>
  <c r="AA855" i="1"/>
  <c r="Z855" i="1"/>
  <c r="AC854" i="1"/>
  <c r="AB854" i="1"/>
  <c r="AA854" i="1"/>
  <c r="Z854" i="1"/>
  <c r="AC853" i="1"/>
  <c r="AB853" i="1"/>
  <c r="AA853" i="1"/>
  <c r="Z853" i="1"/>
  <c r="AC852" i="1"/>
  <c r="AB852" i="1"/>
  <c r="AA852" i="1"/>
  <c r="Z852" i="1"/>
  <c r="AC851" i="1"/>
  <c r="AB851" i="1"/>
  <c r="AA851" i="1"/>
  <c r="Z851" i="1"/>
  <c r="AC850" i="1"/>
  <c r="AB850" i="1"/>
  <c r="AA850" i="1"/>
  <c r="Z850" i="1"/>
  <c r="AC849" i="1"/>
  <c r="AB849" i="1"/>
  <c r="AA849" i="1"/>
  <c r="Z849" i="1"/>
  <c r="AC848" i="1"/>
  <c r="AB848" i="1"/>
  <c r="AA848" i="1"/>
  <c r="Z848" i="1"/>
  <c r="AC847" i="1"/>
  <c r="AB847" i="1"/>
  <c r="AA847" i="1"/>
  <c r="Z847" i="1"/>
  <c r="AC846" i="1"/>
  <c r="AB846" i="1"/>
  <c r="AA846" i="1"/>
  <c r="Z846" i="1"/>
  <c r="AC845" i="1"/>
  <c r="AB845" i="1"/>
  <c r="AA845" i="1"/>
  <c r="Z845" i="1"/>
  <c r="AC844" i="1"/>
  <c r="AB844" i="1"/>
  <c r="AA844" i="1"/>
  <c r="Z844" i="1"/>
  <c r="AC843" i="1"/>
  <c r="AB843" i="1"/>
  <c r="AA843" i="1"/>
  <c r="Z843" i="1"/>
  <c r="AC842" i="1"/>
  <c r="AB842" i="1"/>
  <c r="AA842" i="1"/>
  <c r="Z842" i="1"/>
  <c r="AC841" i="1"/>
  <c r="AB841" i="1"/>
  <c r="AA841" i="1"/>
  <c r="Z841" i="1"/>
  <c r="AC840" i="1"/>
  <c r="AB840" i="1"/>
  <c r="AA840" i="1"/>
  <c r="Z840" i="1"/>
  <c r="AC839" i="1"/>
  <c r="AB839" i="1"/>
  <c r="AA839" i="1"/>
  <c r="Z839" i="1"/>
  <c r="AC838" i="1"/>
  <c r="AB838" i="1"/>
  <c r="AA838" i="1"/>
  <c r="Z838" i="1"/>
  <c r="AC837" i="1"/>
  <c r="AB837" i="1"/>
  <c r="AA837" i="1"/>
  <c r="Z837" i="1"/>
  <c r="AC836" i="1"/>
  <c r="AB836" i="1"/>
  <c r="AA836" i="1"/>
  <c r="Z836" i="1"/>
  <c r="AC835" i="1"/>
  <c r="AB835" i="1"/>
  <c r="AA835" i="1"/>
  <c r="Z835" i="1"/>
  <c r="AC834" i="1"/>
  <c r="AB834" i="1"/>
  <c r="AA834" i="1"/>
  <c r="Z834" i="1"/>
  <c r="AC833" i="1"/>
  <c r="AB833" i="1"/>
  <c r="AA833" i="1"/>
  <c r="Z833" i="1"/>
  <c r="AC832" i="1"/>
  <c r="AB832" i="1"/>
  <c r="AA832" i="1"/>
  <c r="Z832" i="1"/>
  <c r="AC831" i="1"/>
  <c r="AB831" i="1"/>
  <c r="AA831" i="1"/>
  <c r="Z831" i="1"/>
  <c r="AC830" i="1"/>
  <c r="AB830" i="1"/>
  <c r="AA830" i="1"/>
  <c r="Z830" i="1"/>
  <c r="AC829" i="1"/>
  <c r="AB829" i="1"/>
  <c r="AA829" i="1"/>
  <c r="Z829" i="1"/>
  <c r="AC828" i="1"/>
  <c r="AB828" i="1"/>
  <c r="AA828" i="1"/>
  <c r="Z828" i="1"/>
  <c r="AC827" i="1"/>
  <c r="AB827" i="1"/>
  <c r="AA827" i="1"/>
  <c r="Z827" i="1"/>
  <c r="AC826" i="1"/>
  <c r="AB826" i="1"/>
  <c r="AA826" i="1"/>
  <c r="Z826" i="1"/>
  <c r="AC825" i="1"/>
  <c r="AB825" i="1"/>
  <c r="AA825" i="1"/>
  <c r="Z825" i="1"/>
  <c r="AC824" i="1"/>
  <c r="AB824" i="1"/>
  <c r="AA824" i="1"/>
  <c r="Z824" i="1"/>
  <c r="AC823" i="1"/>
  <c r="AB823" i="1"/>
  <c r="AA823" i="1"/>
  <c r="Z823" i="1"/>
  <c r="AC822" i="1"/>
  <c r="AB822" i="1"/>
  <c r="AA822" i="1"/>
  <c r="Z822" i="1"/>
  <c r="AC821" i="1"/>
  <c r="AB821" i="1"/>
  <c r="AA821" i="1"/>
  <c r="Z821" i="1"/>
  <c r="AC820" i="1"/>
  <c r="AB820" i="1"/>
  <c r="AA820" i="1"/>
  <c r="Z820" i="1"/>
  <c r="AC819" i="1"/>
  <c r="AB819" i="1"/>
  <c r="AA819" i="1"/>
  <c r="Z819" i="1"/>
  <c r="AC818" i="1"/>
  <c r="AB818" i="1"/>
  <c r="AA818" i="1"/>
  <c r="Z818" i="1"/>
  <c r="AC817" i="1"/>
  <c r="AB817" i="1"/>
  <c r="AA817" i="1"/>
  <c r="Z817" i="1"/>
  <c r="AC816" i="1"/>
  <c r="AB816" i="1"/>
  <c r="AA816" i="1"/>
  <c r="Z816" i="1"/>
  <c r="AC815" i="1"/>
  <c r="AB815" i="1"/>
  <c r="AA815" i="1"/>
  <c r="Z815" i="1"/>
  <c r="AC814" i="1"/>
  <c r="AB814" i="1"/>
  <c r="AA814" i="1"/>
  <c r="Z814" i="1"/>
  <c r="AC813" i="1"/>
  <c r="AB813" i="1"/>
  <c r="AA813" i="1"/>
  <c r="Z813" i="1"/>
  <c r="AC812" i="1"/>
  <c r="AB812" i="1"/>
  <c r="AA812" i="1"/>
  <c r="Z812" i="1"/>
  <c r="AC811" i="1"/>
  <c r="AB811" i="1"/>
  <c r="AA811" i="1"/>
  <c r="Z811" i="1"/>
  <c r="AC810" i="1"/>
  <c r="AB810" i="1"/>
  <c r="AA810" i="1"/>
  <c r="Z810" i="1"/>
  <c r="AC809" i="1"/>
  <c r="AB809" i="1"/>
  <c r="AA809" i="1"/>
  <c r="Z809" i="1"/>
  <c r="AC808" i="1"/>
  <c r="AB808" i="1"/>
  <c r="AA808" i="1"/>
  <c r="Z808" i="1"/>
  <c r="AC807" i="1"/>
  <c r="AB807" i="1"/>
  <c r="AA807" i="1"/>
  <c r="Z807" i="1"/>
  <c r="AC806" i="1"/>
  <c r="AB806" i="1"/>
  <c r="AA806" i="1"/>
  <c r="Z806" i="1"/>
  <c r="AC805" i="1"/>
  <c r="AB805" i="1"/>
  <c r="AA805" i="1"/>
  <c r="Z805" i="1"/>
  <c r="AC804" i="1"/>
  <c r="AB804" i="1"/>
  <c r="AA804" i="1"/>
  <c r="Z804" i="1"/>
  <c r="AC803" i="1"/>
  <c r="AB803" i="1"/>
  <c r="AA803" i="1"/>
  <c r="Z803" i="1"/>
  <c r="AC802" i="1"/>
  <c r="AB802" i="1"/>
  <c r="AA802" i="1"/>
  <c r="Z802" i="1"/>
  <c r="AC801" i="1"/>
  <c r="AB801" i="1"/>
  <c r="AA801" i="1"/>
  <c r="Z801" i="1"/>
  <c r="AC800" i="1"/>
  <c r="AB800" i="1"/>
  <c r="AA800" i="1"/>
  <c r="Z800" i="1"/>
  <c r="AC799" i="1"/>
  <c r="AB799" i="1"/>
  <c r="AA799" i="1"/>
  <c r="Z799" i="1"/>
  <c r="AC798" i="1"/>
  <c r="AB798" i="1"/>
  <c r="AA798" i="1"/>
  <c r="Z798" i="1"/>
  <c r="AC797" i="1"/>
  <c r="AB797" i="1"/>
  <c r="AA797" i="1"/>
  <c r="Z797" i="1"/>
  <c r="AC796" i="1"/>
  <c r="AB796" i="1"/>
  <c r="AA796" i="1"/>
  <c r="Z796" i="1"/>
  <c r="AC795" i="1"/>
  <c r="AB795" i="1"/>
  <c r="AA795" i="1"/>
  <c r="Z795" i="1"/>
  <c r="AC794" i="1"/>
  <c r="AB794" i="1"/>
  <c r="AA794" i="1"/>
  <c r="Z794" i="1"/>
  <c r="AC793" i="1"/>
  <c r="AB793" i="1"/>
  <c r="AA793" i="1"/>
  <c r="Z793" i="1"/>
  <c r="AC792" i="1"/>
  <c r="AB792" i="1"/>
  <c r="AA792" i="1"/>
  <c r="Z792" i="1"/>
  <c r="AC791" i="1"/>
  <c r="AB791" i="1"/>
  <c r="AA791" i="1"/>
  <c r="Z791" i="1"/>
  <c r="AC790" i="1"/>
  <c r="AB790" i="1"/>
  <c r="AA790" i="1"/>
  <c r="Z790" i="1"/>
  <c r="AC789" i="1"/>
  <c r="AB789" i="1"/>
  <c r="AA789" i="1"/>
  <c r="Z789" i="1"/>
  <c r="AC788" i="1"/>
  <c r="AB788" i="1"/>
  <c r="AA788" i="1"/>
  <c r="Z788" i="1"/>
  <c r="AC787" i="1"/>
  <c r="AB787" i="1"/>
  <c r="AA787" i="1"/>
  <c r="Z787" i="1"/>
  <c r="AC786" i="1"/>
  <c r="AB786" i="1"/>
  <c r="AA786" i="1"/>
  <c r="Z786" i="1"/>
  <c r="AC785" i="1"/>
  <c r="AB785" i="1"/>
  <c r="AA785" i="1"/>
  <c r="Z785" i="1"/>
  <c r="AC784" i="1"/>
  <c r="AB784" i="1"/>
  <c r="AA784" i="1"/>
  <c r="Z784" i="1"/>
  <c r="AC783" i="1"/>
  <c r="AB783" i="1"/>
  <c r="AA783" i="1"/>
  <c r="Z783" i="1"/>
  <c r="AC782" i="1"/>
  <c r="AB782" i="1"/>
  <c r="AA782" i="1"/>
  <c r="Z782" i="1"/>
  <c r="AC781" i="1"/>
  <c r="AB781" i="1"/>
  <c r="AA781" i="1"/>
  <c r="Z781" i="1"/>
  <c r="AC780" i="1"/>
  <c r="AB780" i="1"/>
  <c r="AA780" i="1"/>
  <c r="Z780" i="1"/>
  <c r="AC779" i="1"/>
  <c r="AB779" i="1"/>
  <c r="AA779" i="1"/>
  <c r="Z779" i="1"/>
  <c r="AC778" i="1"/>
  <c r="AB778" i="1"/>
  <c r="AA778" i="1"/>
  <c r="Z778" i="1"/>
  <c r="AC777" i="1"/>
  <c r="AB777" i="1"/>
  <c r="AA777" i="1"/>
  <c r="Z777" i="1"/>
  <c r="AC776" i="1"/>
  <c r="AB776" i="1"/>
  <c r="AA776" i="1"/>
  <c r="Z776" i="1"/>
  <c r="AC775" i="1"/>
  <c r="AB775" i="1"/>
  <c r="AA775" i="1"/>
  <c r="Z775" i="1"/>
  <c r="AC774" i="1"/>
  <c r="AB774" i="1"/>
  <c r="AA774" i="1"/>
  <c r="Z774" i="1"/>
  <c r="AC773" i="1"/>
  <c r="AB773" i="1"/>
  <c r="AA773" i="1"/>
  <c r="Z773" i="1"/>
  <c r="AC772" i="1"/>
  <c r="AB772" i="1"/>
  <c r="AA772" i="1"/>
  <c r="Z772" i="1"/>
  <c r="AC771" i="1"/>
  <c r="AB771" i="1"/>
  <c r="AA771" i="1"/>
  <c r="Z771" i="1"/>
  <c r="AC770" i="1"/>
  <c r="AB770" i="1"/>
  <c r="AA770" i="1"/>
  <c r="Z770" i="1"/>
  <c r="AC769" i="1"/>
  <c r="AB769" i="1"/>
  <c r="AA769" i="1"/>
  <c r="Z769" i="1"/>
  <c r="AC768" i="1"/>
  <c r="AB768" i="1"/>
  <c r="AA768" i="1"/>
  <c r="Z768" i="1"/>
  <c r="AC767" i="1"/>
  <c r="AB767" i="1"/>
  <c r="AA767" i="1"/>
  <c r="Z767" i="1"/>
  <c r="AC766" i="1"/>
  <c r="AB766" i="1"/>
  <c r="AA766" i="1"/>
  <c r="Z766" i="1"/>
  <c r="AC765" i="1"/>
  <c r="AB765" i="1"/>
  <c r="AA765" i="1"/>
  <c r="Z765" i="1"/>
  <c r="AC764" i="1"/>
  <c r="AB764" i="1"/>
  <c r="AA764" i="1"/>
  <c r="Z764" i="1"/>
  <c r="AC763" i="1"/>
  <c r="AB763" i="1"/>
  <c r="AA763" i="1"/>
  <c r="Z763" i="1"/>
  <c r="AC762" i="1"/>
  <c r="AB762" i="1"/>
  <c r="AA762" i="1"/>
  <c r="Z762" i="1"/>
  <c r="AC761" i="1"/>
  <c r="AB761" i="1"/>
  <c r="AA761" i="1"/>
  <c r="Z761" i="1"/>
  <c r="AC760" i="1"/>
  <c r="AB760" i="1"/>
  <c r="AA760" i="1"/>
  <c r="Z760" i="1"/>
  <c r="AC759" i="1"/>
  <c r="AB759" i="1"/>
  <c r="AA759" i="1"/>
  <c r="Z759" i="1"/>
  <c r="AC758" i="1"/>
  <c r="AB758" i="1"/>
  <c r="AA758" i="1"/>
  <c r="Z758" i="1"/>
  <c r="AC757" i="1"/>
  <c r="AB757" i="1"/>
  <c r="AA757" i="1"/>
  <c r="Z757" i="1"/>
  <c r="AC756" i="1"/>
  <c r="AB756" i="1"/>
  <c r="AA756" i="1"/>
  <c r="Z756" i="1"/>
  <c r="AC755" i="1"/>
  <c r="AB755" i="1"/>
  <c r="AA755" i="1"/>
  <c r="Z755" i="1"/>
  <c r="AC754" i="1"/>
  <c r="AB754" i="1"/>
  <c r="AA754" i="1"/>
  <c r="Z754" i="1"/>
  <c r="AC753" i="1"/>
  <c r="AB753" i="1"/>
  <c r="AA753" i="1"/>
  <c r="Z753" i="1"/>
  <c r="AC752" i="1"/>
  <c r="AB752" i="1"/>
  <c r="AA752" i="1"/>
  <c r="Z752" i="1"/>
  <c r="AC751" i="1"/>
  <c r="AB751" i="1"/>
  <c r="AA751" i="1"/>
  <c r="Z751" i="1"/>
  <c r="AC750" i="1"/>
  <c r="AB750" i="1"/>
  <c r="AA750" i="1"/>
  <c r="Z750" i="1"/>
  <c r="AC749" i="1"/>
  <c r="AB749" i="1"/>
  <c r="AA749" i="1"/>
  <c r="Z749" i="1"/>
  <c r="AC748" i="1"/>
  <c r="AB748" i="1"/>
  <c r="AA748" i="1"/>
  <c r="Z748" i="1"/>
  <c r="AC747" i="1"/>
  <c r="AB747" i="1"/>
  <c r="AA747" i="1"/>
  <c r="Z747" i="1"/>
  <c r="AC746" i="1"/>
  <c r="AB746" i="1"/>
  <c r="AA746" i="1"/>
  <c r="Z746" i="1"/>
  <c r="AC745" i="1"/>
  <c r="AB745" i="1"/>
  <c r="AA745" i="1"/>
  <c r="Z745" i="1"/>
  <c r="AC744" i="1"/>
  <c r="AB744" i="1"/>
  <c r="AA744" i="1"/>
  <c r="Z744" i="1"/>
  <c r="AC743" i="1"/>
  <c r="AB743" i="1"/>
  <c r="AA743" i="1"/>
  <c r="Z743" i="1"/>
  <c r="AC742" i="1"/>
  <c r="AB742" i="1"/>
  <c r="AA742" i="1"/>
  <c r="Z742" i="1"/>
  <c r="AC741" i="1"/>
  <c r="AB741" i="1"/>
  <c r="AA741" i="1"/>
  <c r="Z741" i="1"/>
  <c r="AC740" i="1"/>
  <c r="AB740" i="1"/>
  <c r="AA740" i="1"/>
  <c r="Z740" i="1"/>
  <c r="AC739" i="1"/>
  <c r="AB739" i="1"/>
  <c r="AA739" i="1"/>
  <c r="Z739" i="1"/>
  <c r="AC738" i="1"/>
  <c r="AB738" i="1"/>
  <c r="AA738" i="1"/>
  <c r="Z738" i="1"/>
  <c r="AC737" i="1"/>
  <c r="AB737" i="1"/>
  <c r="AA737" i="1"/>
  <c r="Z737" i="1"/>
  <c r="AC736" i="1"/>
  <c r="AB736" i="1"/>
  <c r="AA736" i="1"/>
  <c r="Z736" i="1"/>
  <c r="AC735" i="1"/>
  <c r="AB735" i="1"/>
  <c r="AA735" i="1"/>
  <c r="Z735" i="1"/>
  <c r="AC734" i="1"/>
  <c r="AB734" i="1"/>
  <c r="AA734" i="1"/>
  <c r="Z734" i="1"/>
  <c r="AC733" i="1"/>
  <c r="AB733" i="1"/>
  <c r="AA733" i="1"/>
  <c r="Z733" i="1"/>
  <c r="AC732" i="1"/>
  <c r="AB732" i="1"/>
  <c r="AA732" i="1"/>
  <c r="Z732" i="1"/>
  <c r="AC731" i="1"/>
  <c r="AB731" i="1"/>
  <c r="AA731" i="1"/>
  <c r="Z731" i="1"/>
  <c r="AC730" i="1"/>
  <c r="AB730" i="1"/>
  <c r="AA730" i="1"/>
  <c r="Z730" i="1"/>
  <c r="AC729" i="1"/>
  <c r="AB729" i="1"/>
  <c r="AA729" i="1"/>
  <c r="Z729" i="1"/>
  <c r="AC728" i="1"/>
  <c r="AB728" i="1"/>
  <c r="AA728" i="1"/>
  <c r="Z728" i="1"/>
  <c r="AC727" i="1"/>
  <c r="AB727" i="1"/>
  <c r="AA727" i="1"/>
  <c r="Z727" i="1"/>
  <c r="AC726" i="1"/>
  <c r="AB726" i="1"/>
  <c r="AA726" i="1"/>
  <c r="Z726" i="1"/>
  <c r="AC725" i="1"/>
  <c r="AB725" i="1"/>
  <c r="AA725" i="1"/>
  <c r="Z725" i="1"/>
  <c r="AC724" i="1"/>
  <c r="AB724" i="1"/>
  <c r="AA724" i="1"/>
  <c r="Z724" i="1"/>
  <c r="AC723" i="1"/>
  <c r="AB723" i="1"/>
  <c r="AA723" i="1"/>
  <c r="Z723" i="1"/>
  <c r="AC722" i="1"/>
  <c r="AB722" i="1"/>
  <c r="AA722" i="1"/>
  <c r="Z722" i="1"/>
  <c r="AC721" i="1"/>
  <c r="AB721" i="1"/>
  <c r="AA721" i="1"/>
  <c r="Z721" i="1"/>
  <c r="AC720" i="1"/>
  <c r="AB720" i="1"/>
  <c r="AA720" i="1"/>
  <c r="Z720" i="1"/>
  <c r="AC719" i="1"/>
  <c r="AB719" i="1"/>
  <c r="AA719" i="1"/>
  <c r="Z719" i="1"/>
  <c r="AC718" i="1"/>
  <c r="AB718" i="1"/>
  <c r="AA718" i="1"/>
  <c r="Z718" i="1"/>
  <c r="AC717" i="1"/>
  <c r="AB717" i="1"/>
  <c r="AA717" i="1"/>
  <c r="Z717" i="1"/>
  <c r="AC716" i="1"/>
  <c r="AB716" i="1"/>
  <c r="AA716" i="1"/>
  <c r="Z716" i="1"/>
  <c r="AC715" i="1"/>
  <c r="AB715" i="1"/>
  <c r="AA715" i="1"/>
  <c r="Z715" i="1"/>
  <c r="AC714" i="1"/>
  <c r="AB714" i="1"/>
  <c r="AA714" i="1"/>
  <c r="Z714" i="1"/>
  <c r="AC713" i="1"/>
  <c r="AB713" i="1"/>
  <c r="AA713" i="1"/>
  <c r="Z713" i="1"/>
  <c r="AC712" i="1"/>
  <c r="AB712" i="1"/>
  <c r="AA712" i="1"/>
  <c r="Z712" i="1"/>
  <c r="AC711" i="1"/>
  <c r="AB711" i="1"/>
  <c r="AA711" i="1"/>
  <c r="Z711" i="1"/>
  <c r="AC710" i="1"/>
  <c r="AB710" i="1"/>
  <c r="AA710" i="1"/>
  <c r="Z710" i="1"/>
  <c r="AC709" i="1"/>
  <c r="AB709" i="1"/>
  <c r="AA709" i="1"/>
  <c r="Z709" i="1"/>
  <c r="AC708" i="1"/>
  <c r="AB708" i="1"/>
  <c r="AA708" i="1"/>
  <c r="Z708" i="1"/>
  <c r="AC707" i="1"/>
  <c r="AB707" i="1"/>
  <c r="AA707" i="1"/>
  <c r="Z707" i="1"/>
  <c r="AC706" i="1"/>
  <c r="AB706" i="1"/>
  <c r="AA706" i="1"/>
  <c r="Z706" i="1"/>
  <c r="AC705" i="1"/>
  <c r="AB705" i="1"/>
  <c r="AA705" i="1"/>
  <c r="Z705" i="1"/>
  <c r="AC704" i="1"/>
  <c r="AB704" i="1"/>
  <c r="AA704" i="1"/>
  <c r="Z704" i="1"/>
  <c r="AC703" i="1"/>
  <c r="AB703" i="1"/>
  <c r="AA703" i="1"/>
  <c r="Z703" i="1"/>
  <c r="AC702" i="1"/>
  <c r="AB702" i="1"/>
  <c r="AA702" i="1"/>
  <c r="Z702" i="1"/>
  <c r="AC701" i="1"/>
  <c r="AB701" i="1"/>
  <c r="AA701" i="1"/>
  <c r="Z701" i="1"/>
  <c r="AC700" i="1"/>
  <c r="AB700" i="1"/>
  <c r="AA700" i="1"/>
  <c r="Z700" i="1"/>
  <c r="AC699" i="1"/>
  <c r="AB699" i="1"/>
  <c r="AA699" i="1"/>
  <c r="Z699" i="1"/>
  <c r="AC698" i="1"/>
  <c r="AB698" i="1"/>
  <c r="AA698" i="1"/>
  <c r="Z698" i="1"/>
  <c r="AC697" i="1"/>
  <c r="AB697" i="1"/>
  <c r="AA697" i="1"/>
  <c r="Z697" i="1"/>
  <c r="AC696" i="1"/>
  <c r="AB696" i="1"/>
  <c r="AA696" i="1"/>
  <c r="Z696" i="1"/>
  <c r="AC695" i="1"/>
  <c r="AB695" i="1"/>
  <c r="AA695" i="1"/>
  <c r="Z695" i="1"/>
  <c r="AC694" i="1"/>
  <c r="AB694" i="1"/>
  <c r="AA694" i="1"/>
  <c r="Z694" i="1"/>
  <c r="AC693" i="1"/>
  <c r="AB693" i="1"/>
  <c r="AA693" i="1"/>
  <c r="Z693" i="1"/>
  <c r="AC692" i="1"/>
  <c r="AB692" i="1"/>
  <c r="AA692" i="1"/>
  <c r="Z692" i="1"/>
  <c r="AC691" i="1"/>
  <c r="AB691" i="1"/>
  <c r="AA691" i="1"/>
  <c r="Z691" i="1"/>
  <c r="AC690" i="1"/>
  <c r="AB690" i="1"/>
  <c r="AA690" i="1"/>
  <c r="Z690" i="1"/>
  <c r="AC689" i="1"/>
  <c r="AB689" i="1"/>
  <c r="AA689" i="1"/>
  <c r="Z689" i="1"/>
  <c r="AC688" i="1"/>
  <c r="AB688" i="1"/>
  <c r="AA688" i="1"/>
  <c r="Z688" i="1"/>
  <c r="AC687" i="1"/>
  <c r="AB687" i="1"/>
  <c r="AA687" i="1"/>
  <c r="Z687" i="1"/>
  <c r="AC686" i="1"/>
  <c r="AB686" i="1"/>
  <c r="AA686" i="1"/>
  <c r="Z686" i="1"/>
  <c r="AC685" i="1"/>
  <c r="AB685" i="1"/>
  <c r="AA685" i="1"/>
  <c r="Z685" i="1"/>
  <c r="AC684" i="1"/>
  <c r="AB684" i="1"/>
  <c r="AA684" i="1"/>
  <c r="Z684" i="1"/>
  <c r="AC683" i="1"/>
  <c r="AB683" i="1"/>
  <c r="AA683" i="1"/>
  <c r="Z683" i="1"/>
  <c r="AC682" i="1"/>
  <c r="AB682" i="1"/>
  <c r="AA682" i="1"/>
  <c r="Z682" i="1"/>
  <c r="AC681" i="1"/>
  <c r="AB681" i="1"/>
  <c r="AA681" i="1"/>
  <c r="Z681" i="1"/>
  <c r="AC680" i="1"/>
  <c r="AB680" i="1"/>
  <c r="AA680" i="1"/>
  <c r="Z680" i="1"/>
  <c r="AC679" i="1"/>
  <c r="AB679" i="1"/>
  <c r="AA679" i="1"/>
  <c r="Z679" i="1"/>
  <c r="AC678" i="1"/>
  <c r="AB678" i="1"/>
  <c r="AA678" i="1"/>
  <c r="Z678" i="1"/>
  <c r="AC677" i="1"/>
  <c r="AB677" i="1"/>
  <c r="AA677" i="1"/>
  <c r="Z677" i="1"/>
  <c r="AC676" i="1"/>
  <c r="AB676" i="1"/>
  <c r="AA676" i="1"/>
  <c r="Z676" i="1"/>
  <c r="AC675" i="1"/>
  <c r="AB675" i="1"/>
  <c r="AA675" i="1"/>
  <c r="Z675" i="1"/>
  <c r="AC674" i="1"/>
  <c r="AB674" i="1"/>
  <c r="AA674" i="1"/>
  <c r="Z674" i="1"/>
  <c r="AC673" i="1"/>
  <c r="AB673" i="1"/>
  <c r="AA673" i="1"/>
  <c r="Z673" i="1"/>
  <c r="AC672" i="1"/>
  <c r="AB672" i="1"/>
  <c r="AA672" i="1"/>
  <c r="Z672" i="1"/>
  <c r="AC671" i="1"/>
  <c r="AB671" i="1"/>
  <c r="AA671" i="1"/>
  <c r="Z671" i="1"/>
  <c r="AC670" i="1"/>
  <c r="AB670" i="1"/>
  <c r="AA670" i="1"/>
  <c r="Z670" i="1"/>
  <c r="AC669" i="1"/>
  <c r="AB669" i="1"/>
  <c r="AA669" i="1"/>
  <c r="Z669" i="1"/>
  <c r="AC668" i="1"/>
  <c r="AB668" i="1"/>
  <c r="AA668" i="1"/>
  <c r="Z668" i="1"/>
  <c r="AC667" i="1"/>
  <c r="AB667" i="1"/>
  <c r="AA667" i="1"/>
  <c r="Z667" i="1"/>
  <c r="AC666" i="1"/>
  <c r="AB666" i="1"/>
  <c r="AA666" i="1"/>
  <c r="Z666" i="1"/>
  <c r="AC665" i="1"/>
  <c r="AB665" i="1"/>
  <c r="AA665" i="1"/>
  <c r="Z665" i="1"/>
  <c r="AC664" i="1"/>
  <c r="AB664" i="1"/>
  <c r="AA664" i="1"/>
  <c r="Z664" i="1"/>
  <c r="AC663" i="1"/>
  <c r="AB663" i="1"/>
  <c r="AA663" i="1"/>
  <c r="Z663" i="1"/>
  <c r="AC662" i="1"/>
  <c r="AB662" i="1"/>
  <c r="AA662" i="1"/>
  <c r="Z662" i="1"/>
  <c r="AC661" i="1"/>
  <c r="AB661" i="1"/>
  <c r="AA661" i="1"/>
  <c r="Z661" i="1"/>
  <c r="AC660" i="1"/>
  <c r="AB660" i="1"/>
  <c r="AA660" i="1"/>
  <c r="Z660" i="1"/>
  <c r="AC659" i="1"/>
  <c r="AB659" i="1"/>
  <c r="AA659" i="1"/>
  <c r="Z659" i="1"/>
  <c r="AC658" i="1"/>
  <c r="AB658" i="1"/>
  <c r="AA658" i="1"/>
  <c r="Z658" i="1"/>
  <c r="AC657" i="1"/>
  <c r="AB657" i="1"/>
  <c r="AA657" i="1"/>
  <c r="Z657" i="1"/>
  <c r="AC656" i="1"/>
  <c r="AB656" i="1"/>
  <c r="AA656" i="1"/>
  <c r="Z656" i="1"/>
  <c r="AC655" i="1"/>
  <c r="AB655" i="1"/>
  <c r="AA655" i="1"/>
  <c r="Z655" i="1"/>
  <c r="AC654" i="1"/>
  <c r="AB654" i="1"/>
  <c r="AA654" i="1"/>
  <c r="Z654" i="1"/>
  <c r="AC653" i="1"/>
  <c r="AB653" i="1"/>
  <c r="AA653" i="1"/>
  <c r="Z653" i="1"/>
  <c r="AC652" i="1"/>
  <c r="AB652" i="1"/>
  <c r="AA652" i="1"/>
  <c r="Z652" i="1"/>
  <c r="AC651" i="1"/>
  <c r="AB651" i="1"/>
  <c r="AA651" i="1"/>
  <c r="Z651" i="1"/>
  <c r="AC650" i="1"/>
  <c r="AB650" i="1"/>
  <c r="AA650" i="1"/>
  <c r="Z650" i="1"/>
  <c r="AC649" i="1"/>
  <c r="AB649" i="1"/>
  <c r="AA649" i="1"/>
  <c r="Z649" i="1"/>
  <c r="AC648" i="1"/>
  <c r="AB648" i="1"/>
  <c r="AA648" i="1"/>
  <c r="Z648" i="1"/>
  <c r="AC647" i="1"/>
  <c r="AB647" i="1"/>
  <c r="AA647" i="1"/>
  <c r="Z647" i="1"/>
  <c r="AC646" i="1"/>
  <c r="AB646" i="1"/>
  <c r="AA646" i="1"/>
  <c r="Z646" i="1"/>
  <c r="AC645" i="1"/>
  <c r="AB645" i="1"/>
  <c r="AA645" i="1"/>
  <c r="Z645" i="1"/>
  <c r="AC644" i="1"/>
  <c r="AB644" i="1"/>
  <c r="AA644" i="1"/>
  <c r="Z644" i="1"/>
  <c r="AC643" i="1"/>
  <c r="AB643" i="1"/>
  <c r="AA643" i="1"/>
  <c r="Z643" i="1"/>
  <c r="AC642" i="1"/>
  <c r="AB642" i="1"/>
  <c r="AA642" i="1"/>
  <c r="Z642" i="1"/>
  <c r="AC641" i="1"/>
  <c r="AB641" i="1"/>
  <c r="AA641" i="1"/>
  <c r="Z641" i="1"/>
  <c r="AC640" i="1"/>
  <c r="AB640" i="1"/>
  <c r="AA640" i="1"/>
  <c r="Z640" i="1"/>
  <c r="AC639" i="1"/>
  <c r="AB639" i="1"/>
  <c r="AA639" i="1"/>
  <c r="Z639" i="1"/>
  <c r="AC638" i="1"/>
  <c r="AB638" i="1"/>
  <c r="AA638" i="1"/>
  <c r="Z638" i="1"/>
  <c r="AC637" i="1"/>
  <c r="AB637" i="1"/>
  <c r="AA637" i="1"/>
  <c r="Z637" i="1"/>
  <c r="AC636" i="1"/>
  <c r="AB636" i="1"/>
  <c r="AA636" i="1"/>
  <c r="Z636" i="1"/>
  <c r="AC635" i="1"/>
  <c r="AB635" i="1"/>
  <c r="AA635" i="1"/>
  <c r="Z635" i="1"/>
  <c r="AC634" i="1"/>
  <c r="AB634" i="1"/>
  <c r="AA634" i="1"/>
  <c r="Z634" i="1"/>
  <c r="AC633" i="1"/>
  <c r="AB633" i="1"/>
  <c r="AA633" i="1"/>
  <c r="Z633" i="1"/>
  <c r="AC632" i="1"/>
  <c r="AB632" i="1"/>
  <c r="AA632" i="1"/>
  <c r="Z632" i="1"/>
  <c r="AC631" i="1"/>
  <c r="AB631" i="1"/>
  <c r="AA631" i="1"/>
  <c r="Z631" i="1"/>
  <c r="AC630" i="1"/>
  <c r="AB630" i="1"/>
  <c r="AA630" i="1"/>
  <c r="Z630" i="1"/>
  <c r="AC629" i="1"/>
  <c r="AB629" i="1"/>
  <c r="AA629" i="1"/>
  <c r="Z629" i="1"/>
  <c r="AC628" i="1"/>
  <c r="AB628" i="1"/>
  <c r="AA628" i="1"/>
  <c r="Z628" i="1"/>
  <c r="AC627" i="1"/>
  <c r="AB627" i="1"/>
  <c r="AA627" i="1"/>
  <c r="Z627" i="1"/>
  <c r="AC626" i="1"/>
  <c r="AB626" i="1"/>
  <c r="AA626" i="1"/>
  <c r="Z626" i="1"/>
  <c r="AC625" i="1"/>
  <c r="AB625" i="1"/>
  <c r="AA625" i="1"/>
  <c r="Z625" i="1"/>
  <c r="AC624" i="1"/>
  <c r="AB624" i="1"/>
  <c r="AA624" i="1"/>
  <c r="Z624" i="1"/>
  <c r="AC623" i="1"/>
  <c r="AB623" i="1"/>
  <c r="AA623" i="1"/>
  <c r="Z623" i="1"/>
  <c r="AC622" i="1"/>
  <c r="AB622" i="1"/>
  <c r="AA622" i="1"/>
  <c r="Z622" i="1"/>
  <c r="AC621" i="1"/>
  <c r="AB621" i="1"/>
  <c r="AA621" i="1"/>
  <c r="Z621" i="1"/>
  <c r="AC620" i="1"/>
  <c r="AB620" i="1"/>
  <c r="AA620" i="1"/>
  <c r="Z620" i="1"/>
  <c r="AC619" i="1"/>
  <c r="AB619" i="1"/>
  <c r="AA619" i="1"/>
  <c r="Z619" i="1"/>
  <c r="AC618" i="1"/>
  <c r="AB618" i="1"/>
  <c r="AA618" i="1"/>
  <c r="Z618" i="1"/>
  <c r="AC617" i="1"/>
  <c r="AB617" i="1"/>
  <c r="AA617" i="1"/>
  <c r="Z617" i="1"/>
  <c r="AC616" i="1"/>
  <c r="AB616" i="1"/>
  <c r="AA616" i="1"/>
  <c r="Z616" i="1"/>
  <c r="AC615" i="1"/>
  <c r="AB615" i="1"/>
  <c r="AA615" i="1"/>
  <c r="Z615" i="1"/>
  <c r="AC614" i="1"/>
  <c r="AB614" i="1"/>
  <c r="AA614" i="1"/>
  <c r="Z614" i="1"/>
  <c r="AC613" i="1"/>
  <c r="AB613" i="1"/>
  <c r="AA613" i="1"/>
  <c r="Z613" i="1"/>
  <c r="AC612" i="1"/>
  <c r="AB612" i="1"/>
  <c r="AA612" i="1"/>
  <c r="Z612" i="1"/>
  <c r="AC611" i="1"/>
  <c r="AB611" i="1"/>
  <c r="AA611" i="1"/>
  <c r="Z611" i="1"/>
  <c r="AC610" i="1"/>
  <c r="AB610" i="1"/>
  <c r="AA610" i="1"/>
  <c r="Z610" i="1"/>
  <c r="AC609" i="1"/>
  <c r="AB609" i="1"/>
  <c r="AA609" i="1"/>
  <c r="Z609" i="1"/>
  <c r="AC608" i="1"/>
  <c r="AB608" i="1"/>
  <c r="AA608" i="1"/>
  <c r="Z608" i="1"/>
  <c r="AC607" i="1"/>
  <c r="AB607" i="1"/>
  <c r="AA607" i="1"/>
  <c r="Z607" i="1"/>
  <c r="AC606" i="1"/>
  <c r="AB606" i="1"/>
  <c r="AA606" i="1"/>
  <c r="Z606" i="1"/>
  <c r="AC605" i="1"/>
  <c r="AB605" i="1"/>
  <c r="AA605" i="1"/>
  <c r="Z605" i="1"/>
  <c r="AC604" i="1"/>
  <c r="AB604" i="1"/>
  <c r="AA604" i="1"/>
  <c r="Z604" i="1"/>
  <c r="AC603" i="1"/>
  <c r="AB603" i="1"/>
  <c r="AA603" i="1"/>
  <c r="Z603" i="1"/>
  <c r="AC602" i="1"/>
  <c r="AB602" i="1"/>
  <c r="AA602" i="1"/>
  <c r="Z602" i="1"/>
  <c r="AC601" i="1"/>
  <c r="AB601" i="1"/>
  <c r="AA601" i="1"/>
  <c r="Z601" i="1"/>
  <c r="AC600" i="1"/>
  <c r="AB600" i="1"/>
  <c r="AA600" i="1"/>
  <c r="Z600" i="1"/>
  <c r="AC599" i="1"/>
  <c r="AB599" i="1"/>
  <c r="AA599" i="1"/>
  <c r="Z599" i="1"/>
  <c r="AC598" i="1"/>
  <c r="AB598" i="1"/>
  <c r="AA598" i="1"/>
  <c r="Z598" i="1"/>
  <c r="AC597" i="1"/>
  <c r="AB597" i="1"/>
  <c r="AA597" i="1"/>
  <c r="Z597" i="1"/>
  <c r="AC596" i="1"/>
  <c r="AB596" i="1"/>
  <c r="AA596" i="1"/>
  <c r="Z596" i="1"/>
  <c r="AC595" i="1"/>
  <c r="AB595" i="1"/>
  <c r="AA595" i="1"/>
  <c r="Z595" i="1"/>
  <c r="AC594" i="1"/>
  <c r="AB594" i="1"/>
  <c r="AA594" i="1"/>
  <c r="Z594" i="1"/>
  <c r="AC593" i="1"/>
  <c r="AB593" i="1"/>
  <c r="AA593" i="1"/>
  <c r="Z593" i="1"/>
  <c r="AC592" i="1"/>
  <c r="AB592" i="1"/>
  <c r="AA592" i="1"/>
  <c r="Z592" i="1"/>
  <c r="AC591" i="1"/>
  <c r="AB591" i="1"/>
  <c r="AA591" i="1"/>
  <c r="Z591" i="1"/>
  <c r="AC590" i="1"/>
  <c r="AB590" i="1"/>
  <c r="AA590" i="1"/>
  <c r="Z590" i="1"/>
  <c r="AC589" i="1"/>
  <c r="AB589" i="1"/>
  <c r="AA589" i="1"/>
  <c r="Z589" i="1"/>
  <c r="AC588" i="1"/>
  <c r="AB588" i="1"/>
  <c r="AA588" i="1"/>
  <c r="Z588" i="1"/>
  <c r="AC587" i="1"/>
  <c r="AB587" i="1"/>
  <c r="AA587" i="1"/>
  <c r="Z587" i="1"/>
  <c r="AC586" i="1"/>
  <c r="AB586" i="1"/>
  <c r="AA586" i="1"/>
  <c r="Z586" i="1"/>
  <c r="AC585" i="1"/>
  <c r="AB585" i="1"/>
  <c r="AA585" i="1"/>
  <c r="Z585" i="1"/>
  <c r="AC584" i="1"/>
  <c r="AB584" i="1"/>
  <c r="AA584" i="1"/>
  <c r="Z584" i="1"/>
  <c r="AC583" i="1"/>
  <c r="AB583" i="1"/>
  <c r="AA583" i="1"/>
  <c r="Z583" i="1"/>
  <c r="AC582" i="1"/>
  <c r="AB582" i="1"/>
  <c r="AA582" i="1"/>
  <c r="Z582" i="1"/>
  <c r="AC581" i="1"/>
  <c r="AB581" i="1"/>
  <c r="AA581" i="1"/>
  <c r="Z581" i="1"/>
  <c r="AC580" i="1"/>
  <c r="AB580" i="1"/>
  <c r="AA580" i="1"/>
  <c r="Z580" i="1"/>
  <c r="AC579" i="1"/>
  <c r="AB579" i="1"/>
  <c r="AA579" i="1"/>
  <c r="Z579" i="1"/>
  <c r="AC578" i="1"/>
  <c r="AB578" i="1"/>
  <c r="AA578" i="1"/>
  <c r="Z578" i="1"/>
  <c r="AC577" i="1"/>
  <c r="AB577" i="1"/>
  <c r="AA577" i="1"/>
  <c r="Z577" i="1"/>
  <c r="AC576" i="1"/>
  <c r="AB576" i="1"/>
  <c r="AA576" i="1"/>
  <c r="Z576" i="1"/>
  <c r="AC575" i="1"/>
  <c r="AB575" i="1"/>
  <c r="AA575" i="1"/>
  <c r="Z575" i="1"/>
  <c r="AC574" i="1"/>
  <c r="AB574" i="1"/>
  <c r="AA574" i="1"/>
  <c r="Z574" i="1"/>
  <c r="AC573" i="1"/>
  <c r="AB573" i="1"/>
  <c r="AA573" i="1"/>
  <c r="Z573" i="1"/>
  <c r="AC572" i="1"/>
  <c r="AB572" i="1"/>
  <c r="AA572" i="1"/>
  <c r="Z572" i="1"/>
  <c r="AC571" i="1"/>
  <c r="AB571" i="1"/>
  <c r="AA571" i="1"/>
  <c r="Z571" i="1"/>
  <c r="AC570" i="1"/>
  <c r="AB570" i="1"/>
  <c r="AA570" i="1"/>
  <c r="Z570" i="1"/>
  <c r="AC569" i="1"/>
  <c r="AB569" i="1"/>
  <c r="AA569" i="1"/>
  <c r="Z569" i="1"/>
  <c r="AC568" i="1"/>
  <c r="AB568" i="1"/>
  <c r="AA568" i="1"/>
  <c r="Z568" i="1"/>
  <c r="AC567" i="1"/>
  <c r="AB567" i="1"/>
  <c r="AA567" i="1"/>
  <c r="Z567" i="1"/>
  <c r="AC566" i="1"/>
  <c r="AB566" i="1"/>
  <c r="AA566" i="1"/>
  <c r="Z566" i="1"/>
  <c r="AC565" i="1"/>
  <c r="AB565" i="1"/>
  <c r="AA565" i="1"/>
  <c r="Z565" i="1"/>
  <c r="AC564" i="1"/>
  <c r="AB564" i="1"/>
  <c r="AA564" i="1"/>
  <c r="Z564" i="1"/>
  <c r="AC563" i="1"/>
  <c r="AB563" i="1"/>
  <c r="AA563" i="1"/>
  <c r="Z563" i="1"/>
  <c r="AC562" i="1"/>
  <c r="AB562" i="1"/>
  <c r="AA562" i="1"/>
  <c r="Z562" i="1"/>
  <c r="AC561" i="1"/>
  <c r="AB561" i="1"/>
  <c r="AA561" i="1"/>
  <c r="Z561" i="1"/>
  <c r="AC560" i="1"/>
  <c r="AB560" i="1"/>
  <c r="AA560" i="1"/>
  <c r="Z560" i="1"/>
  <c r="AC559" i="1"/>
  <c r="AB559" i="1"/>
  <c r="AA559" i="1"/>
  <c r="Z559" i="1"/>
  <c r="AC558" i="1"/>
  <c r="AB558" i="1"/>
  <c r="AA558" i="1"/>
  <c r="Z558" i="1"/>
  <c r="AC557" i="1"/>
  <c r="AB557" i="1"/>
  <c r="AA557" i="1"/>
  <c r="Z557" i="1"/>
  <c r="AC556" i="1"/>
  <c r="AB556" i="1"/>
  <c r="AA556" i="1"/>
  <c r="Z556" i="1"/>
  <c r="AC555" i="1"/>
  <c r="AB555" i="1"/>
  <c r="AA555" i="1"/>
  <c r="Z555" i="1"/>
  <c r="AC554" i="1"/>
  <c r="AB554" i="1"/>
  <c r="AA554" i="1"/>
  <c r="Z554" i="1"/>
  <c r="AC553" i="1"/>
  <c r="AB553" i="1"/>
  <c r="AA553" i="1"/>
  <c r="Z553" i="1"/>
  <c r="AC552" i="1"/>
  <c r="AB552" i="1"/>
  <c r="AA552" i="1"/>
  <c r="Z552" i="1"/>
  <c r="AC551" i="1"/>
  <c r="AB551" i="1"/>
  <c r="AA551" i="1"/>
  <c r="Z551" i="1"/>
  <c r="AC550" i="1"/>
  <c r="AB550" i="1"/>
  <c r="AA550" i="1"/>
  <c r="Z550" i="1"/>
  <c r="AC549" i="1"/>
  <c r="AB549" i="1"/>
  <c r="AA549" i="1"/>
  <c r="Z549" i="1"/>
  <c r="AC548" i="1"/>
  <c r="AB548" i="1"/>
  <c r="AA548" i="1"/>
  <c r="Z548" i="1"/>
  <c r="AC547" i="1"/>
  <c r="AB547" i="1"/>
  <c r="AA547" i="1"/>
  <c r="Z547" i="1"/>
  <c r="AC546" i="1"/>
  <c r="AB546" i="1"/>
  <c r="AA546" i="1"/>
  <c r="Z546" i="1"/>
  <c r="AC545" i="1"/>
  <c r="AB545" i="1"/>
  <c r="AA545" i="1"/>
  <c r="Z545" i="1"/>
  <c r="AC544" i="1"/>
  <c r="AB544" i="1"/>
  <c r="AA544" i="1"/>
  <c r="Z544" i="1"/>
  <c r="AC543" i="1"/>
  <c r="AB543" i="1"/>
  <c r="AA543" i="1"/>
  <c r="Z543" i="1"/>
  <c r="AC542" i="1"/>
  <c r="AB542" i="1"/>
  <c r="AA542" i="1"/>
  <c r="Z542" i="1"/>
  <c r="AC541" i="1"/>
  <c r="AB541" i="1"/>
  <c r="AA541" i="1"/>
  <c r="Z541" i="1"/>
  <c r="AC540" i="1"/>
  <c r="AB540" i="1"/>
  <c r="AA540" i="1"/>
  <c r="Z540" i="1"/>
  <c r="AC539" i="1"/>
  <c r="AB539" i="1"/>
  <c r="AA539" i="1"/>
  <c r="Z539" i="1"/>
  <c r="AC538" i="1"/>
  <c r="AB538" i="1"/>
  <c r="AA538" i="1"/>
  <c r="Z538" i="1"/>
  <c r="AC537" i="1"/>
  <c r="AB537" i="1"/>
  <c r="AA537" i="1"/>
  <c r="Z537" i="1"/>
  <c r="AC536" i="1"/>
  <c r="AB536" i="1"/>
  <c r="AA536" i="1"/>
  <c r="Z536" i="1"/>
  <c r="AC535" i="1"/>
  <c r="AB535" i="1"/>
  <c r="AA535" i="1"/>
  <c r="Z535" i="1"/>
  <c r="AC534" i="1"/>
  <c r="AB534" i="1"/>
  <c r="AA534" i="1"/>
  <c r="Z534" i="1"/>
  <c r="AC533" i="1"/>
  <c r="AB533" i="1"/>
  <c r="AA533" i="1"/>
  <c r="Z533" i="1"/>
  <c r="AC532" i="1"/>
  <c r="AB532" i="1"/>
  <c r="AA532" i="1"/>
  <c r="Z532" i="1"/>
  <c r="AC531" i="1"/>
  <c r="AB531" i="1"/>
  <c r="AA531" i="1"/>
  <c r="Z531" i="1"/>
  <c r="AC530" i="1"/>
  <c r="AB530" i="1"/>
  <c r="AA530" i="1"/>
  <c r="Z530" i="1"/>
  <c r="AC529" i="1"/>
  <c r="AB529" i="1"/>
  <c r="AA529" i="1"/>
  <c r="Z529" i="1"/>
  <c r="AC528" i="1"/>
  <c r="AB528" i="1"/>
  <c r="AA528" i="1"/>
  <c r="Z528" i="1"/>
  <c r="AC527" i="1"/>
  <c r="AB527" i="1"/>
  <c r="AA527" i="1"/>
  <c r="Z527" i="1"/>
  <c r="AC526" i="1"/>
  <c r="AB526" i="1"/>
  <c r="AA526" i="1"/>
  <c r="Z526" i="1"/>
  <c r="AC525" i="1"/>
  <c r="AB525" i="1"/>
  <c r="AA525" i="1"/>
  <c r="Z525" i="1"/>
  <c r="AC524" i="1"/>
  <c r="AB524" i="1"/>
  <c r="AA524" i="1"/>
  <c r="Z524" i="1"/>
  <c r="AC523" i="1"/>
  <c r="AB523" i="1"/>
  <c r="AA523" i="1"/>
  <c r="Z523" i="1"/>
  <c r="AC522" i="1"/>
  <c r="AB522" i="1"/>
  <c r="AA522" i="1"/>
  <c r="Z522" i="1"/>
  <c r="AC521" i="1"/>
  <c r="AB521" i="1"/>
  <c r="AA521" i="1"/>
  <c r="Z521" i="1"/>
  <c r="AC520" i="1"/>
  <c r="AB520" i="1"/>
  <c r="AA520" i="1"/>
  <c r="Z520" i="1"/>
  <c r="AC519" i="1"/>
  <c r="AB519" i="1"/>
  <c r="AA519" i="1"/>
  <c r="Z519" i="1"/>
  <c r="AC518" i="1"/>
  <c r="AB518" i="1"/>
  <c r="AA518" i="1"/>
  <c r="Z518" i="1"/>
  <c r="AC517" i="1"/>
  <c r="AB517" i="1"/>
  <c r="AA517" i="1"/>
  <c r="Z517" i="1"/>
  <c r="AC516" i="1"/>
  <c r="AB516" i="1"/>
  <c r="AA516" i="1"/>
  <c r="Z516" i="1"/>
  <c r="AC515" i="1"/>
  <c r="AB515" i="1"/>
  <c r="AA515" i="1"/>
  <c r="Z515" i="1"/>
  <c r="AC514" i="1"/>
  <c r="AB514" i="1"/>
  <c r="AA514" i="1"/>
  <c r="Z514" i="1"/>
  <c r="AC513" i="1"/>
  <c r="AB513" i="1"/>
  <c r="AA513" i="1"/>
  <c r="Z513" i="1"/>
  <c r="AC512" i="1"/>
  <c r="AB512" i="1"/>
  <c r="AA512" i="1"/>
  <c r="Z512" i="1"/>
  <c r="AC511" i="1"/>
  <c r="AB511" i="1"/>
  <c r="AA511" i="1"/>
  <c r="Z511" i="1"/>
  <c r="AC510" i="1"/>
  <c r="AB510" i="1"/>
  <c r="AA510" i="1"/>
  <c r="Z510" i="1"/>
  <c r="AC509" i="1"/>
  <c r="AB509" i="1"/>
  <c r="AA509" i="1"/>
  <c r="Z509" i="1"/>
  <c r="AC508" i="1"/>
  <c r="AB508" i="1"/>
  <c r="AA508" i="1"/>
  <c r="Z508" i="1"/>
  <c r="AC507" i="1"/>
  <c r="AB507" i="1"/>
  <c r="AA507" i="1"/>
  <c r="Z507" i="1"/>
  <c r="AC506" i="1"/>
  <c r="AB506" i="1"/>
  <c r="AA506" i="1"/>
  <c r="Z506" i="1"/>
  <c r="AC505" i="1"/>
  <c r="AB505" i="1"/>
  <c r="AA505" i="1"/>
  <c r="Z505" i="1"/>
  <c r="AC504" i="1"/>
  <c r="AB504" i="1"/>
  <c r="AA504" i="1"/>
  <c r="Z504" i="1"/>
  <c r="AC503" i="1"/>
  <c r="AB503" i="1"/>
  <c r="AA503" i="1"/>
  <c r="Z503" i="1"/>
  <c r="AC502" i="1"/>
  <c r="AB502" i="1"/>
  <c r="AA502" i="1"/>
  <c r="Z502" i="1"/>
  <c r="AC501" i="1"/>
  <c r="AB501" i="1"/>
  <c r="AA501" i="1"/>
  <c r="Z501" i="1"/>
  <c r="AC500" i="1"/>
  <c r="AB500" i="1"/>
  <c r="AA500" i="1"/>
  <c r="Z500" i="1"/>
  <c r="AC499" i="1"/>
  <c r="AB499" i="1"/>
  <c r="AA499" i="1"/>
  <c r="Z499" i="1"/>
  <c r="AC498" i="1"/>
  <c r="AB498" i="1"/>
  <c r="AA498" i="1"/>
  <c r="Z498" i="1"/>
  <c r="AC497" i="1"/>
  <c r="AB497" i="1"/>
  <c r="AA497" i="1"/>
  <c r="Z497" i="1"/>
  <c r="AC496" i="1"/>
  <c r="AB496" i="1"/>
  <c r="AA496" i="1"/>
  <c r="Z496" i="1"/>
  <c r="AC495" i="1"/>
  <c r="AB495" i="1"/>
  <c r="AA495" i="1"/>
  <c r="Z495" i="1"/>
  <c r="AC494" i="1"/>
  <c r="AB494" i="1"/>
  <c r="AA494" i="1"/>
  <c r="Z494" i="1"/>
  <c r="AC493" i="1"/>
  <c r="AB493" i="1"/>
  <c r="AA493" i="1"/>
  <c r="Z493" i="1"/>
  <c r="AC492" i="1"/>
  <c r="AB492" i="1"/>
  <c r="AA492" i="1"/>
  <c r="Z492" i="1"/>
  <c r="AC491" i="1"/>
  <c r="AB491" i="1"/>
  <c r="AA491" i="1"/>
  <c r="Z491" i="1"/>
  <c r="AC490" i="1"/>
  <c r="AB490" i="1"/>
  <c r="AA490" i="1"/>
  <c r="Z490" i="1"/>
  <c r="AC489" i="1"/>
  <c r="AB489" i="1"/>
  <c r="AA489" i="1"/>
  <c r="Z489" i="1"/>
  <c r="AC488" i="1"/>
  <c r="AB488" i="1"/>
  <c r="AA488" i="1"/>
  <c r="Z488" i="1"/>
  <c r="AC487" i="1"/>
  <c r="AB487" i="1"/>
  <c r="AA487" i="1"/>
  <c r="Z487" i="1"/>
  <c r="AC486" i="1"/>
  <c r="AB486" i="1"/>
  <c r="AA486" i="1"/>
  <c r="Z486" i="1"/>
  <c r="AC485" i="1"/>
  <c r="AB485" i="1"/>
  <c r="AA485" i="1"/>
  <c r="Z485" i="1"/>
  <c r="AC484" i="1"/>
  <c r="AB484" i="1"/>
  <c r="AA484" i="1"/>
  <c r="Z484" i="1"/>
  <c r="AC483" i="1"/>
  <c r="AB483" i="1"/>
  <c r="AA483" i="1"/>
  <c r="Z483" i="1"/>
  <c r="AC482" i="1"/>
  <c r="AB482" i="1"/>
  <c r="AA482" i="1"/>
  <c r="Z482" i="1"/>
  <c r="AC481" i="1"/>
  <c r="AB481" i="1"/>
  <c r="AA481" i="1"/>
  <c r="Z481" i="1"/>
  <c r="AC480" i="1"/>
  <c r="AB480" i="1"/>
  <c r="AA480" i="1"/>
  <c r="Z480" i="1"/>
  <c r="AC479" i="1"/>
  <c r="AB479" i="1"/>
  <c r="AA479" i="1"/>
  <c r="Z479" i="1"/>
  <c r="AC478" i="1"/>
  <c r="AB478" i="1"/>
  <c r="AA478" i="1"/>
  <c r="Z478" i="1"/>
  <c r="AC477" i="1"/>
  <c r="AB477" i="1"/>
  <c r="AA477" i="1"/>
  <c r="Z477" i="1"/>
  <c r="AC476" i="1"/>
  <c r="AB476" i="1"/>
  <c r="AA476" i="1"/>
  <c r="Z476" i="1"/>
  <c r="AC475" i="1"/>
  <c r="AB475" i="1"/>
  <c r="AA475" i="1"/>
  <c r="Z475" i="1"/>
  <c r="AC474" i="1"/>
  <c r="AB474" i="1"/>
  <c r="AA474" i="1"/>
  <c r="Z474" i="1"/>
  <c r="AC473" i="1"/>
  <c r="AB473" i="1"/>
  <c r="AA473" i="1"/>
  <c r="Z473" i="1"/>
  <c r="AC472" i="1"/>
  <c r="AB472" i="1"/>
  <c r="AA472" i="1"/>
  <c r="Z472" i="1"/>
  <c r="AC471" i="1"/>
  <c r="AB471" i="1"/>
  <c r="AA471" i="1"/>
  <c r="Z471" i="1"/>
  <c r="AC470" i="1"/>
  <c r="AB470" i="1"/>
  <c r="AA470" i="1"/>
  <c r="Z470" i="1"/>
  <c r="AC469" i="1"/>
  <c r="AB469" i="1"/>
  <c r="AA469" i="1"/>
  <c r="Z469" i="1"/>
  <c r="AC468" i="1"/>
  <c r="AB468" i="1"/>
  <c r="AA468" i="1"/>
  <c r="Z468" i="1"/>
  <c r="AC467" i="1"/>
  <c r="AB467" i="1"/>
  <c r="AA467" i="1"/>
  <c r="Z467" i="1"/>
  <c r="AC466" i="1"/>
  <c r="AB466" i="1"/>
  <c r="AA466" i="1"/>
  <c r="Z466" i="1"/>
  <c r="AC465" i="1"/>
  <c r="AB465" i="1"/>
  <c r="AA465" i="1"/>
  <c r="Z465" i="1"/>
  <c r="AC464" i="1"/>
  <c r="AB464" i="1"/>
  <c r="AA464" i="1"/>
  <c r="Z464" i="1"/>
  <c r="AC463" i="1"/>
  <c r="AB463" i="1"/>
  <c r="AA463" i="1"/>
  <c r="Z463" i="1"/>
  <c r="AC462" i="1"/>
  <c r="AB462" i="1"/>
  <c r="AA462" i="1"/>
  <c r="Z462" i="1"/>
  <c r="AC461" i="1"/>
  <c r="AB461" i="1"/>
  <c r="AA461" i="1"/>
  <c r="Z461" i="1"/>
  <c r="AC460" i="1"/>
  <c r="AB460" i="1"/>
  <c r="AA460" i="1"/>
  <c r="Z460" i="1"/>
  <c r="AC459" i="1"/>
  <c r="AB459" i="1"/>
  <c r="AA459" i="1"/>
  <c r="Z459" i="1"/>
  <c r="AC458" i="1"/>
  <c r="AB458" i="1"/>
  <c r="AA458" i="1"/>
  <c r="Z458" i="1"/>
  <c r="AC457" i="1"/>
  <c r="AB457" i="1"/>
  <c r="AA457" i="1"/>
  <c r="Z457" i="1"/>
  <c r="AC456" i="1"/>
  <c r="AB456" i="1"/>
  <c r="AA456" i="1"/>
  <c r="Z456" i="1"/>
  <c r="AC455" i="1"/>
  <c r="AB455" i="1"/>
  <c r="AA455" i="1"/>
  <c r="Z455" i="1"/>
  <c r="AC454" i="1"/>
  <c r="AB454" i="1"/>
  <c r="AA454" i="1"/>
  <c r="Z454" i="1"/>
  <c r="AC453" i="1"/>
  <c r="AB453" i="1"/>
  <c r="AA453" i="1"/>
  <c r="Z453" i="1"/>
  <c r="AC452" i="1"/>
  <c r="AB452" i="1"/>
  <c r="AA452" i="1"/>
  <c r="Z452" i="1"/>
  <c r="AC451" i="1"/>
  <c r="AB451" i="1"/>
  <c r="AA451" i="1"/>
  <c r="Z451" i="1"/>
  <c r="AC450" i="1"/>
  <c r="AB450" i="1"/>
  <c r="AA450" i="1"/>
  <c r="Z450" i="1"/>
  <c r="AC449" i="1"/>
  <c r="AB449" i="1"/>
  <c r="AA449" i="1"/>
  <c r="Z449" i="1"/>
  <c r="AC448" i="1"/>
  <c r="AB448" i="1"/>
  <c r="AA448" i="1"/>
  <c r="Z448" i="1"/>
  <c r="AC447" i="1"/>
  <c r="AB447" i="1"/>
  <c r="AA447" i="1"/>
  <c r="Z447" i="1"/>
  <c r="AC446" i="1"/>
  <c r="AB446" i="1"/>
  <c r="AA446" i="1"/>
  <c r="Z446" i="1"/>
  <c r="AC445" i="1"/>
  <c r="AB445" i="1"/>
  <c r="AA445" i="1"/>
  <c r="Z445" i="1"/>
  <c r="AC444" i="1"/>
  <c r="AB444" i="1"/>
  <c r="AA444" i="1"/>
  <c r="Z444" i="1"/>
  <c r="AC443" i="1"/>
  <c r="AB443" i="1"/>
  <c r="AA443" i="1"/>
  <c r="Z443" i="1"/>
  <c r="AC442" i="1"/>
  <c r="AB442" i="1"/>
  <c r="AA442" i="1"/>
  <c r="Z442" i="1"/>
  <c r="AC441" i="1"/>
  <c r="AB441" i="1"/>
  <c r="AA441" i="1"/>
  <c r="Z441" i="1"/>
  <c r="AC440" i="1"/>
  <c r="AB440" i="1"/>
  <c r="AA440" i="1"/>
  <c r="Z440" i="1"/>
  <c r="AC439" i="1"/>
  <c r="AB439" i="1"/>
  <c r="AA439" i="1"/>
  <c r="Z439" i="1"/>
  <c r="AC438" i="1"/>
  <c r="AB438" i="1"/>
  <c r="AA438" i="1"/>
  <c r="Z438" i="1"/>
  <c r="AC437" i="1"/>
  <c r="AB437" i="1"/>
  <c r="AA437" i="1"/>
  <c r="Z437" i="1"/>
  <c r="AC436" i="1"/>
  <c r="AB436" i="1"/>
  <c r="AA436" i="1"/>
  <c r="Z436" i="1"/>
  <c r="AC435" i="1"/>
  <c r="AB435" i="1"/>
  <c r="AA435" i="1"/>
  <c r="Z435" i="1"/>
  <c r="AC434" i="1"/>
  <c r="AB434" i="1"/>
  <c r="AA434" i="1"/>
  <c r="Z434" i="1"/>
  <c r="AC433" i="1"/>
  <c r="AB433" i="1"/>
  <c r="AA433" i="1"/>
  <c r="Z433" i="1"/>
  <c r="AC432" i="1"/>
  <c r="AB432" i="1"/>
  <c r="AA432" i="1"/>
  <c r="Z432" i="1"/>
  <c r="AC431" i="1"/>
  <c r="AB431" i="1"/>
  <c r="AA431" i="1"/>
  <c r="Z431" i="1"/>
  <c r="AC430" i="1"/>
  <c r="AB430" i="1"/>
  <c r="AA430" i="1"/>
  <c r="Z430" i="1"/>
  <c r="AC429" i="1"/>
  <c r="AB429" i="1"/>
  <c r="AA429" i="1"/>
  <c r="Z429" i="1"/>
  <c r="AC428" i="1"/>
  <c r="AB428" i="1"/>
  <c r="AA428" i="1"/>
  <c r="Z428" i="1"/>
  <c r="AC427" i="1"/>
  <c r="AB427" i="1"/>
  <c r="AA427" i="1"/>
  <c r="Z427" i="1"/>
  <c r="AC426" i="1"/>
  <c r="AB426" i="1"/>
  <c r="AA426" i="1"/>
  <c r="Z426" i="1"/>
  <c r="AC425" i="1"/>
  <c r="AB425" i="1"/>
  <c r="AA425" i="1"/>
  <c r="Z425" i="1"/>
  <c r="AC424" i="1"/>
  <c r="AB424" i="1"/>
  <c r="AA424" i="1"/>
  <c r="Z424" i="1"/>
  <c r="AC423" i="1"/>
  <c r="AB423" i="1"/>
  <c r="AA423" i="1"/>
  <c r="Z423" i="1"/>
  <c r="AC422" i="1"/>
  <c r="AB422" i="1"/>
  <c r="AA422" i="1"/>
  <c r="Z422" i="1"/>
  <c r="AC421" i="1"/>
  <c r="AB421" i="1"/>
  <c r="AA421" i="1"/>
  <c r="Z421" i="1"/>
  <c r="AC420" i="1"/>
  <c r="AB420" i="1"/>
  <c r="AA420" i="1"/>
  <c r="Z420" i="1"/>
  <c r="AC419" i="1"/>
  <c r="AB419" i="1"/>
  <c r="AA419" i="1"/>
  <c r="Z419" i="1"/>
  <c r="AC418" i="1"/>
  <c r="AB418" i="1"/>
  <c r="AA418" i="1"/>
  <c r="Z418" i="1"/>
  <c r="AC417" i="1"/>
  <c r="AB417" i="1"/>
  <c r="AA417" i="1"/>
  <c r="Z417" i="1"/>
  <c r="AC416" i="1"/>
  <c r="AB416" i="1"/>
  <c r="AA416" i="1"/>
  <c r="Z416" i="1"/>
  <c r="AC415" i="1"/>
  <c r="AB415" i="1"/>
  <c r="AA415" i="1"/>
  <c r="Z415" i="1"/>
  <c r="AC414" i="1"/>
  <c r="AB414" i="1"/>
  <c r="AA414" i="1"/>
  <c r="Z414" i="1"/>
  <c r="AC413" i="1"/>
  <c r="AB413" i="1"/>
  <c r="AA413" i="1"/>
  <c r="Z413" i="1"/>
  <c r="AC412" i="1"/>
  <c r="AB412" i="1"/>
  <c r="AA412" i="1"/>
  <c r="Z412" i="1"/>
  <c r="AC411" i="1"/>
  <c r="AB411" i="1"/>
  <c r="AA411" i="1"/>
  <c r="Z411" i="1"/>
  <c r="AC410" i="1"/>
  <c r="AB410" i="1"/>
  <c r="AA410" i="1"/>
  <c r="Z410" i="1"/>
  <c r="AC409" i="1"/>
  <c r="AB409" i="1"/>
  <c r="AA409" i="1"/>
  <c r="Z409" i="1"/>
  <c r="AC408" i="1"/>
  <c r="AB408" i="1"/>
  <c r="AA408" i="1"/>
  <c r="Z408" i="1"/>
  <c r="AC407" i="1"/>
  <c r="AB407" i="1"/>
  <c r="AA407" i="1"/>
  <c r="Z407" i="1"/>
  <c r="AC406" i="1"/>
  <c r="AB406" i="1"/>
  <c r="AA406" i="1"/>
  <c r="Z406" i="1"/>
  <c r="AC405" i="1"/>
  <c r="AB405" i="1"/>
  <c r="AA405" i="1"/>
  <c r="Z405" i="1"/>
  <c r="AC404" i="1"/>
  <c r="AB404" i="1"/>
  <c r="AA404" i="1"/>
  <c r="Z404" i="1"/>
  <c r="AC403" i="1"/>
  <c r="AB403" i="1"/>
  <c r="AA403" i="1"/>
  <c r="Z403" i="1"/>
  <c r="AC402" i="1"/>
  <c r="AB402" i="1"/>
  <c r="AA402" i="1"/>
  <c r="Z402" i="1"/>
  <c r="AC401" i="1"/>
  <c r="AB401" i="1"/>
  <c r="AA401" i="1"/>
  <c r="Z401" i="1"/>
  <c r="AC400" i="1"/>
  <c r="AB400" i="1"/>
  <c r="AA400" i="1"/>
  <c r="Z400" i="1"/>
  <c r="AC399" i="1"/>
  <c r="AB399" i="1"/>
  <c r="AA399" i="1"/>
  <c r="Z399" i="1"/>
  <c r="AC398" i="1"/>
  <c r="AB398" i="1"/>
  <c r="AA398" i="1"/>
  <c r="Z398" i="1"/>
  <c r="AC397" i="1"/>
  <c r="AB397" i="1"/>
  <c r="AA397" i="1"/>
  <c r="Z397" i="1"/>
  <c r="AC396" i="1"/>
  <c r="AB396" i="1"/>
  <c r="AA396" i="1"/>
  <c r="Z396" i="1"/>
  <c r="AC395" i="1"/>
  <c r="AB395" i="1"/>
  <c r="AA395" i="1"/>
  <c r="Z395" i="1"/>
  <c r="AC394" i="1"/>
  <c r="AB394" i="1"/>
  <c r="AA394" i="1"/>
  <c r="Z394" i="1"/>
  <c r="AC393" i="1"/>
  <c r="AB393" i="1"/>
  <c r="AA393" i="1"/>
  <c r="Z393" i="1"/>
  <c r="AC392" i="1"/>
  <c r="AB392" i="1"/>
  <c r="AA392" i="1"/>
  <c r="Z392" i="1"/>
  <c r="AC391" i="1"/>
  <c r="AB391" i="1"/>
  <c r="AA391" i="1"/>
  <c r="Z391" i="1"/>
  <c r="AC390" i="1"/>
  <c r="AB390" i="1"/>
  <c r="AA390" i="1"/>
  <c r="Z390" i="1"/>
  <c r="AC389" i="1"/>
  <c r="AB389" i="1"/>
  <c r="AA389" i="1"/>
  <c r="Z389" i="1"/>
  <c r="AC388" i="1"/>
  <c r="AB388" i="1"/>
  <c r="AA388" i="1"/>
  <c r="Z388" i="1"/>
  <c r="AC387" i="1"/>
  <c r="AB387" i="1"/>
  <c r="AA387" i="1"/>
  <c r="Z387" i="1"/>
  <c r="AC386" i="1"/>
  <c r="AB386" i="1"/>
  <c r="AA386" i="1"/>
  <c r="Z386" i="1"/>
  <c r="AC385" i="1"/>
  <c r="AB385" i="1"/>
  <c r="AA385" i="1"/>
  <c r="Z385" i="1"/>
  <c r="AC384" i="1"/>
  <c r="AB384" i="1"/>
  <c r="AA384" i="1"/>
  <c r="Z384" i="1"/>
  <c r="AC383" i="1"/>
  <c r="AB383" i="1"/>
  <c r="AA383" i="1"/>
  <c r="Z383" i="1"/>
  <c r="AC382" i="1"/>
  <c r="AB382" i="1"/>
  <c r="AA382" i="1"/>
  <c r="Z382" i="1"/>
  <c r="AC381" i="1"/>
  <c r="AB381" i="1"/>
  <c r="AA381" i="1"/>
  <c r="Z381" i="1"/>
  <c r="AC380" i="1"/>
  <c r="AB380" i="1"/>
  <c r="AA380" i="1"/>
  <c r="Z380" i="1"/>
  <c r="AC379" i="1"/>
  <c r="AB379" i="1"/>
  <c r="AA379" i="1"/>
  <c r="Z379" i="1"/>
  <c r="AC378" i="1"/>
  <c r="AB378" i="1"/>
  <c r="AA378" i="1"/>
  <c r="Z378" i="1"/>
  <c r="AC377" i="1"/>
  <c r="AB377" i="1"/>
  <c r="AA377" i="1"/>
  <c r="Z377" i="1"/>
  <c r="AC376" i="1"/>
  <c r="AB376" i="1"/>
  <c r="AA376" i="1"/>
  <c r="Z376" i="1"/>
  <c r="AC375" i="1"/>
  <c r="AB375" i="1"/>
  <c r="AA375" i="1"/>
  <c r="Z375" i="1"/>
  <c r="AC374" i="1"/>
  <c r="AB374" i="1"/>
  <c r="AA374" i="1"/>
  <c r="Z374" i="1"/>
  <c r="AC373" i="1"/>
  <c r="AB373" i="1"/>
  <c r="AA373" i="1"/>
  <c r="Z373" i="1"/>
  <c r="AC372" i="1"/>
  <c r="AB372" i="1"/>
  <c r="AA372" i="1"/>
  <c r="Z372" i="1"/>
  <c r="AC371" i="1"/>
  <c r="AB371" i="1"/>
  <c r="AA371" i="1"/>
  <c r="Z371" i="1"/>
  <c r="AC370" i="1"/>
  <c r="AB370" i="1"/>
  <c r="AA370" i="1"/>
  <c r="Z370" i="1"/>
  <c r="AC369" i="1"/>
  <c r="AB369" i="1"/>
  <c r="AA369" i="1"/>
  <c r="Z369" i="1"/>
  <c r="AC368" i="1"/>
  <c r="AB368" i="1"/>
  <c r="AA368" i="1"/>
  <c r="Z368" i="1"/>
  <c r="AC367" i="1"/>
  <c r="AB367" i="1"/>
  <c r="AA367" i="1"/>
  <c r="Z367" i="1"/>
  <c r="AC366" i="1"/>
  <c r="AB366" i="1"/>
  <c r="AA366" i="1"/>
  <c r="Z366" i="1"/>
  <c r="AC365" i="1"/>
  <c r="AB365" i="1"/>
  <c r="AA365" i="1"/>
  <c r="Z365" i="1"/>
  <c r="AC364" i="1"/>
  <c r="AB364" i="1"/>
  <c r="AA364" i="1"/>
  <c r="Z364" i="1"/>
  <c r="AC363" i="1"/>
  <c r="AB363" i="1"/>
  <c r="AA363" i="1"/>
  <c r="Z363" i="1"/>
  <c r="AC362" i="1"/>
  <c r="AB362" i="1"/>
  <c r="AA362" i="1"/>
  <c r="Z362" i="1"/>
  <c r="AC361" i="1"/>
  <c r="AB361" i="1"/>
  <c r="AA361" i="1"/>
  <c r="Z361" i="1"/>
  <c r="AC360" i="1"/>
  <c r="AB360" i="1"/>
  <c r="AA360" i="1"/>
  <c r="Z360" i="1"/>
  <c r="AC359" i="1"/>
  <c r="AB359" i="1"/>
  <c r="AA359" i="1"/>
  <c r="Z359" i="1"/>
  <c r="AC358" i="1"/>
  <c r="AB358" i="1"/>
  <c r="AA358" i="1"/>
  <c r="Z358" i="1"/>
  <c r="AC357" i="1"/>
  <c r="AB357" i="1"/>
  <c r="AA357" i="1"/>
  <c r="Z357" i="1"/>
  <c r="AC356" i="1"/>
  <c r="AB356" i="1"/>
  <c r="AA356" i="1"/>
  <c r="Z356" i="1"/>
  <c r="AC355" i="1"/>
  <c r="AB355" i="1"/>
  <c r="AA355" i="1"/>
  <c r="Z355" i="1"/>
  <c r="AC354" i="1"/>
  <c r="AB354" i="1"/>
  <c r="AA354" i="1"/>
  <c r="Z354" i="1"/>
  <c r="AC353" i="1"/>
  <c r="AB353" i="1"/>
  <c r="AA353" i="1"/>
  <c r="Z353" i="1"/>
  <c r="AC352" i="1"/>
  <c r="AB352" i="1"/>
  <c r="AA352" i="1"/>
  <c r="Z352" i="1"/>
  <c r="AC351" i="1"/>
  <c r="AB351" i="1"/>
  <c r="AA351" i="1"/>
  <c r="Z351" i="1"/>
  <c r="AC350" i="1"/>
  <c r="AB350" i="1"/>
  <c r="AA350" i="1"/>
  <c r="Z350" i="1"/>
  <c r="AC349" i="1"/>
  <c r="AB349" i="1"/>
  <c r="AA349" i="1"/>
  <c r="Z349" i="1"/>
  <c r="AC348" i="1"/>
  <c r="AB348" i="1"/>
  <c r="AA348" i="1"/>
  <c r="Z348" i="1"/>
  <c r="AC347" i="1"/>
  <c r="AB347" i="1"/>
  <c r="AA347" i="1"/>
  <c r="Z347" i="1"/>
  <c r="AC346" i="1"/>
  <c r="AB346" i="1"/>
  <c r="AA346" i="1"/>
  <c r="Z346" i="1"/>
  <c r="AC345" i="1"/>
  <c r="AB345" i="1"/>
  <c r="AA345" i="1"/>
  <c r="Z345" i="1"/>
  <c r="AC344" i="1"/>
  <c r="AB344" i="1"/>
  <c r="AA344" i="1"/>
  <c r="Z344" i="1"/>
  <c r="AC343" i="1"/>
  <c r="AB343" i="1"/>
  <c r="AA343" i="1"/>
  <c r="Z343" i="1"/>
  <c r="AC342" i="1"/>
  <c r="AB342" i="1"/>
  <c r="AA342" i="1"/>
  <c r="Z342" i="1"/>
  <c r="AC341" i="1"/>
  <c r="AB341" i="1"/>
  <c r="AA341" i="1"/>
  <c r="Z341" i="1"/>
  <c r="AC340" i="1"/>
  <c r="AB340" i="1"/>
  <c r="AA340" i="1"/>
  <c r="Z340" i="1"/>
  <c r="AC339" i="1"/>
  <c r="AB339" i="1"/>
  <c r="AA339" i="1"/>
  <c r="Z339" i="1"/>
  <c r="AC338" i="1"/>
  <c r="AB338" i="1"/>
  <c r="AA338" i="1"/>
  <c r="Z338" i="1"/>
  <c r="AC337" i="1"/>
  <c r="AB337" i="1"/>
  <c r="AA337" i="1"/>
  <c r="Z337" i="1"/>
  <c r="AC336" i="1"/>
  <c r="AB336" i="1"/>
  <c r="AA336" i="1"/>
  <c r="Z336" i="1"/>
  <c r="AC335" i="1"/>
  <c r="AB335" i="1"/>
  <c r="AA335" i="1"/>
  <c r="Z335" i="1"/>
  <c r="AC334" i="1"/>
  <c r="AB334" i="1"/>
  <c r="AA334" i="1"/>
  <c r="Z334" i="1"/>
  <c r="AC333" i="1"/>
  <c r="AB333" i="1"/>
  <c r="AA333" i="1"/>
  <c r="Z333" i="1"/>
  <c r="AC332" i="1"/>
  <c r="AB332" i="1"/>
  <c r="AA332" i="1"/>
  <c r="Z332" i="1"/>
  <c r="AC331" i="1"/>
  <c r="AB331" i="1"/>
  <c r="AA331" i="1"/>
  <c r="Z331" i="1"/>
  <c r="AC330" i="1"/>
  <c r="AB330" i="1"/>
  <c r="AA330" i="1"/>
  <c r="Z330" i="1"/>
  <c r="AC329" i="1"/>
  <c r="AB329" i="1"/>
  <c r="AA329" i="1"/>
  <c r="Z329" i="1"/>
  <c r="AC328" i="1"/>
  <c r="AB328" i="1"/>
  <c r="AA328" i="1"/>
  <c r="Z328" i="1"/>
  <c r="AC327" i="1"/>
  <c r="AB327" i="1"/>
  <c r="AA327" i="1"/>
  <c r="Z327" i="1"/>
  <c r="AC326" i="1"/>
  <c r="AB326" i="1"/>
  <c r="AA326" i="1"/>
  <c r="Z326" i="1"/>
  <c r="AC325" i="1"/>
  <c r="AB325" i="1"/>
  <c r="AA325" i="1"/>
  <c r="Z325" i="1"/>
  <c r="AC324" i="1"/>
  <c r="AB324" i="1"/>
  <c r="AA324" i="1"/>
  <c r="Z324" i="1"/>
  <c r="AC323" i="1"/>
  <c r="AB323" i="1"/>
  <c r="AA323" i="1"/>
  <c r="Z323" i="1"/>
  <c r="AC322" i="1"/>
  <c r="AB322" i="1"/>
  <c r="AA322" i="1"/>
  <c r="Z322" i="1"/>
  <c r="AC321" i="1"/>
  <c r="AB321" i="1"/>
  <c r="AA321" i="1"/>
  <c r="Z321" i="1"/>
  <c r="AC320" i="1"/>
  <c r="AB320" i="1"/>
  <c r="AA320" i="1"/>
  <c r="Z320" i="1"/>
  <c r="AC319" i="1"/>
  <c r="AB319" i="1"/>
  <c r="AA319" i="1"/>
  <c r="Z319" i="1"/>
  <c r="AC318" i="1"/>
  <c r="AB318" i="1"/>
  <c r="AA318" i="1"/>
  <c r="Z318" i="1"/>
  <c r="AC317" i="1"/>
  <c r="AB317" i="1"/>
  <c r="AA317" i="1"/>
  <c r="Z317" i="1"/>
  <c r="AC316" i="1"/>
  <c r="AB316" i="1"/>
  <c r="AA316" i="1"/>
  <c r="Z316" i="1"/>
  <c r="AC315" i="1"/>
  <c r="AB315" i="1"/>
  <c r="AA315" i="1"/>
  <c r="Z315" i="1"/>
  <c r="AC314" i="1"/>
  <c r="AB314" i="1"/>
  <c r="AA314" i="1"/>
  <c r="Z314" i="1"/>
  <c r="AC313" i="1"/>
  <c r="AB313" i="1"/>
  <c r="AA313" i="1"/>
  <c r="Z313" i="1"/>
  <c r="AC312" i="1"/>
  <c r="AB312" i="1"/>
  <c r="AA312" i="1"/>
  <c r="Z312" i="1"/>
  <c r="AC311" i="1"/>
  <c r="AB311" i="1"/>
  <c r="AA311" i="1"/>
  <c r="Z311" i="1"/>
  <c r="AC310" i="1"/>
  <c r="AB310" i="1"/>
  <c r="AA310" i="1"/>
  <c r="Z310" i="1"/>
  <c r="AC309" i="1"/>
  <c r="AB309" i="1"/>
  <c r="AA309" i="1"/>
  <c r="Z309" i="1"/>
  <c r="AC308" i="1"/>
  <c r="AB308" i="1"/>
  <c r="AA308" i="1"/>
  <c r="Z308" i="1"/>
  <c r="AC307" i="1"/>
  <c r="AB307" i="1"/>
  <c r="AA307" i="1"/>
  <c r="Z307" i="1"/>
  <c r="AC306" i="1"/>
  <c r="AB306" i="1"/>
  <c r="AA306" i="1"/>
  <c r="Z306" i="1"/>
  <c r="AC305" i="1"/>
  <c r="AB305" i="1"/>
  <c r="AA305" i="1"/>
  <c r="Z305" i="1"/>
  <c r="AC304" i="1"/>
  <c r="AB304" i="1"/>
  <c r="AA304" i="1"/>
  <c r="Z304" i="1"/>
  <c r="AC303" i="1"/>
  <c r="AB303" i="1"/>
  <c r="AA303" i="1"/>
  <c r="Z303" i="1"/>
  <c r="AC302" i="1"/>
  <c r="AB302" i="1"/>
  <c r="AA302" i="1"/>
  <c r="Z302" i="1"/>
  <c r="AC301" i="1"/>
  <c r="AB301" i="1"/>
  <c r="AA301" i="1"/>
  <c r="Z301" i="1"/>
  <c r="AC300" i="1"/>
  <c r="AB300" i="1"/>
  <c r="AA300" i="1"/>
  <c r="Z300" i="1"/>
  <c r="AC299" i="1"/>
  <c r="AB299" i="1"/>
  <c r="AA299" i="1"/>
  <c r="Z299" i="1"/>
  <c r="AC298" i="1"/>
  <c r="AB298" i="1"/>
  <c r="AA298" i="1"/>
  <c r="Z298" i="1"/>
  <c r="AC297" i="1"/>
  <c r="AB297" i="1"/>
  <c r="AA297" i="1"/>
  <c r="Z297" i="1"/>
  <c r="AC296" i="1"/>
  <c r="AB296" i="1"/>
  <c r="AA296" i="1"/>
  <c r="Z296" i="1"/>
  <c r="AC295" i="1"/>
  <c r="AB295" i="1"/>
  <c r="AA295" i="1"/>
  <c r="Z295" i="1"/>
  <c r="AC294" i="1"/>
  <c r="AB294" i="1"/>
  <c r="AA294" i="1"/>
  <c r="Z294" i="1"/>
  <c r="AC293" i="1"/>
  <c r="AB293" i="1"/>
  <c r="AA293" i="1"/>
  <c r="Z293" i="1"/>
  <c r="AC292" i="1"/>
  <c r="AB292" i="1"/>
  <c r="AA292" i="1"/>
  <c r="Z292" i="1"/>
  <c r="AC291" i="1"/>
  <c r="AB291" i="1"/>
  <c r="AA291" i="1"/>
  <c r="Z291" i="1"/>
  <c r="AC290" i="1"/>
  <c r="AB290" i="1"/>
  <c r="AA290" i="1"/>
  <c r="Z290" i="1"/>
  <c r="AC289" i="1"/>
  <c r="AB289" i="1"/>
  <c r="AA289" i="1"/>
  <c r="Z289" i="1"/>
  <c r="AC288" i="1"/>
  <c r="AB288" i="1"/>
  <c r="AA288" i="1"/>
  <c r="Z288" i="1"/>
  <c r="AC287" i="1"/>
  <c r="AB287" i="1"/>
  <c r="AA287" i="1"/>
  <c r="Z287" i="1"/>
  <c r="AC286" i="1"/>
  <c r="AB286" i="1"/>
  <c r="AA286" i="1"/>
  <c r="Z286" i="1"/>
  <c r="AC285" i="1"/>
  <c r="AB285" i="1"/>
  <c r="AA285" i="1"/>
  <c r="Z285" i="1"/>
  <c r="AC284" i="1"/>
  <c r="AB284" i="1"/>
  <c r="AA284" i="1"/>
  <c r="Z284" i="1"/>
  <c r="AC283" i="1"/>
  <c r="AB283" i="1"/>
  <c r="AA283" i="1"/>
  <c r="Z283" i="1"/>
  <c r="AC282" i="1"/>
  <c r="AB282" i="1"/>
  <c r="AA282" i="1"/>
  <c r="Z282" i="1"/>
  <c r="AC281" i="1"/>
  <c r="AB281" i="1"/>
  <c r="AA281" i="1"/>
  <c r="Z281" i="1"/>
  <c r="AC280" i="1"/>
  <c r="AB280" i="1"/>
  <c r="AA280" i="1"/>
  <c r="Z280" i="1"/>
  <c r="AC279" i="1"/>
  <c r="AB279" i="1"/>
  <c r="AA279" i="1"/>
  <c r="Z279" i="1"/>
  <c r="AC278" i="1"/>
  <c r="AB278" i="1"/>
  <c r="AA278" i="1"/>
  <c r="Z278" i="1"/>
  <c r="AC277" i="1"/>
  <c r="AB277" i="1"/>
  <c r="AA277" i="1"/>
  <c r="Z277" i="1"/>
  <c r="AC276" i="1"/>
  <c r="AB276" i="1"/>
  <c r="AA276" i="1"/>
  <c r="Z276" i="1"/>
  <c r="AC275" i="1"/>
  <c r="AB275" i="1"/>
  <c r="AA275" i="1"/>
  <c r="Z275" i="1"/>
  <c r="AC274" i="1"/>
  <c r="AB274" i="1"/>
  <c r="AA274" i="1"/>
  <c r="Z274" i="1"/>
  <c r="AC273" i="1"/>
  <c r="AB273" i="1"/>
  <c r="AA273" i="1"/>
  <c r="Z273" i="1"/>
  <c r="AC272" i="1"/>
  <c r="AB272" i="1"/>
  <c r="AA272" i="1"/>
  <c r="Z272" i="1"/>
  <c r="AC271" i="1"/>
  <c r="AB271" i="1"/>
  <c r="AA271" i="1"/>
  <c r="Z271" i="1"/>
  <c r="AC270" i="1"/>
  <c r="AB270" i="1"/>
  <c r="AA270" i="1"/>
  <c r="Z270" i="1"/>
  <c r="AC269" i="1"/>
  <c r="AB269" i="1"/>
  <c r="AA269" i="1"/>
  <c r="Z269" i="1"/>
  <c r="AC268" i="1"/>
  <c r="AB268" i="1"/>
  <c r="AA268" i="1"/>
  <c r="Z268" i="1"/>
  <c r="AC267" i="1"/>
  <c r="AB267" i="1"/>
  <c r="AA267" i="1"/>
  <c r="Z267" i="1"/>
  <c r="AC266" i="1"/>
  <c r="AB266" i="1"/>
  <c r="AA266" i="1"/>
  <c r="Z266" i="1"/>
  <c r="AC265" i="1"/>
  <c r="AB265" i="1"/>
  <c r="AA265" i="1"/>
  <c r="Z265" i="1"/>
  <c r="AC264" i="1"/>
  <c r="AB264" i="1"/>
  <c r="AA264" i="1"/>
  <c r="Z264" i="1"/>
  <c r="AC263" i="1"/>
  <c r="AB263" i="1"/>
  <c r="AA263" i="1"/>
  <c r="Z263" i="1"/>
  <c r="AC262" i="1"/>
  <c r="AB262" i="1"/>
  <c r="AA262" i="1"/>
  <c r="Z262" i="1"/>
  <c r="AC261" i="1"/>
  <c r="AB261" i="1"/>
  <c r="AA261" i="1"/>
  <c r="Z261" i="1"/>
  <c r="AC260" i="1"/>
  <c r="AB260" i="1"/>
  <c r="AA260" i="1"/>
  <c r="Z260" i="1"/>
  <c r="AC259" i="1"/>
  <c r="AB259" i="1"/>
  <c r="AA259" i="1"/>
  <c r="Z259" i="1"/>
  <c r="AC258" i="1"/>
  <c r="AB258" i="1"/>
  <c r="AA258" i="1"/>
  <c r="Z258" i="1"/>
  <c r="AC257" i="1"/>
  <c r="AB257" i="1"/>
  <c r="AA257" i="1"/>
  <c r="Z257" i="1"/>
  <c r="AC256" i="1"/>
  <c r="AB256" i="1"/>
  <c r="AA256" i="1"/>
  <c r="Z256" i="1"/>
  <c r="AC255" i="1"/>
  <c r="AB255" i="1"/>
  <c r="AA255" i="1"/>
  <c r="Z255" i="1"/>
  <c r="AC254" i="1"/>
  <c r="AB254" i="1"/>
  <c r="AA254" i="1"/>
  <c r="Z254" i="1"/>
  <c r="AC253" i="1"/>
  <c r="AB253" i="1"/>
  <c r="AA253" i="1"/>
  <c r="Z253" i="1"/>
  <c r="AC252" i="1"/>
  <c r="AB252" i="1"/>
  <c r="AA252" i="1"/>
  <c r="Z252" i="1"/>
  <c r="AC251" i="1"/>
  <c r="AB251" i="1"/>
  <c r="AA251" i="1"/>
  <c r="Z251" i="1"/>
  <c r="AC250" i="1"/>
  <c r="AB250" i="1"/>
  <c r="AA250" i="1"/>
  <c r="Z250" i="1"/>
  <c r="AC249" i="1"/>
  <c r="AB249" i="1"/>
  <c r="AA249" i="1"/>
  <c r="Z249" i="1"/>
  <c r="AC248" i="1"/>
  <c r="AB248" i="1"/>
  <c r="AA248" i="1"/>
  <c r="Z248" i="1"/>
  <c r="AC247" i="1"/>
  <c r="AB247" i="1"/>
  <c r="AA247" i="1"/>
  <c r="Z247" i="1"/>
  <c r="AC246" i="1"/>
  <c r="AB246" i="1"/>
  <c r="AA246" i="1"/>
  <c r="Z246" i="1"/>
  <c r="AC245" i="1"/>
  <c r="AB245" i="1"/>
  <c r="AA245" i="1"/>
  <c r="Z245" i="1"/>
  <c r="AC244" i="1"/>
  <c r="AB244" i="1"/>
  <c r="AA244" i="1"/>
  <c r="Z244" i="1"/>
  <c r="AC243" i="1"/>
  <c r="AB243" i="1"/>
  <c r="AA243" i="1"/>
  <c r="Z243" i="1"/>
  <c r="AC242" i="1"/>
  <c r="AB242" i="1"/>
  <c r="AA242" i="1"/>
  <c r="Z242" i="1"/>
  <c r="AC241" i="1"/>
  <c r="AB241" i="1"/>
  <c r="AA241" i="1"/>
  <c r="Z241" i="1"/>
  <c r="AC240" i="1"/>
  <c r="AB240" i="1"/>
  <c r="AA240" i="1"/>
  <c r="Z240" i="1"/>
  <c r="AC239" i="1"/>
  <c r="AB239" i="1"/>
  <c r="AA239" i="1"/>
  <c r="Z239" i="1"/>
  <c r="AC238" i="1"/>
  <c r="AB238" i="1"/>
  <c r="AA238" i="1"/>
  <c r="Z238" i="1"/>
  <c r="AC237" i="1"/>
  <c r="AB237" i="1"/>
  <c r="AA237" i="1"/>
  <c r="Z237" i="1"/>
  <c r="AC236" i="1"/>
  <c r="AB236" i="1"/>
  <c r="AA236" i="1"/>
  <c r="Z236" i="1"/>
  <c r="AC235" i="1"/>
  <c r="AB235" i="1"/>
  <c r="AA235" i="1"/>
  <c r="Z235" i="1"/>
  <c r="AC234" i="1"/>
  <c r="AB234" i="1"/>
  <c r="AA234" i="1"/>
  <c r="Z234" i="1"/>
  <c r="AC233" i="1"/>
  <c r="AB233" i="1"/>
  <c r="AA233" i="1"/>
  <c r="Z233" i="1"/>
  <c r="AC232" i="1"/>
  <c r="AB232" i="1"/>
  <c r="AA232" i="1"/>
  <c r="Z232" i="1"/>
  <c r="AC231" i="1"/>
  <c r="AB231" i="1"/>
  <c r="AA231" i="1"/>
  <c r="Z231" i="1"/>
  <c r="AC230" i="1"/>
  <c r="AB230" i="1"/>
  <c r="AA230" i="1"/>
  <c r="Z230" i="1"/>
  <c r="AC229" i="1"/>
  <c r="AB229" i="1"/>
  <c r="AA229" i="1"/>
  <c r="Z229" i="1"/>
  <c r="AC228" i="1"/>
  <c r="AB228" i="1"/>
  <c r="AA228" i="1"/>
  <c r="Z228" i="1"/>
  <c r="AC227" i="1"/>
  <c r="AB227" i="1"/>
  <c r="AA227" i="1"/>
  <c r="Z227" i="1"/>
  <c r="AC226" i="1"/>
  <c r="AB226" i="1"/>
  <c r="AA226" i="1"/>
  <c r="Z226" i="1"/>
  <c r="AC225" i="1"/>
  <c r="AB225" i="1"/>
  <c r="AA225" i="1"/>
  <c r="Z225" i="1"/>
  <c r="AC224" i="1"/>
  <c r="AB224" i="1"/>
  <c r="AA224" i="1"/>
  <c r="Z224" i="1"/>
  <c r="AC223" i="1"/>
  <c r="AB223" i="1"/>
  <c r="AA223" i="1"/>
  <c r="Z223" i="1"/>
  <c r="AC222" i="1"/>
  <c r="AB222" i="1"/>
  <c r="AA222" i="1"/>
  <c r="Z222" i="1"/>
  <c r="AC221" i="1"/>
  <c r="AB221" i="1"/>
  <c r="AA221" i="1"/>
  <c r="Z221" i="1"/>
  <c r="AC220" i="1"/>
  <c r="AB220" i="1"/>
  <c r="AA220" i="1"/>
  <c r="Z220" i="1"/>
  <c r="AC219" i="1"/>
  <c r="AB219" i="1"/>
  <c r="AA219" i="1"/>
  <c r="Z219" i="1"/>
  <c r="AC218" i="1"/>
  <c r="AB218" i="1"/>
  <c r="AA218" i="1"/>
  <c r="Z218" i="1"/>
  <c r="AC217" i="1"/>
  <c r="AB217" i="1"/>
  <c r="AA217" i="1"/>
  <c r="Z217" i="1"/>
  <c r="AC216" i="1"/>
  <c r="AB216" i="1"/>
  <c r="AA216" i="1"/>
  <c r="Z216" i="1"/>
  <c r="AC215" i="1"/>
  <c r="AB215" i="1"/>
  <c r="AA215" i="1"/>
  <c r="Z215" i="1"/>
  <c r="AC214" i="1"/>
  <c r="AB214" i="1"/>
  <c r="AA214" i="1"/>
  <c r="Z214" i="1"/>
  <c r="AC213" i="1"/>
  <c r="AB213" i="1"/>
  <c r="AA213" i="1"/>
  <c r="Z213" i="1"/>
  <c r="AC212" i="1"/>
  <c r="AB212" i="1"/>
  <c r="AA212" i="1"/>
  <c r="Z212" i="1"/>
  <c r="AC211" i="1"/>
  <c r="AB211" i="1"/>
  <c r="AA211" i="1"/>
  <c r="Z211" i="1"/>
  <c r="AC210" i="1"/>
  <c r="AB210" i="1"/>
  <c r="AA210" i="1"/>
  <c r="Z210" i="1"/>
  <c r="AC209" i="1"/>
  <c r="AB209" i="1"/>
  <c r="AA209" i="1"/>
  <c r="Z209" i="1"/>
  <c r="AC208" i="1"/>
  <c r="AB208" i="1"/>
  <c r="AA208" i="1"/>
  <c r="Z208" i="1"/>
  <c r="AC207" i="1"/>
  <c r="AB207" i="1"/>
  <c r="AA207" i="1"/>
  <c r="Z207" i="1"/>
  <c r="AC206" i="1"/>
  <c r="AB206" i="1"/>
  <c r="AA206" i="1"/>
  <c r="Z206" i="1"/>
  <c r="AC205" i="1"/>
  <c r="AB205" i="1"/>
  <c r="AA205" i="1"/>
  <c r="Z205" i="1"/>
  <c r="AC204" i="1"/>
  <c r="AB204" i="1"/>
  <c r="AA204" i="1"/>
  <c r="Z204" i="1"/>
  <c r="AC203" i="1"/>
  <c r="AB203" i="1"/>
  <c r="AA203" i="1"/>
  <c r="Z203" i="1"/>
  <c r="AC202" i="1"/>
  <c r="AB202" i="1"/>
  <c r="AA202" i="1"/>
  <c r="Z202" i="1"/>
  <c r="AC201" i="1"/>
  <c r="AB201" i="1"/>
  <c r="AA201" i="1"/>
  <c r="Z201" i="1"/>
  <c r="AC200" i="1"/>
  <c r="AB200" i="1"/>
  <c r="AA200" i="1"/>
  <c r="Z200" i="1"/>
  <c r="AC199" i="1"/>
  <c r="AB199" i="1"/>
  <c r="AA199" i="1"/>
  <c r="Z199" i="1"/>
  <c r="AC198" i="1"/>
  <c r="AB198" i="1"/>
  <c r="AA198" i="1"/>
  <c r="Z198" i="1"/>
  <c r="AC197" i="1"/>
  <c r="AB197" i="1"/>
  <c r="AA197" i="1"/>
  <c r="Z197" i="1"/>
  <c r="AC196" i="1"/>
  <c r="AB196" i="1"/>
  <c r="AA196" i="1"/>
  <c r="Z196" i="1"/>
  <c r="AC195" i="1"/>
  <c r="AB195" i="1"/>
  <c r="AA195" i="1"/>
  <c r="Z195" i="1"/>
  <c r="AC194" i="1"/>
  <c r="AB194" i="1"/>
  <c r="AA194" i="1"/>
  <c r="Z194" i="1"/>
  <c r="AC193" i="1"/>
  <c r="AB193" i="1"/>
  <c r="AA193" i="1"/>
  <c r="Z193" i="1"/>
  <c r="AC192" i="1"/>
  <c r="AB192" i="1"/>
  <c r="AA192" i="1"/>
  <c r="Z192" i="1"/>
  <c r="AC191" i="1"/>
  <c r="AB191" i="1"/>
  <c r="AA191" i="1"/>
  <c r="Z191" i="1"/>
  <c r="AC190" i="1"/>
  <c r="AB190" i="1"/>
  <c r="AA190" i="1"/>
  <c r="Z190" i="1"/>
  <c r="AC189" i="1"/>
  <c r="AB189" i="1"/>
  <c r="AA189" i="1"/>
  <c r="Z189" i="1"/>
  <c r="AC188" i="1"/>
  <c r="AB188" i="1"/>
  <c r="AA188" i="1"/>
  <c r="Z188" i="1"/>
  <c r="AC187" i="1"/>
  <c r="AB187" i="1"/>
  <c r="AA187" i="1"/>
  <c r="Z187" i="1"/>
  <c r="AC186" i="1"/>
  <c r="AB186" i="1"/>
  <c r="AA186" i="1"/>
  <c r="Z186" i="1"/>
  <c r="AC185" i="1"/>
  <c r="AB185" i="1"/>
  <c r="AA185" i="1"/>
  <c r="Z185" i="1"/>
  <c r="AC184" i="1"/>
  <c r="AB184" i="1"/>
  <c r="AA184" i="1"/>
  <c r="Z184" i="1"/>
  <c r="AC183" i="1"/>
  <c r="AB183" i="1"/>
  <c r="AA183" i="1"/>
  <c r="Z183" i="1"/>
  <c r="AC182" i="1"/>
  <c r="AB182" i="1"/>
  <c r="AA182" i="1"/>
  <c r="Z182" i="1"/>
  <c r="AC181" i="1"/>
  <c r="AB181" i="1"/>
  <c r="AA181" i="1"/>
  <c r="Z181" i="1"/>
  <c r="AC180" i="1"/>
  <c r="AB180" i="1"/>
  <c r="AA180" i="1"/>
  <c r="Z180" i="1"/>
  <c r="AC179" i="1"/>
  <c r="AB179" i="1"/>
  <c r="AA179" i="1"/>
  <c r="Z179" i="1"/>
  <c r="AC178" i="1"/>
  <c r="AB178" i="1"/>
  <c r="AA178" i="1"/>
  <c r="Z178" i="1"/>
  <c r="AC177" i="1"/>
  <c r="AB177" i="1"/>
  <c r="AA177" i="1"/>
  <c r="Z177" i="1"/>
  <c r="AC176" i="1"/>
  <c r="AB176" i="1"/>
  <c r="AA176" i="1"/>
  <c r="Z176" i="1"/>
  <c r="AC175" i="1"/>
  <c r="AB175" i="1"/>
  <c r="AA175" i="1"/>
  <c r="Z175" i="1"/>
  <c r="AC174" i="1"/>
  <c r="AB174" i="1"/>
  <c r="AA174" i="1"/>
  <c r="Z174" i="1"/>
  <c r="AC173" i="1"/>
  <c r="AB173" i="1"/>
  <c r="AA173" i="1"/>
  <c r="Z173" i="1"/>
  <c r="AC172" i="1"/>
  <c r="AB172" i="1"/>
  <c r="AA172" i="1"/>
  <c r="Z172" i="1"/>
  <c r="AC171" i="1"/>
  <c r="AB171" i="1"/>
  <c r="AA171" i="1"/>
  <c r="Z171" i="1"/>
  <c r="AC170" i="1"/>
  <c r="AB170" i="1"/>
  <c r="AA170" i="1"/>
  <c r="Z170" i="1"/>
  <c r="AC169" i="1"/>
  <c r="AB169" i="1"/>
  <c r="AA169" i="1"/>
  <c r="Z169" i="1"/>
  <c r="AC168" i="1"/>
  <c r="AB168" i="1"/>
  <c r="AA168" i="1"/>
  <c r="Z168" i="1"/>
  <c r="AC167" i="1"/>
  <c r="AB167" i="1"/>
  <c r="AA167" i="1"/>
  <c r="Z167" i="1"/>
  <c r="AC166" i="1"/>
  <c r="AB166" i="1"/>
  <c r="AA166" i="1"/>
  <c r="Z166" i="1"/>
  <c r="AC165" i="1"/>
  <c r="AB165" i="1"/>
  <c r="AA165" i="1"/>
  <c r="Z165" i="1"/>
  <c r="AC164" i="1"/>
  <c r="AB164" i="1"/>
  <c r="AA164" i="1"/>
  <c r="Z164" i="1"/>
  <c r="AC163" i="1"/>
  <c r="AB163" i="1"/>
  <c r="AA163" i="1"/>
  <c r="Z163" i="1"/>
  <c r="AC162" i="1"/>
  <c r="AB162" i="1"/>
  <c r="AA162" i="1"/>
  <c r="Z162" i="1"/>
  <c r="AC161" i="1"/>
  <c r="AB161" i="1"/>
  <c r="AA161" i="1"/>
  <c r="Z161" i="1"/>
  <c r="AC160" i="1"/>
  <c r="AB160" i="1"/>
  <c r="AA160" i="1"/>
  <c r="Z160" i="1"/>
  <c r="AC159" i="1"/>
  <c r="AB159" i="1"/>
  <c r="AA159" i="1"/>
  <c r="Z159" i="1"/>
  <c r="AC158" i="1"/>
  <c r="AB158" i="1"/>
  <c r="AA158" i="1"/>
  <c r="Z158" i="1"/>
  <c r="AC157" i="1"/>
  <c r="AB157" i="1"/>
  <c r="AA157" i="1"/>
  <c r="Z157" i="1"/>
  <c r="AC156" i="1"/>
  <c r="AB156" i="1"/>
  <c r="AA156" i="1"/>
  <c r="Z156" i="1"/>
  <c r="AC155" i="1"/>
  <c r="AB155" i="1"/>
  <c r="AA155" i="1"/>
  <c r="Z155" i="1"/>
  <c r="AC154" i="1"/>
  <c r="AB154" i="1"/>
  <c r="AA154" i="1"/>
  <c r="Z154" i="1"/>
  <c r="AC153" i="1"/>
  <c r="AB153" i="1"/>
  <c r="AA153" i="1"/>
  <c r="Z153" i="1"/>
  <c r="AC152" i="1"/>
  <c r="AB152" i="1"/>
  <c r="AA152" i="1"/>
  <c r="Z152" i="1"/>
  <c r="AC151" i="1"/>
  <c r="AB151" i="1"/>
  <c r="AA151" i="1"/>
  <c r="Z151" i="1"/>
  <c r="AC150" i="1"/>
  <c r="AB150" i="1"/>
  <c r="AA150" i="1"/>
  <c r="Z150" i="1"/>
  <c r="AC149" i="1"/>
  <c r="AB149" i="1"/>
  <c r="AA149" i="1"/>
  <c r="Z149" i="1"/>
  <c r="AC148" i="1"/>
  <c r="AB148" i="1"/>
  <c r="AA148" i="1"/>
  <c r="Z148" i="1"/>
  <c r="AC147" i="1"/>
  <c r="AB147" i="1"/>
  <c r="AA147" i="1"/>
  <c r="Z147" i="1"/>
  <c r="AC146" i="1"/>
  <c r="AB146" i="1"/>
  <c r="AA146" i="1"/>
  <c r="Z146" i="1"/>
  <c r="AC145" i="1"/>
  <c r="AB145" i="1"/>
  <c r="AA145" i="1"/>
  <c r="Z145" i="1"/>
  <c r="AC144" i="1"/>
  <c r="AB144" i="1"/>
  <c r="AA144" i="1"/>
  <c r="Z144" i="1"/>
  <c r="AC143" i="1"/>
  <c r="AB143" i="1"/>
  <c r="AA143" i="1"/>
  <c r="Z143" i="1"/>
  <c r="AC142" i="1"/>
  <c r="AB142" i="1"/>
  <c r="AA142" i="1"/>
  <c r="Z142" i="1"/>
  <c r="AC141" i="1"/>
  <c r="AB141" i="1"/>
  <c r="AA141" i="1"/>
  <c r="Z141" i="1"/>
  <c r="AC140" i="1"/>
  <c r="AB140" i="1"/>
  <c r="AA140" i="1"/>
  <c r="Z140" i="1"/>
  <c r="AC139" i="1"/>
  <c r="AB139" i="1"/>
  <c r="AA139" i="1"/>
  <c r="Z139" i="1"/>
  <c r="AC138" i="1"/>
  <c r="AB138" i="1"/>
  <c r="AA138" i="1"/>
  <c r="Z138" i="1"/>
  <c r="AC137" i="1"/>
  <c r="AB137" i="1"/>
  <c r="AA137" i="1"/>
  <c r="Z137" i="1"/>
  <c r="AC136" i="1"/>
  <c r="AB136" i="1"/>
  <c r="AA136" i="1"/>
  <c r="Z136" i="1"/>
  <c r="AC135" i="1"/>
  <c r="AB135" i="1"/>
  <c r="AA135" i="1"/>
  <c r="Z135" i="1"/>
  <c r="AC134" i="1"/>
  <c r="AB134" i="1"/>
  <c r="AA134" i="1"/>
  <c r="Z134" i="1"/>
  <c r="AC133" i="1"/>
  <c r="AB133" i="1"/>
  <c r="AA133" i="1"/>
  <c r="Z133" i="1"/>
  <c r="AC132" i="1"/>
  <c r="AB132" i="1"/>
  <c r="AA132" i="1"/>
  <c r="Z132" i="1"/>
  <c r="AC131" i="1"/>
  <c r="AB131" i="1"/>
  <c r="AA131" i="1"/>
  <c r="Z131" i="1"/>
  <c r="AC130" i="1"/>
  <c r="AB130" i="1"/>
  <c r="AA130" i="1"/>
  <c r="Z130" i="1"/>
  <c r="AC129" i="1"/>
  <c r="AB129" i="1"/>
  <c r="AA129" i="1"/>
  <c r="Z129" i="1"/>
  <c r="AC128" i="1"/>
  <c r="AB128" i="1"/>
  <c r="AA128" i="1"/>
  <c r="Z128" i="1"/>
  <c r="AC127" i="1"/>
  <c r="AB127" i="1"/>
  <c r="AA127" i="1"/>
  <c r="Z127" i="1"/>
  <c r="AC126" i="1"/>
  <c r="AB126" i="1"/>
  <c r="AA126" i="1"/>
  <c r="Z126" i="1"/>
  <c r="AC125" i="1"/>
  <c r="AB125" i="1"/>
  <c r="AA125" i="1"/>
  <c r="Z125" i="1"/>
  <c r="AC124" i="1"/>
  <c r="AB124" i="1"/>
  <c r="AA124" i="1"/>
  <c r="Z124" i="1"/>
  <c r="AC123" i="1"/>
  <c r="AB123" i="1"/>
  <c r="AA123" i="1"/>
  <c r="Z123" i="1"/>
  <c r="AC122" i="1"/>
  <c r="AB122" i="1"/>
  <c r="AA122" i="1"/>
  <c r="Z122" i="1"/>
  <c r="AC121" i="1"/>
  <c r="AB121" i="1"/>
  <c r="AA121" i="1"/>
  <c r="Z121" i="1"/>
  <c r="AC120" i="1"/>
  <c r="AB120" i="1"/>
  <c r="AA120" i="1"/>
  <c r="Z120" i="1"/>
  <c r="AC119" i="1"/>
  <c r="AB119" i="1"/>
  <c r="AA119" i="1"/>
  <c r="Z119" i="1"/>
  <c r="AC118" i="1"/>
  <c r="AB118" i="1"/>
  <c r="AA118" i="1"/>
  <c r="Z118" i="1"/>
  <c r="AC117" i="1"/>
  <c r="AB117" i="1"/>
  <c r="AA117" i="1"/>
  <c r="Z117" i="1"/>
  <c r="AC116" i="1"/>
  <c r="AB116" i="1"/>
  <c r="AA116" i="1"/>
  <c r="Z116" i="1"/>
  <c r="AC115" i="1"/>
  <c r="AB115" i="1"/>
  <c r="AA115" i="1"/>
  <c r="Z115" i="1"/>
  <c r="AC114" i="1"/>
  <c r="AB114" i="1"/>
  <c r="AA114" i="1"/>
  <c r="Z114" i="1"/>
  <c r="AC113" i="1"/>
  <c r="AB113" i="1"/>
  <c r="AA113" i="1"/>
  <c r="Z113" i="1"/>
  <c r="AC112" i="1"/>
  <c r="AB112" i="1"/>
  <c r="AA112" i="1"/>
  <c r="Z112" i="1"/>
  <c r="AC111" i="1"/>
  <c r="AB111" i="1"/>
  <c r="AA111" i="1"/>
  <c r="Z111" i="1"/>
  <c r="AC110" i="1"/>
  <c r="AB110" i="1"/>
  <c r="AA110" i="1"/>
  <c r="Z110" i="1"/>
  <c r="AC109" i="1"/>
  <c r="AB109" i="1"/>
  <c r="AA109" i="1"/>
  <c r="Z109" i="1"/>
  <c r="AC108" i="1"/>
  <c r="AB108" i="1"/>
  <c r="AA108" i="1"/>
  <c r="Z108" i="1"/>
  <c r="AC107" i="1"/>
  <c r="AB107" i="1"/>
  <c r="AA107" i="1"/>
  <c r="Z107" i="1"/>
  <c r="AC106" i="1"/>
  <c r="AB106" i="1"/>
  <c r="AA106" i="1"/>
  <c r="Z106" i="1"/>
  <c r="AC105" i="1"/>
  <c r="AB105" i="1"/>
  <c r="AA105" i="1"/>
  <c r="Z105" i="1"/>
  <c r="AC104" i="1"/>
  <c r="AB104" i="1"/>
  <c r="AA104" i="1"/>
  <c r="Z104" i="1"/>
  <c r="AC103" i="1"/>
  <c r="AB103" i="1"/>
  <c r="AA103" i="1"/>
  <c r="Z103" i="1"/>
  <c r="AC102" i="1"/>
  <c r="AB102" i="1"/>
  <c r="AA102" i="1"/>
  <c r="Z102" i="1"/>
  <c r="AC101" i="1"/>
  <c r="AB101" i="1"/>
  <c r="AA101" i="1"/>
  <c r="Z101" i="1"/>
  <c r="AC100" i="1"/>
  <c r="AB100" i="1"/>
  <c r="AA100" i="1"/>
  <c r="Z100" i="1"/>
  <c r="AC99" i="1"/>
  <c r="AB99" i="1"/>
  <c r="AA99" i="1"/>
  <c r="Z99" i="1"/>
  <c r="AC98" i="1"/>
  <c r="AB98" i="1"/>
  <c r="AA98" i="1"/>
  <c r="Z98" i="1"/>
  <c r="AC97" i="1"/>
  <c r="AB97" i="1"/>
  <c r="AA97" i="1"/>
  <c r="Z97" i="1"/>
  <c r="AC96" i="1"/>
  <c r="AB96" i="1"/>
  <c r="AA96" i="1"/>
  <c r="Z96" i="1"/>
  <c r="AC95" i="1"/>
  <c r="AB95" i="1"/>
  <c r="AA95" i="1"/>
  <c r="Z95" i="1"/>
  <c r="AC94" i="1"/>
  <c r="AB94" i="1"/>
  <c r="AA94" i="1"/>
  <c r="Z94" i="1"/>
  <c r="AC93" i="1"/>
  <c r="AB93" i="1"/>
  <c r="AA93" i="1"/>
  <c r="Z93" i="1"/>
  <c r="AC92" i="1"/>
  <c r="AB92" i="1"/>
  <c r="AA92" i="1"/>
  <c r="Z92" i="1"/>
  <c r="AC91" i="1"/>
  <c r="AB91" i="1"/>
  <c r="AA91" i="1"/>
  <c r="Z91" i="1"/>
  <c r="AC90" i="1"/>
  <c r="AB90" i="1"/>
  <c r="AA90" i="1"/>
  <c r="Z90" i="1"/>
  <c r="AC89" i="1"/>
  <c r="AB89" i="1"/>
  <c r="AA89" i="1"/>
  <c r="Z89" i="1"/>
  <c r="AC88" i="1"/>
  <c r="AB88" i="1"/>
  <c r="AA88" i="1"/>
  <c r="Z88" i="1"/>
  <c r="AC87" i="1"/>
  <c r="AB87" i="1"/>
  <c r="AA87" i="1"/>
  <c r="Z87" i="1"/>
  <c r="AC86" i="1"/>
  <c r="AB86" i="1"/>
  <c r="AA86" i="1"/>
  <c r="Z86" i="1"/>
  <c r="AC85" i="1"/>
  <c r="AB85" i="1"/>
  <c r="AA85" i="1"/>
  <c r="Z85" i="1"/>
  <c r="AC84" i="1"/>
  <c r="AB84" i="1"/>
  <c r="AA84" i="1"/>
  <c r="Z84" i="1"/>
  <c r="AC83" i="1"/>
  <c r="AB83" i="1"/>
  <c r="AA83" i="1"/>
  <c r="Z83" i="1"/>
  <c r="AC82" i="1"/>
  <c r="AB82" i="1"/>
  <c r="AA82" i="1"/>
  <c r="Z82" i="1"/>
  <c r="AC81" i="1"/>
  <c r="AB81" i="1"/>
  <c r="AA81" i="1"/>
  <c r="Z81" i="1"/>
  <c r="AC80" i="1"/>
  <c r="AB80" i="1"/>
  <c r="AA80" i="1"/>
  <c r="Z80" i="1"/>
  <c r="AC79" i="1"/>
  <c r="AB79" i="1"/>
  <c r="AA79" i="1"/>
  <c r="Z79" i="1"/>
  <c r="AC78" i="1"/>
  <c r="AB78" i="1"/>
  <c r="AA78" i="1"/>
  <c r="Z78" i="1"/>
  <c r="AC77" i="1"/>
  <c r="AB77" i="1"/>
  <c r="AA77" i="1"/>
  <c r="Z77" i="1"/>
  <c r="AC76" i="1"/>
  <c r="AB76" i="1"/>
  <c r="AA76" i="1"/>
  <c r="Z76" i="1"/>
  <c r="AC75" i="1"/>
  <c r="AB75" i="1"/>
  <c r="AA75" i="1"/>
  <c r="Z75" i="1"/>
  <c r="AC74" i="1"/>
  <c r="AB74" i="1"/>
  <c r="AA74" i="1"/>
  <c r="Z74" i="1"/>
  <c r="AC73" i="1"/>
  <c r="AB73" i="1"/>
  <c r="AA73" i="1"/>
  <c r="Z73" i="1"/>
  <c r="AC72" i="1"/>
  <c r="AB72" i="1"/>
  <c r="AA72" i="1"/>
  <c r="Z72" i="1"/>
  <c r="AC71" i="1"/>
  <c r="AB71" i="1"/>
  <c r="AA71" i="1"/>
  <c r="Z71" i="1"/>
  <c r="AC70" i="1"/>
  <c r="AB70" i="1"/>
  <c r="AA70" i="1"/>
  <c r="Z70" i="1"/>
  <c r="AC69" i="1"/>
  <c r="AB69" i="1"/>
  <c r="AA69" i="1"/>
  <c r="Z69" i="1"/>
  <c r="AC68" i="1"/>
  <c r="AB68" i="1"/>
  <c r="AA68" i="1"/>
  <c r="Z68" i="1"/>
  <c r="AC67" i="1"/>
  <c r="AB67" i="1"/>
  <c r="AA67" i="1"/>
  <c r="Z67" i="1"/>
  <c r="AC66" i="1"/>
  <c r="AB66" i="1"/>
  <c r="AA66" i="1"/>
  <c r="Z66" i="1"/>
  <c r="AC65" i="1"/>
  <c r="AB65" i="1"/>
  <c r="AA65" i="1"/>
  <c r="Z65" i="1"/>
  <c r="AC64" i="1"/>
  <c r="AB64" i="1"/>
  <c r="AA64" i="1"/>
  <c r="Z64" i="1"/>
  <c r="AC63" i="1"/>
  <c r="AB63" i="1"/>
  <c r="AA63" i="1"/>
  <c r="Z63" i="1"/>
  <c r="AC62" i="1"/>
  <c r="AB62" i="1"/>
  <c r="AA62" i="1"/>
  <c r="Z62" i="1"/>
  <c r="AC61" i="1"/>
  <c r="AB61" i="1"/>
  <c r="AA61" i="1"/>
  <c r="Z61" i="1"/>
  <c r="AC60" i="1"/>
  <c r="AB60" i="1"/>
  <c r="AA60" i="1"/>
  <c r="Z60" i="1"/>
  <c r="AC59" i="1"/>
  <c r="AB59" i="1"/>
  <c r="AA59" i="1"/>
  <c r="Z59" i="1"/>
  <c r="AC58" i="1"/>
  <c r="AB58" i="1"/>
  <c r="AA58" i="1"/>
  <c r="Z58" i="1"/>
  <c r="AC57" i="1"/>
  <c r="AB57" i="1"/>
  <c r="AA57" i="1"/>
  <c r="Z57" i="1"/>
  <c r="AC56" i="1"/>
  <c r="AB56" i="1"/>
  <c r="AA56" i="1"/>
  <c r="Z56" i="1"/>
  <c r="AC55" i="1"/>
  <c r="AB55" i="1"/>
  <c r="AA55" i="1"/>
  <c r="Z55" i="1"/>
  <c r="AC54" i="1"/>
  <c r="AB54" i="1"/>
  <c r="AA54" i="1"/>
  <c r="Z54" i="1"/>
  <c r="AC53" i="1"/>
  <c r="AB53" i="1"/>
  <c r="AA53" i="1"/>
  <c r="Z53" i="1"/>
  <c r="AC52" i="1"/>
  <c r="AB52" i="1"/>
  <c r="AA52" i="1"/>
  <c r="Z52" i="1"/>
  <c r="AC51" i="1"/>
  <c r="AB51" i="1"/>
  <c r="AA51" i="1"/>
  <c r="Z51" i="1"/>
  <c r="AC50" i="1"/>
  <c r="AB50" i="1"/>
  <c r="AA50" i="1"/>
  <c r="Z50" i="1"/>
  <c r="AC49" i="1"/>
  <c r="AB49" i="1"/>
  <c r="AA49" i="1"/>
  <c r="Z49" i="1"/>
  <c r="AC48" i="1"/>
  <c r="AB48" i="1"/>
  <c r="AA48" i="1"/>
  <c r="Z48" i="1"/>
  <c r="AC47" i="1"/>
  <c r="AB47" i="1"/>
  <c r="AA47" i="1"/>
  <c r="Z47" i="1"/>
  <c r="AC46" i="1"/>
  <c r="AB46" i="1"/>
  <c r="AA46" i="1"/>
  <c r="Z46" i="1"/>
  <c r="AC45" i="1"/>
  <c r="AB45" i="1"/>
  <c r="AA45" i="1"/>
  <c r="Z45" i="1"/>
  <c r="AC44" i="1"/>
  <c r="AB44" i="1"/>
  <c r="AA44" i="1"/>
  <c r="Z44" i="1"/>
  <c r="AC43" i="1"/>
  <c r="AB43" i="1"/>
  <c r="AA43" i="1"/>
  <c r="Z43" i="1"/>
  <c r="AC42" i="1"/>
  <c r="AB42" i="1"/>
  <c r="AA42" i="1"/>
  <c r="Z42" i="1"/>
  <c r="AC41" i="1"/>
  <c r="AB41" i="1"/>
  <c r="AA41" i="1"/>
  <c r="Z41" i="1"/>
  <c r="AC40" i="1"/>
  <c r="AB40" i="1"/>
  <c r="AA40" i="1"/>
  <c r="Z40" i="1"/>
  <c r="AC39" i="1"/>
  <c r="AB39" i="1"/>
  <c r="AA39" i="1"/>
  <c r="Z39" i="1"/>
  <c r="AC38" i="1"/>
  <c r="AB38" i="1"/>
  <c r="AA38" i="1"/>
  <c r="Z38" i="1"/>
  <c r="AC37" i="1"/>
  <c r="AB37" i="1"/>
  <c r="AA37" i="1"/>
  <c r="Z37" i="1"/>
  <c r="AC36" i="1"/>
  <c r="AB36" i="1"/>
  <c r="AA36" i="1"/>
  <c r="Z36" i="1"/>
  <c r="AC35" i="1"/>
  <c r="AB35" i="1"/>
  <c r="AA35" i="1"/>
  <c r="Z35" i="1"/>
  <c r="AC34" i="1"/>
  <c r="AB34" i="1"/>
  <c r="AA34" i="1"/>
  <c r="Z34" i="1"/>
  <c r="AC33" i="1"/>
  <c r="AB33" i="1"/>
  <c r="AA33" i="1"/>
  <c r="Z33" i="1"/>
  <c r="AC32" i="1"/>
  <c r="AB32" i="1"/>
  <c r="AA32" i="1"/>
  <c r="Z32" i="1"/>
  <c r="AC31" i="1"/>
  <c r="AB31" i="1"/>
  <c r="AA31" i="1"/>
  <c r="Z31" i="1"/>
  <c r="AC30" i="1"/>
  <c r="AB30" i="1"/>
  <c r="AA30" i="1"/>
  <c r="Z30" i="1"/>
  <c r="AC29" i="1"/>
  <c r="AB29" i="1"/>
  <c r="AA29" i="1"/>
  <c r="Z29" i="1"/>
  <c r="AC28" i="1"/>
  <c r="AB28" i="1"/>
  <c r="AA28" i="1"/>
  <c r="Z28" i="1"/>
  <c r="AC27" i="1"/>
  <c r="AB27" i="1"/>
  <c r="AA27" i="1"/>
  <c r="Z27" i="1"/>
  <c r="AC26" i="1"/>
  <c r="AB26" i="1"/>
  <c r="AA26" i="1"/>
  <c r="Z26" i="1"/>
  <c r="AC25" i="1"/>
  <c r="AB25" i="1"/>
  <c r="AA25" i="1"/>
  <c r="Z25" i="1"/>
  <c r="AC24" i="1"/>
  <c r="AB24" i="1"/>
  <c r="AA24" i="1"/>
  <c r="Z24" i="1"/>
  <c r="AC23" i="1"/>
  <c r="AB23" i="1"/>
  <c r="AA23" i="1"/>
  <c r="Z23" i="1"/>
  <c r="AC22" i="1"/>
  <c r="AB22" i="1"/>
  <c r="AA22" i="1"/>
  <c r="Z22" i="1"/>
  <c r="AC21" i="1"/>
  <c r="AB21" i="1"/>
  <c r="AA21" i="1"/>
  <c r="Z21" i="1"/>
  <c r="AC20" i="1"/>
  <c r="AB20" i="1"/>
  <c r="AA20" i="1"/>
  <c r="Z20" i="1"/>
  <c r="AC19" i="1"/>
  <c r="AB19" i="1"/>
  <c r="AA19" i="1"/>
  <c r="Z19" i="1"/>
  <c r="AC18" i="1"/>
  <c r="AB18" i="1"/>
  <c r="AA18" i="1"/>
  <c r="Z18" i="1"/>
  <c r="AC17" i="1"/>
  <c r="AB17" i="1"/>
  <c r="AA17" i="1"/>
  <c r="Z17" i="1"/>
  <c r="AC16" i="1"/>
  <c r="AB16" i="1"/>
  <c r="AA16" i="1"/>
  <c r="Z16" i="1"/>
  <c r="AC15" i="1"/>
  <c r="AB15" i="1"/>
  <c r="AA15" i="1"/>
  <c r="Z15" i="1"/>
  <c r="AC14" i="1"/>
  <c r="AB14" i="1"/>
  <c r="AA14" i="1"/>
  <c r="Z14" i="1"/>
  <c r="AC13" i="1"/>
  <c r="AB13" i="1"/>
  <c r="AA13" i="1"/>
  <c r="Z13" i="1"/>
  <c r="AC12" i="1"/>
  <c r="AB12" i="1"/>
  <c r="AA12" i="1"/>
  <c r="Z12" i="1"/>
  <c r="AC11" i="1"/>
  <c r="AB11" i="1"/>
  <c r="AA11" i="1"/>
  <c r="Z11" i="1"/>
  <c r="AC10" i="1"/>
  <c r="AB10" i="1"/>
  <c r="AA10" i="1"/>
  <c r="Z10" i="1"/>
  <c r="AC9" i="1"/>
  <c r="AB9" i="1"/>
  <c r="AA9" i="1"/>
  <c r="Z9" i="1"/>
  <c r="AC8" i="1"/>
  <c r="AB8" i="1"/>
  <c r="AA8" i="1"/>
  <c r="Z8" i="1"/>
  <c r="AC7" i="1"/>
  <c r="AB7" i="1"/>
  <c r="AA7" i="1"/>
  <c r="Z7" i="1"/>
  <c r="AC6" i="1"/>
  <c r="AB6" i="1"/>
  <c r="AA6" i="1"/>
  <c r="Z6" i="1"/>
  <c r="AC5" i="1"/>
  <c r="AB5" i="1"/>
  <c r="AA5" i="1"/>
  <c r="Z5" i="1"/>
</calcChain>
</file>

<file path=xl/sharedStrings.xml><?xml version="1.0" encoding="utf-8"?>
<sst xmlns="http://schemas.openxmlformats.org/spreadsheetml/2006/main" count="7569" uniqueCount="331">
  <si>
    <t>Tabla 44</t>
  </si>
  <si>
    <t>Valor Agregado por grandes ramas de actividad, sector Económico y PIB para los 125 municipios de Antioquia entre los años 2015 - 2024pr
Cifras a precios constantes, Series encadenadas de volumen con año de referencia 2015 Miles de  millones de pesos</t>
  </si>
  <si>
    <t xml:space="preserve">Agricultura, ganadería, caza, silvicultura y pesca  </t>
  </si>
  <si>
    <t xml:space="preserve">Explotación de minas y canteras </t>
  </si>
  <si>
    <t>Actividades Primarias</t>
  </si>
  <si>
    <t xml:space="preserve">Industrias manufactureras </t>
  </si>
  <si>
    <t>Construcción</t>
  </si>
  <si>
    <t>Actividades Secundarias</t>
  </si>
  <si>
    <r>
      <t xml:space="preserve">Suministro de electricidad, gas,  agua </t>
    </r>
    <r>
      <rPr>
        <vertAlign val="superscript"/>
        <sz val="10"/>
        <color theme="0"/>
        <rFont val="Calibri"/>
        <family val="2"/>
        <scheme val="minor"/>
      </rPr>
      <t>(1)</t>
    </r>
  </si>
  <si>
    <r>
      <t>Comercio; reparación de automotores</t>
    </r>
    <r>
      <rPr>
        <vertAlign val="superscript"/>
        <sz val="10"/>
        <color theme="0"/>
        <rFont val="Calibri"/>
        <family val="2"/>
        <scheme val="minor"/>
      </rPr>
      <t>(2)</t>
    </r>
  </si>
  <si>
    <t xml:space="preserve">Información y comunicaciones </t>
  </si>
  <si>
    <t>Actividades financieras y de seguros</t>
  </si>
  <si>
    <t>Actividades inmobiliarias</t>
  </si>
  <si>
    <r>
      <t xml:space="preserve">Actividades profesionales, científicas  </t>
    </r>
    <r>
      <rPr>
        <vertAlign val="superscript"/>
        <sz val="10"/>
        <color theme="0"/>
        <rFont val="Calibri"/>
        <family val="2"/>
        <scheme val="minor"/>
      </rPr>
      <t>(3)</t>
    </r>
  </si>
  <si>
    <r>
      <t xml:space="preserve">Administración pública,  educación; salud humana </t>
    </r>
    <r>
      <rPr>
        <vertAlign val="superscript"/>
        <sz val="10"/>
        <color theme="0"/>
        <rFont val="Calibri"/>
        <family val="2"/>
        <scheme val="minor"/>
      </rPr>
      <t>(4)</t>
    </r>
  </si>
  <si>
    <r>
      <t xml:space="preserve">Actividades artísticas, entretenimiento y recreación </t>
    </r>
    <r>
      <rPr>
        <vertAlign val="superscript"/>
        <sz val="10"/>
        <color theme="0"/>
        <rFont val="Calibri"/>
        <family val="2"/>
        <scheme val="minor"/>
      </rPr>
      <t>(5)</t>
    </r>
  </si>
  <si>
    <t>Actividades Terciarias</t>
  </si>
  <si>
    <t>VA Total</t>
  </si>
  <si>
    <t>Impuestos</t>
  </si>
  <si>
    <t>PIB</t>
  </si>
  <si>
    <t>Año</t>
  </si>
  <si>
    <t>Código departamento</t>
  </si>
  <si>
    <t>Código subregión</t>
  </si>
  <si>
    <t>Código zona</t>
  </si>
  <si>
    <t>Código municipio</t>
  </si>
  <si>
    <t>Subregión</t>
  </si>
  <si>
    <t>Municipio</t>
  </si>
  <si>
    <t>Suministro de electricidad, gas, vapor y aire acondicionado; distribución de agua; evacuación y tratamiento de aguas residuales, gestión de desechos y actividades de saneamiento ambiental</t>
  </si>
  <si>
    <t>Comercio al por mayor y al por menor; reparación de vehículos automotores y motocicletas; transporte y almacenamiento; alojamiento y servicios de comida</t>
  </si>
  <si>
    <t>Actividades profesionales, científicas y técnicas; actividades de servicios administrativos y de apoyo</t>
  </si>
  <si>
    <t>Administración pública y defensa; planes de seguridad social de afiliación obligatoria; educación; actividades de atención de la salud humana y de servicios sociales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</si>
  <si>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</si>
  <si>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EAT Provincias</t>
  </si>
  <si>
    <t>EAT Region</t>
  </si>
  <si>
    <t>EAT Área Metropolitana</t>
  </si>
  <si>
    <t>EAT Asociación - Unión</t>
  </si>
  <si>
    <t>05</t>
  </si>
  <si>
    <t>Antioquia</t>
  </si>
  <si>
    <t>SR01</t>
  </si>
  <si>
    <t>Z01</t>
  </si>
  <si>
    <t>05001</t>
  </si>
  <si>
    <t>Valle de Aburrá</t>
  </si>
  <si>
    <t>Medellín</t>
  </si>
  <si>
    <t>Z02</t>
  </si>
  <si>
    <t>05079</t>
  </si>
  <si>
    <t>Barbosa</t>
  </si>
  <si>
    <t>05088</t>
  </si>
  <si>
    <t>Bello</t>
  </si>
  <si>
    <t>Z03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</si>
  <si>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</si>
  <si>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</si>
  <si>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</si>
  <si>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</si>
  <si>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</si>
  <si>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</si>
  <si>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</si>
  <si>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</si>
  <si>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</si>
  <si>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Itagüí</t>
  </si>
  <si>
    <t>05380</t>
  </si>
  <si>
    <t>La Estrella</t>
  </si>
  <si>
    <t>05631</t>
  </si>
  <si>
    <t>Sabaneta</t>
  </si>
  <si>
    <t>SR02</t>
  </si>
  <si>
    <t>Z04</t>
  </si>
  <si>
    <t>05120</t>
  </si>
  <si>
    <t>Bajo Cauca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</si>
  <si>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</si>
  <si>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</si>
  <si>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</si>
  <si>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</si>
  <si>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</si>
  <si>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</si>
  <si>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</si>
  <si>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</si>
  <si>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</si>
  <si>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</si>
  <si>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</si>
  <si>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SR03</t>
  </si>
  <si>
    <t>Z05</t>
  </si>
  <si>
    <t>05142</t>
  </si>
  <si>
    <t>Magdalena Medio</t>
  </si>
  <si>
    <t>Caracolí</t>
  </si>
  <si>
    <t>05425</t>
  </si>
  <si>
    <t>Maceo</t>
  </si>
  <si>
    <t>Z06</t>
  </si>
  <si>
    <t>05579</t>
  </si>
  <si>
    <t>Puerto Berrío</t>
  </si>
  <si>
    <t>05585</t>
  </si>
  <si>
    <t>Puerto Nare</t>
  </si>
  <si>
    <t>05591</t>
  </si>
  <si>
    <t>Puerto Triunfo</t>
  </si>
  <si>
    <t>05893</t>
  </si>
  <si>
    <t>Yondó</t>
  </si>
  <si>
    <t>SR04</t>
  </si>
  <si>
    <t>Z07</t>
  </si>
  <si>
    <t>05031</t>
  </si>
  <si>
    <t>Nordeste</t>
  </si>
  <si>
    <t>Amalfi</t>
  </si>
  <si>
    <t>Z09</t>
  </si>
  <si>
    <t>05040</t>
  </si>
  <si>
    <t>Anorí</t>
  </si>
  <si>
    <t>05190</t>
  </si>
  <si>
    <t>Cisneros</t>
  </si>
  <si>
    <t>Z08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</si>
  <si>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</si>
  <si>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</si>
  <si>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</si>
  <si>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</si>
  <si>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</si>
  <si>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</si>
  <si>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</si>
  <si>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</si>
  <si>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</si>
  <si>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</si>
  <si>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</si>
  <si>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</si>
  <si>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</si>
  <si>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</si>
  <si>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SR05</t>
  </si>
  <si>
    <t>Z10</t>
  </si>
  <si>
    <t>05038</t>
  </si>
  <si>
    <t>Norte</t>
  </si>
  <si>
    <t>Angostura</t>
  </si>
  <si>
    <t>Z11</t>
  </si>
  <si>
    <t>05086</t>
  </si>
  <si>
    <t>Belmira</t>
  </si>
  <si>
    <t>05107</t>
  </si>
  <si>
    <t>Briceño</t>
  </si>
  <si>
    <t>05134</t>
  </si>
  <si>
    <t>Campamento</t>
  </si>
  <si>
    <t>05150</t>
  </si>
  <si>
    <t>Carolina del Príncipe</t>
  </si>
  <si>
    <t>05237</t>
  </si>
  <si>
    <t>Donmatías</t>
  </si>
  <si>
    <t>05264</t>
  </si>
  <si>
    <t>Entrerríos</t>
  </si>
  <si>
    <t>05310</t>
  </si>
  <si>
    <t>Gómez Plata</t>
  </si>
  <si>
    <t>05315</t>
  </si>
  <si>
    <t>Guadalupe</t>
  </si>
  <si>
    <t>Z12</t>
  </si>
  <si>
    <t>05361</t>
  </si>
  <si>
    <t>Ituango</t>
  </si>
  <si>
    <t>05647</t>
  </si>
  <si>
    <t>San Andrés de Cuerquia</t>
  </si>
  <si>
    <t>05658</t>
  </si>
  <si>
    <t>San José de la Montaña</t>
  </si>
  <si>
    <t>05664</t>
  </si>
  <si>
    <t>San Pedro de los Milagros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</si>
  <si>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</si>
  <si>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</si>
  <si>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</si>
  <si>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</si>
  <si>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</si>
  <si>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</si>
  <si>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</si>
  <si>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</si>
  <si>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SR06</t>
  </si>
  <si>
    <t>Z13</t>
  </si>
  <si>
    <t>05004</t>
  </si>
  <si>
    <t>Occidente</t>
  </si>
  <si>
    <t>Abriaquí</t>
  </si>
  <si>
    <t>Z14</t>
  </si>
  <si>
    <t>05044</t>
  </si>
  <si>
    <t>Anzá</t>
  </si>
  <si>
    <t>05059</t>
  </si>
  <si>
    <t>Armenia</t>
  </si>
  <si>
    <t>05113</t>
  </si>
  <si>
    <t>Buriticá</t>
  </si>
  <si>
    <t>05125</t>
  </si>
  <si>
    <t>Caicedo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</si>
  <si>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</si>
  <si>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</si>
  <si>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</si>
  <si>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</si>
  <si>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</si>
  <si>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</si>
  <si>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</si>
  <si>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</si>
  <si>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</si>
  <si>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</si>
  <si>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</si>
  <si>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</si>
  <si>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</si>
  <si>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</si>
  <si>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</si>
  <si>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</si>
  <si>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</si>
  <si>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</si>
  <si>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</si>
  <si>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</si>
  <si>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</si>
  <si>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</si>
  <si>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</si>
  <si>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 Fe de Antioquia</t>
  </si>
  <si>
    <t>05761</t>
  </si>
  <si>
    <t>Sopetrán</t>
  </si>
  <si>
    <t>05842</t>
  </si>
  <si>
    <t>Uramita</t>
  </si>
  <si>
    <t>SR07</t>
  </si>
  <si>
    <t>Z15</t>
  </si>
  <si>
    <t>05002</t>
  </si>
  <si>
    <t>Oriente</t>
  </si>
  <si>
    <t>Abejorral</t>
  </si>
  <si>
    <t>Z16</t>
  </si>
  <si>
    <t>05021</t>
  </si>
  <si>
    <t>Alejandría</t>
  </si>
  <si>
    <t>05055</t>
  </si>
  <si>
    <t>Argelia</t>
  </si>
  <si>
    <t>Z17</t>
  </si>
  <si>
    <t>05197</t>
  </si>
  <si>
    <t>Cocorná</t>
  </si>
  <si>
    <t>05206</t>
  </si>
  <si>
    <t>Concepción</t>
  </si>
  <si>
    <t>Z18</t>
  </si>
  <si>
    <t>05148</t>
  </si>
  <si>
    <t>El Carmen de Viboral</t>
  </si>
  <si>
    <t>05541</t>
  </si>
  <si>
    <t>El Peñol</t>
  </si>
  <si>
    <t>05607</t>
  </si>
  <si>
    <t>El Retiro</t>
  </si>
  <si>
    <t>05697</t>
  </si>
  <si>
    <t>El Santuario</t>
  </si>
  <si>
    <t>05313</t>
  </si>
  <si>
    <t>Granada</t>
  </si>
  <si>
    <t>05318</t>
  </si>
  <si>
    <t>Guarne</t>
  </si>
  <si>
    <t>05321</t>
  </si>
  <si>
    <t>Guatapé</t>
  </si>
  <si>
    <t>05376</t>
  </si>
  <si>
    <t>La Ceja del Tambo</t>
  </si>
  <si>
    <t>05400</t>
  </si>
  <si>
    <t>La Unión</t>
  </si>
  <si>
    <t>05440</t>
  </si>
  <si>
    <t>Marinilla</t>
  </si>
  <si>
    <t>05483</t>
  </si>
  <si>
    <t>Nariño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</si>
  <si>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</si>
  <si>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</si>
  <si>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</si>
  <si>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</si>
  <si>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</si>
  <si>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</si>
  <si>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</si>
  <si>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</si>
  <si>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</si>
  <si>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</si>
  <si>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</si>
  <si>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 Ferrer</t>
  </si>
  <si>
    <t>05756</t>
  </si>
  <si>
    <t>Sonsón</t>
  </si>
  <si>
    <t>SR08</t>
  </si>
  <si>
    <t>Z19</t>
  </si>
  <si>
    <t>05030</t>
  </si>
  <si>
    <t>Suroeste</t>
  </si>
  <si>
    <t>Amagá</t>
  </si>
  <si>
    <t>Z20</t>
  </si>
  <si>
    <t>05034</t>
  </si>
  <si>
    <t>Andes</t>
  </si>
  <si>
    <t>05036</t>
  </si>
  <si>
    <t>Angelópolis</t>
  </si>
  <si>
    <t>05091</t>
  </si>
  <si>
    <t>Betania</t>
  </si>
  <si>
    <t>Z21</t>
  </si>
  <si>
    <t>05093</t>
  </si>
  <si>
    <t>Betulia</t>
  </si>
  <si>
    <t>Z22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</si>
  <si>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</si>
  <si>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</si>
  <si>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</si>
  <si>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</si>
  <si>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</si>
  <si>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</si>
  <si>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</si>
  <si>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</si>
  <si>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</si>
  <si>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</si>
  <si>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</si>
  <si>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</si>
  <si>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</si>
  <si>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</si>
  <si>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</si>
  <si>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</si>
  <si>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</si>
  <si>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</si>
  <si>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</si>
  <si>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</si>
  <si>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</si>
  <si>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</si>
  <si>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</si>
  <si>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Bárbara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</si>
  <si>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</si>
  <si>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</si>
  <si>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</si>
  <si>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</si>
  <si>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</si>
  <si>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</si>
  <si>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</si>
  <si>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</si>
  <si>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</si>
  <si>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Valparaíso</t>
  </si>
  <si>
    <t>05861</t>
  </si>
  <si>
    <t>Venecia</t>
  </si>
  <si>
    <t>SR09</t>
  </si>
  <si>
    <t>Z23</t>
  </si>
  <si>
    <t>05045</t>
  </si>
  <si>
    <t>Urabá</t>
  </si>
  <si>
    <t>Apartadó</t>
  </si>
  <si>
    <t>Z24</t>
  </si>
  <si>
    <t>05051</t>
  </si>
  <si>
    <t>Arboletes</t>
  </si>
  <si>
    <t>05147</t>
  </si>
  <si>
    <t>Carepa</t>
  </si>
  <si>
    <t>05172</t>
  </si>
  <si>
    <t>Chigorodó</t>
  </si>
  <si>
    <t>Z25</t>
  </si>
  <si>
    <t>05475</t>
  </si>
  <si>
    <t>Murindó</t>
  </si>
  <si>
    <t>05480</t>
  </si>
  <si>
    <t>Mutatá</t>
  </si>
  <si>
    <t>05490</t>
  </si>
  <si>
    <t>Necoclí</t>
  </si>
  <si>
    <t>05659</t>
  </si>
  <si>
    <t>San Juan de Urabá</t>
  </si>
  <si>
    <t>05665</t>
  </si>
  <si>
    <t>San Pedro de Urabá</t>
  </si>
  <si>
    <t>05837</t>
  </si>
  <si>
    <t>Turbo</t>
  </si>
  <si>
    <t>05873</t>
  </si>
  <si>
    <t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</si>
</sst>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vertAlign val="superscript"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textRotation="90" wrapText="1"/>
    </xf>
    <xf numFmtId="1" fontId="7" fillId="3" borderId="2" xfId="0" applyNumberFormat="1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4" fontId="7" fillId="5" borderId="5" xfId="0" applyNumberFormat="1" applyFont="1" applyFill="1" applyBorder="1"/>
    <xf numFmtId="4" fontId="7" fillId="5" borderId="6" xfId="0" applyNumberFormat="1" applyFont="1" applyFill="1" applyBorder="1"/>
    <xf numFmtId="0" fontId="9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4" fontId="9" fillId="0" borderId="8" xfId="0" applyNumberFormat="1" applyFont="1" applyBorder="1"/>
    <xf numFmtId="4" fontId="7" fillId="5" borderId="8" xfId="0" applyNumberFormat="1" applyFont="1" applyFill="1" applyBorder="1"/>
    <xf numFmtId="4" fontId="7" fillId="5" borderId="9" xfId="0" applyNumberFormat="1" applyFont="1" applyFill="1" applyBorder="1"/>
    <xf numFmtId="164" fontId="0" fillId="0" borderId="0" xfId="0" applyNumberFormat="1"/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4" fontId="9" fillId="0" borderId="11" xfId="0" applyNumberFormat="1" applyFont="1" applyBorder="1"/>
    <xf numFmtId="4" fontId="7" fillId="5" borderId="11" xfId="0" applyNumberFormat="1" applyFont="1" applyFill="1" applyBorder="1"/>
    <xf numFmtId="4" fontId="7" fillId="5" borderId="12" xfId="0" applyNumberFormat="1" applyFont="1" applyFill="1" applyBorder="1"/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4" xfId="0" quotePrefix="1" applyFont="1" applyBorder="1" applyAlignment="1">
      <alignment horizontal="center" vertical="center" wrapText="1"/>
    </xf>
    <xf numFmtId="4" fontId="9" fillId="0" borderId="14" xfId="0" applyNumberFormat="1" applyFont="1" applyBorder="1"/>
    <xf numFmtId="4" fontId="7" fillId="5" borderId="14" xfId="0" applyNumberFormat="1" applyFont="1" applyFill="1" applyBorder="1"/>
    <xf numFmtId="4" fontId="10" fillId="0" borderId="14" xfId="1" applyNumberFormat="1" applyFont="1" applyFill="1" applyBorder="1" applyAlignment="1" applyProtection="1">
      <alignment horizontal="left"/>
    </xf>
    <xf numFmtId="4" fontId="7" fillId="5" borderId="15" xfId="0" applyNumberFormat="1" applyFont="1" applyFill="1" applyBorder="1"/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4" fontId="7" fillId="6" borderId="5" xfId="0" applyNumberFormat="1" applyFont="1" applyFill="1" applyBorder="1"/>
    <xf numFmtId="4" fontId="7" fillId="6" borderId="6" xfId="0" applyNumberFormat="1" applyFont="1" applyFill="1" applyBorder="1"/>
    <xf numFmtId="0" fontId="7" fillId="6" borderId="4" xfId="0" applyFont="1" applyFill="1" applyBorder="1"/>
    <xf numFmtId="0" fontId="7" fillId="6" borderId="5" xfId="0" applyFont="1" applyFill="1" applyBorder="1"/>
    <xf numFmtId="164" fontId="7" fillId="6" borderId="5" xfId="1" applyFont="1" applyFill="1" applyBorder="1"/>
    <xf numFmtId="164" fontId="7" fillId="6" borderId="6" xfId="1" applyFont="1" applyFill="1" applyBorder="1"/>
    <xf numFmtId="0" fontId="9" fillId="0" borderId="7" xfId="0" applyFont="1" applyBorder="1"/>
    <xf numFmtId="0" fontId="9" fillId="0" borderId="8" xfId="0" applyFont="1" applyBorder="1"/>
    <xf numFmtId="164" fontId="9" fillId="0" borderId="8" xfId="1" applyFont="1" applyBorder="1"/>
    <xf numFmtId="164" fontId="7" fillId="5" borderId="8" xfId="1" applyFont="1" applyFill="1" applyBorder="1"/>
    <xf numFmtId="164" fontId="7" fillId="5" borderId="9" xfId="1" applyFont="1" applyFill="1" applyBorder="1"/>
    <xf numFmtId="0" fontId="9" fillId="0" borderId="10" xfId="0" applyFont="1" applyBorder="1"/>
    <xf numFmtId="0" fontId="9" fillId="0" borderId="11" xfId="0" applyFont="1" applyBorder="1"/>
    <xf numFmtId="164" fontId="9" fillId="0" borderId="11" xfId="1" applyFont="1" applyBorder="1"/>
    <xf numFmtId="164" fontId="7" fillId="5" borderId="11" xfId="1" applyFont="1" applyFill="1" applyBorder="1"/>
    <xf numFmtId="164" fontId="7" fillId="5" borderId="12" xfId="1" applyFont="1" applyFill="1" applyBorder="1"/>
    <xf numFmtId="0" fontId="9" fillId="0" borderId="13" xfId="0" applyFont="1" applyBorder="1"/>
    <xf numFmtId="0" fontId="9" fillId="0" borderId="14" xfId="0" applyFont="1" applyBorder="1"/>
    <xf numFmtId="164" fontId="9" fillId="0" borderId="14" xfId="1" applyFont="1" applyBorder="1"/>
    <xf numFmtId="164" fontId="7" fillId="5" borderId="14" xfId="1" applyFont="1" applyFill="1" applyBorder="1"/>
    <xf numFmtId="164" fontId="7" fillId="5" borderId="15" xfId="1" applyFont="1" applyFill="1" applyBorder="1"/>
    <xf numFmtId="0" fontId="9" fillId="0" borderId="16" xfId="0" applyFont="1" applyBorder="1"/>
    <xf numFmtId="0" fontId="9" fillId="0" borderId="17" xfId="0" applyFont="1" applyBorder="1"/>
    <xf numFmtId="164" fontId="9" fillId="0" borderId="17" xfId="1" applyFont="1" applyBorder="1"/>
    <xf numFmtId="164" fontId="7" fillId="5" borderId="17" xfId="1" applyFont="1" applyFill="1" applyBorder="1"/>
    <xf numFmtId="164" fontId="7" fillId="5" borderId="18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123265</xdr:colOff>
      <xdr:row>0</xdr:row>
      <xdr:rowOff>134471</xdr:rowOff>
    </xdr:from>
    <xdr:to>
      <xdr:col>25</xdr:col>
      <xdr:colOff>1069580</xdr:colOff>
      <xdr:row>1</xdr:row>
      <xdr:rowOff>384056</xdr:rowOff>
    </xdr:to>
    <xdr:sp macro="" textlink="">
      <xdr:nvSpPr>
        <xdr:cNvPr id="2" name="Elips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D0F4DE-E724-4447-AF29-EF572D6793F2}"/>
            </a:ext>
          </a:extLst>
        </xdr:cNvPr>
        <xdr:cNvSpPr/>
      </xdr:nvSpPr>
      <xdr:spPr>
        <a:xfrm>
          <a:off x="23526190" y="134471"/>
          <a:ext cx="946315" cy="487710"/>
        </a:xfrm>
        <a:prstGeom prst="ellipse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 b="1"/>
            <a:t>ÍNDICE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A%20Provincias/Proyecto%20datos%20y%20tablas/01_Data/00_Inputs/PIB-VA_Mpal_2015-2024pr_Publ_05-06-2026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PIB-MPAL CORRRIENTES ANUAL"/>
      <sheetName val="PIB-MPAL CONSTANTES ANUAL"/>
      <sheetName val="SUBREGIONAL CORRRIENTES ANUAL"/>
      <sheetName val="Ficha Provincias"/>
      <sheetName val="Ficha Municipal (2)"/>
      <sheetName val="Ficha Municipal"/>
      <sheetName val="PIB-Mpal 2015-2024 Corrient"/>
      <sheetName val="PIB Mpal 2015-2024 Cons"/>
      <sheetName val="Ficha Subregional"/>
      <sheetName val="PIB_DEPTAL_DANE"/>
      <sheetName val="POBLACION"/>
      <sheetName val="Esquemas_N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H1" t="str">
            <v>EAT Provincias</v>
          </cell>
          <cell r="I1" t="str">
            <v>EAT Region</v>
          </cell>
          <cell r="J1" t="str">
            <v>EAT Área Metropolitana</v>
          </cell>
          <cell r="K1" t="str">
            <v>EAT Asociación - Unión</v>
          </cell>
        </row>
        <row r="2">
          <cell r="A2" t="str">
            <v>05001</v>
          </cell>
          <cell r="B2" t="str">
            <v>Valle de Aburrá</v>
          </cell>
          <cell r="C2" t="str">
            <v>Área Metropolitana del Valle de Aburrá</v>
          </cell>
          <cell r="D2" t="str">
            <v>Distrito Especial de Ciencia, Tecnología e Innovación de Medellín</v>
          </cell>
          <cell r="E2" t="str">
            <v>ESP</v>
          </cell>
          <cell r="F2" t="str">
            <v>C</v>
          </cell>
          <cell r="G2" t="str">
            <v>si</v>
          </cell>
          <cell r="H2" t="str">
            <v>A la fecha no ha conformado un EAT Provincia</v>
          </cell>
          <cell r="I2" t="str">
            <v>A la fecha no ha conformado un EAT Región</v>
          </cell>
          <cell r="J2" t="str">
            <v>Área Metropolitana del Valle de Aburrá</v>
          </cell>
          <cell r="K2" t="str">
            <v>A la fecha no ha conformado un EAT asociación - unión</v>
          </cell>
        </row>
        <row r="3">
          <cell r="A3" t="str">
            <v>05079</v>
          </cell>
          <cell r="B3" t="str">
            <v>Valle de Aburrá</v>
          </cell>
          <cell r="C3" t="str">
            <v>Área Metropolitana del Valle de Aburrá</v>
          </cell>
          <cell r="D3" t="str">
            <v>Barbosa</v>
          </cell>
          <cell r="E3">
            <v>5</v>
          </cell>
          <cell r="F3" t="str">
            <v>G1</v>
          </cell>
          <cell r="G3">
            <v>0</v>
          </cell>
          <cell r="H3" t="str">
            <v>A la fecha no ha conformado un EAT Provincia</v>
          </cell>
          <cell r="I3" t="str">
            <v>A la fecha no ha conformado un EAT Región</v>
          </cell>
          <cell r="J3" t="str">
            <v>Área Metropolitana del Valle de Aburrá</v>
          </cell>
          <cell r="K3" t="str">
            <v>A la fecha no ha conformado un EAT asociación - unión</v>
          </cell>
        </row>
        <row r="4">
          <cell r="A4" t="str">
            <v>05088</v>
          </cell>
          <cell r="B4" t="str">
            <v>Valle de Aburrá</v>
          </cell>
          <cell r="C4" t="str">
            <v>Área Metropolitana del Valle de Aburrá</v>
          </cell>
          <cell r="D4" t="str">
            <v>Bello</v>
          </cell>
          <cell r="E4">
            <v>1</v>
          </cell>
          <cell r="F4" t="str">
            <v>G1</v>
          </cell>
          <cell r="G4">
            <v>0</v>
          </cell>
          <cell r="H4" t="str">
            <v>A la fecha no ha conformado un EAT Provincia</v>
          </cell>
          <cell r="I4" t="str">
            <v>A la fecha no ha conformado un EAT Región</v>
          </cell>
          <cell r="J4" t="str">
            <v>Área Metropolitana del Valle de Aburrá</v>
          </cell>
          <cell r="K4" t="str">
            <v>A la fecha no ha conformado un EAT asociación - unión</v>
          </cell>
        </row>
        <row r="5">
          <cell r="A5" t="str">
            <v>05129</v>
          </cell>
          <cell r="B5" t="str">
            <v>Valle de Aburrá</v>
          </cell>
          <cell r="C5" t="str">
            <v>Área Metropolitana del Valle de Aburrá</v>
          </cell>
          <cell r="D5" t="str">
            <v>Caldas</v>
          </cell>
          <cell r="E5">
            <v>3</v>
          </cell>
          <cell r="F5" t="str">
            <v>G1</v>
          </cell>
          <cell r="G5">
            <v>0</v>
          </cell>
          <cell r="H5" t="str">
            <v>A la fecha no ha conformado un EAT Provincia</v>
          </cell>
          <cell r="I5" t="str">
            <v>A la fecha no ha conformado un EAT Región</v>
          </cell>
          <cell r="J5" t="str">
            <v>Área Metropolitana del Valle de Aburrá</v>
          </cell>
          <cell r="K5" t="str">
            <v>A la fecha no ha conformado un EAT asociación - unión</v>
          </cell>
        </row>
        <row r="6">
          <cell r="A6" t="str">
            <v>05212</v>
          </cell>
          <cell r="B6" t="str">
            <v>Valle de Aburrá</v>
          </cell>
          <cell r="C6" t="str">
            <v>Área Metropolitana del Valle de Aburrá</v>
          </cell>
          <cell r="D6" t="str">
            <v>Copacabana</v>
          </cell>
          <cell r="E6">
            <v>3</v>
          </cell>
          <cell r="F6" t="str">
            <v>G1</v>
          </cell>
          <cell r="G6">
            <v>0</v>
          </cell>
          <cell r="H6" t="str">
            <v>A la fecha no ha conformado un EAT Provincia</v>
          </cell>
          <cell r="I6" t="str">
            <v>A la fecha no ha conformado un EAT Región</v>
          </cell>
          <cell r="J6" t="str">
            <v>Área Metropolitana del Valle de Aburrá</v>
          </cell>
          <cell r="K6" t="str">
            <v>A la fecha no ha conformado un EAT asociación - unión</v>
          </cell>
        </row>
        <row r="7">
          <cell r="A7" t="str">
            <v>05266</v>
          </cell>
          <cell r="B7" t="str">
            <v>Valle de Aburrá</v>
          </cell>
          <cell r="C7" t="str">
            <v>Área Metropolitana del Valle de Aburrá</v>
          </cell>
          <cell r="D7" t="str">
            <v>Envigado</v>
          </cell>
          <cell r="E7">
            <v>1</v>
          </cell>
          <cell r="F7" t="str">
            <v>G1</v>
          </cell>
          <cell r="G7">
            <v>0</v>
          </cell>
          <cell r="H7" t="str">
            <v>A la fecha no ha conformado un EAT Provincia</v>
          </cell>
          <cell r="I7" t="str">
            <v>A la fecha no ha conformado un EAT Región</v>
          </cell>
          <cell r="J7" t="str">
            <v>Área Metropolitana del Valle de Aburrá</v>
          </cell>
          <cell r="K7" t="str">
            <v>A la fecha no ha conformado un EAT asociación - unión</v>
          </cell>
        </row>
        <row r="8">
          <cell r="A8" t="str">
            <v>05308</v>
          </cell>
          <cell r="B8" t="str">
            <v>Valle de Aburrá</v>
          </cell>
          <cell r="C8" t="str">
            <v>Área Metropolitana del Valle de Aburrá</v>
          </cell>
          <cell r="D8" t="str">
            <v>Girardota</v>
          </cell>
          <cell r="E8">
            <v>3</v>
          </cell>
          <cell r="F8" t="str">
            <v>G1</v>
          </cell>
          <cell r="G8">
            <v>0</v>
          </cell>
          <cell r="H8" t="str">
            <v>A la fecha no ha conformado un EAT Provincia</v>
          </cell>
          <cell r="I8" t="str">
            <v>A la fecha no ha conformado un EAT Región</v>
          </cell>
          <cell r="J8" t="str">
            <v>Área Metropolitana del Valle de Aburrá</v>
          </cell>
          <cell r="K8" t="str">
            <v>A la fecha no ha conformado un EAT asociación - unión</v>
          </cell>
        </row>
        <row r="9">
          <cell r="A9" t="str">
            <v>05360</v>
          </cell>
          <cell r="B9" t="str">
            <v>Valle de Aburrá</v>
          </cell>
          <cell r="C9" t="str">
            <v>Área Metropolitana del Valle de Aburrá</v>
          </cell>
          <cell r="D9" t="str">
            <v>Itagüí</v>
          </cell>
          <cell r="E9">
            <v>1</v>
          </cell>
          <cell r="F9" t="str">
            <v>G1</v>
          </cell>
          <cell r="G9">
            <v>0</v>
          </cell>
          <cell r="H9" t="str">
            <v>A la fecha no ha conformado un EAT Provincia</v>
          </cell>
          <cell r="I9" t="str">
            <v>A la fecha no ha conformado un EAT Región</v>
          </cell>
          <cell r="J9" t="str">
            <v>Área Metropolitana del Valle de Aburrá</v>
          </cell>
          <cell r="K9" t="str">
            <v>A la fecha no ha conformado un EAT asociación - unión</v>
          </cell>
        </row>
        <row r="10">
          <cell r="A10" t="str">
            <v>05380</v>
          </cell>
          <cell r="B10" t="str">
            <v>Valle de Aburrá</v>
          </cell>
          <cell r="C10" t="str">
            <v>Área Metropolitana del Valle de Aburrá</v>
          </cell>
          <cell r="D10" t="str">
            <v>La Estrella</v>
          </cell>
          <cell r="E10">
            <v>2</v>
          </cell>
          <cell r="F10" t="str">
            <v>G1</v>
          </cell>
          <cell r="G10">
            <v>0</v>
          </cell>
          <cell r="H10" t="str">
            <v>A la fecha no ha conformado un EAT Provincia</v>
          </cell>
          <cell r="I10" t="str">
            <v>A la fecha no ha conformado un EAT Región</v>
          </cell>
          <cell r="J10" t="str">
            <v>Área Metropolitana del Valle de Aburrá</v>
          </cell>
          <cell r="K10" t="str">
            <v>A la fecha no ha conformado un EAT asociación - unión</v>
          </cell>
        </row>
        <row r="11">
          <cell r="A11" t="str">
            <v>05631</v>
          </cell>
          <cell r="B11" t="str">
            <v>Valle de Aburrá</v>
          </cell>
          <cell r="C11" t="str">
            <v>Área Metropolitana del Valle de Aburrá</v>
          </cell>
          <cell r="D11" t="str">
            <v>Sabaneta</v>
          </cell>
          <cell r="E11">
            <v>1</v>
          </cell>
          <cell r="F11" t="str">
            <v>G1</v>
          </cell>
          <cell r="G11">
            <v>0</v>
          </cell>
          <cell r="H11" t="str">
            <v>A la fecha no ha conformado un EAT Provincia</v>
          </cell>
          <cell r="I11" t="str">
            <v>A la fecha no ha conformado un EAT Región</v>
          </cell>
          <cell r="J11" t="str">
            <v>Área Metropolitana del Valle de Aburrá</v>
          </cell>
          <cell r="K11" t="str">
            <v>A la fecha no ha conformado un EAT asociación - unión</v>
          </cell>
        </row>
        <row r="12">
          <cell r="A12" t="str">
            <v>05120</v>
          </cell>
          <cell r="B12" t="str">
            <v>Bajo Cauca</v>
          </cell>
          <cell r="C12" t="str">
            <v>Región de Planeación y Gestión del Bajo Cauca - RPG</v>
          </cell>
          <cell r="D12" t="str">
            <v>Cáceres</v>
          </cell>
          <cell r="E12">
            <v>6</v>
          </cell>
          <cell r="F12" t="str">
            <v>G4</v>
          </cell>
          <cell r="G12">
            <v>0</v>
          </cell>
          <cell r="H12" t="str">
            <v>A la fecha no ha conformado un EAT Provincia</v>
          </cell>
          <cell r="I12" t="str">
            <v>Región de Planeación y Gestión del Bajo Cauca</v>
          </cell>
          <cell r="J12" t="str">
            <v>A la fecha no ha conformado un EAT Área Metropolitana</v>
          </cell>
          <cell r="K12" t="str">
            <v>A la fecha no ha conformado un EAT asociación - unión</v>
          </cell>
        </row>
        <row r="13">
          <cell r="A13" t="str">
            <v>05154</v>
          </cell>
          <cell r="B13" t="str">
            <v>Bajo Cauca</v>
          </cell>
          <cell r="C13" t="str">
            <v>Región de Planeación y Gestión del Bajo Cauca - RPG</v>
          </cell>
          <cell r="D13" t="str">
            <v>Caucasia</v>
          </cell>
          <cell r="E13">
            <v>5</v>
          </cell>
          <cell r="F13" t="str">
            <v>G1</v>
          </cell>
          <cell r="G13">
            <v>0</v>
          </cell>
          <cell r="H13" t="str">
            <v>A la fecha no ha conformado un EAT Provincia</v>
          </cell>
          <cell r="I13" t="str">
            <v>Región de Planeación y Gestión del Bajo Cauca</v>
          </cell>
          <cell r="J13" t="str">
            <v>A la fecha no ha conformado un EAT Área Metropolitana</v>
          </cell>
          <cell r="K13" t="str">
            <v>A la fecha no ha conformado un EAT asociación - unión</v>
          </cell>
        </row>
        <row r="14">
          <cell r="A14" t="str">
            <v>05250</v>
          </cell>
          <cell r="B14" t="str">
            <v>Bajo Cauca</v>
          </cell>
          <cell r="C14" t="str">
            <v>Región de Planeación y Gestión del Bajo Cauca - RPG</v>
          </cell>
          <cell r="D14" t="str">
            <v>El Bagre</v>
          </cell>
          <cell r="E14">
            <v>6</v>
          </cell>
          <cell r="F14" t="str">
            <v>G2</v>
          </cell>
          <cell r="G14">
            <v>0</v>
          </cell>
          <cell r="H14" t="str">
            <v>A la fecha no ha conformado un EAT Provincia</v>
          </cell>
          <cell r="I14" t="str">
            <v>Región de Planeación y Gestión del Bajo Cauca</v>
          </cell>
          <cell r="J14" t="str">
            <v>A la fecha no ha conformado un EAT Área Metropolitana</v>
          </cell>
          <cell r="K14" t="str">
            <v>A la fecha no ha conformado un EAT asociación - unión</v>
          </cell>
        </row>
        <row r="15">
          <cell r="A15" t="str">
            <v>05495</v>
          </cell>
          <cell r="B15" t="str">
            <v>Bajo Cauca</v>
          </cell>
          <cell r="C15" t="str">
            <v>Región de Planeación y Gestión del Bajo Cauca - RPG</v>
          </cell>
          <cell r="D15" t="str">
            <v>Nechí</v>
          </cell>
          <cell r="E15">
            <v>6</v>
          </cell>
          <cell r="F15" t="str">
            <v>G4</v>
          </cell>
          <cell r="G15">
            <v>0</v>
          </cell>
          <cell r="H15" t="str">
            <v>A la fecha no ha conformado un EAT Provincia</v>
          </cell>
          <cell r="I15" t="str">
            <v>Región de Planeación y Gestión del Bajo Cauca</v>
          </cell>
          <cell r="J15" t="str">
            <v>A la fecha no ha conformado un EAT Área Metropolitana</v>
          </cell>
          <cell r="K15" t="str">
            <v>A la fecha no ha conformado un EAT asociación - unión</v>
          </cell>
        </row>
        <row r="16">
          <cell r="A16" t="str">
            <v>05790</v>
          </cell>
          <cell r="B16" t="str">
            <v>Bajo Cauca</v>
          </cell>
          <cell r="C16" t="str">
            <v>Región de Planeación y Gestión del Bajo Cauca - RPG</v>
          </cell>
          <cell r="D16" t="str">
            <v>Tarazá</v>
          </cell>
          <cell r="E16">
            <v>6</v>
          </cell>
          <cell r="F16" t="str">
            <v>G4</v>
          </cell>
          <cell r="G16">
            <v>0</v>
          </cell>
          <cell r="H16" t="str">
            <v>A la fecha no ha conformado un EAT Provincia</v>
          </cell>
          <cell r="I16" t="str">
            <v>Región de Planeación y Gestión del Bajo Cauca</v>
          </cell>
          <cell r="J16" t="str">
            <v>A la fecha no ha conformado un EAT Área Metropolitana</v>
          </cell>
          <cell r="K16" t="str">
            <v>A la fecha no ha conformado un EAT asociación - unión</v>
          </cell>
        </row>
        <row r="17">
          <cell r="A17" t="str">
            <v>05895</v>
          </cell>
          <cell r="B17" t="str">
            <v>Bajo Cauca</v>
          </cell>
          <cell r="C17" t="str">
            <v>Región de Planeación y Gestión del Bajo Cauca - RPG</v>
          </cell>
          <cell r="D17" t="str">
            <v>Zaragoza</v>
          </cell>
          <cell r="E17">
            <v>6</v>
          </cell>
          <cell r="F17" t="str">
            <v>G1</v>
          </cell>
          <cell r="G17">
            <v>0</v>
          </cell>
          <cell r="H17" t="str">
            <v>A la fecha no ha conformado un EAT Provincia</v>
          </cell>
          <cell r="I17" t="str">
            <v>Región de Planeación y Gestión del Bajo Cauca</v>
          </cell>
          <cell r="J17" t="str">
            <v>A la fecha no ha conformado un EAT Área Metropolitana</v>
          </cell>
          <cell r="K17" t="str">
            <v>A la fecha no ha conformado un EAT asociación - unión</v>
          </cell>
        </row>
        <row r="18">
          <cell r="A18" t="str">
            <v>05142</v>
          </cell>
          <cell r="B18" t="str">
            <v>Magdalena Medio</v>
          </cell>
          <cell r="C18" t="str">
            <v>ASOCIACIÓN DE MUNICIPIOS DEL MAGDALENA MEDIO ANTIOQUEÑO - AMMA</v>
          </cell>
          <cell r="D18" t="str">
            <v>Caracolí</v>
          </cell>
          <cell r="E18">
            <v>6</v>
          </cell>
          <cell r="F18" t="str">
            <v>G3</v>
          </cell>
          <cell r="G18">
            <v>0</v>
          </cell>
          <cell r="H18" t="str">
            <v>A la fecha no ha conformado un EAT Provincia</v>
          </cell>
          <cell r="I18" t="str">
            <v>A la fecha no ha conformado un EAT Región</v>
          </cell>
          <cell r="J18" t="str">
            <v>A la fecha no ha conformado un EAT Área Metropolitana</v>
          </cell>
          <cell r="K18" t="str">
            <v>ASOCIACIÓN DE MUNICIPIOS DEL MAGDALENA MEDIO ANTIOQUEÑO - AMMA</v>
          </cell>
        </row>
        <row r="19">
          <cell r="A19" t="str">
            <v>05425</v>
          </cell>
          <cell r="B19" t="str">
            <v>Magdalena Medio</v>
          </cell>
          <cell r="C19" t="str">
            <v>ASOCIACIÓN DE MUNICIPIOS DEL MAGDALENA MEDIO ANTIOQUEÑO - AMMA</v>
          </cell>
          <cell r="D19" t="str">
            <v>Maceo</v>
          </cell>
          <cell r="E19">
            <v>6</v>
          </cell>
          <cell r="F19" t="str">
            <v>G2</v>
          </cell>
          <cell r="G19">
            <v>0</v>
          </cell>
          <cell r="H19" t="str">
            <v>A la fecha no ha conformado un EAT Provincia</v>
          </cell>
          <cell r="I19" t="str">
            <v>A la fecha no ha conformado un EAT Región</v>
          </cell>
          <cell r="J19" t="str">
            <v>A la fecha no ha conformado un EAT Área Metropolitana</v>
          </cell>
          <cell r="K19" t="str">
            <v>ASOCIACIÓN DE MUNICIPIOS DEL MAGDALENA MEDIO ANTIOQUEÑO - AMMA</v>
          </cell>
        </row>
        <row r="20">
          <cell r="A20" t="str">
            <v>05579</v>
          </cell>
          <cell r="B20" t="str">
            <v>Magdalena Medio</v>
          </cell>
          <cell r="C20" t="str">
            <v>ASOCIACIÓN DE MUNICIPIOS DEL MAGDALENA MEDIO ANTIOQUEÑO - AMMA</v>
          </cell>
          <cell r="D20" t="str">
            <v>Puerto Berrío</v>
          </cell>
          <cell r="E20">
            <v>6</v>
          </cell>
          <cell r="F20" t="str">
            <v>G1</v>
          </cell>
          <cell r="G20">
            <v>0</v>
          </cell>
          <cell r="H20" t="str">
            <v>A la fecha no ha conformado un EAT Provincia</v>
          </cell>
          <cell r="I20" t="str">
            <v>A la fecha no ha conformado un EAT Región</v>
          </cell>
          <cell r="J20" t="str">
            <v>A la fecha no ha conformado un EAT Área Metropolitana</v>
          </cell>
          <cell r="K20" t="str">
            <v>ASOCIACIÓN DE MUNICIPIOS DEL MAGDALENA MEDIO ANTIOQUEÑO - AMMA</v>
          </cell>
        </row>
        <row r="21">
          <cell r="A21" t="str">
            <v>05585</v>
          </cell>
          <cell r="B21" t="str">
            <v>Magdalena Medio</v>
          </cell>
          <cell r="C21" t="str">
            <v>ASOCIACIÓN DE MUNICIPIOS DEL MAGDALENA MEDIO ANTIOQUEÑO - AMMA</v>
          </cell>
          <cell r="D21" t="str">
            <v>Puerto Nare</v>
          </cell>
          <cell r="E21">
            <v>6</v>
          </cell>
          <cell r="F21" t="str">
            <v>G1</v>
          </cell>
          <cell r="G21">
            <v>0</v>
          </cell>
          <cell r="H21" t="str">
            <v>A la fecha no ha conformado un EAT Provincia</v>
          </cell>
          <cell r="I21" t="str">
            <v>A la fecha no ha conformado un EAT Región</v>
          </cell>
          <cell r="J21" t="str">
            <v>A la fecha no ha conformado un EAT Área Metropolitana</v>
          </cell>
          <cell r="K21" t="str">
            <v>ASOCIACIÓN DE MUNICIPIOS DEL MAGDALENA MEDIO ANTIOQUEÑO - AMMA</v>
          </cell>
        </row>
        <row r="22">
          <cell r="A22" t="str">
            <v>05591</v>
          </cell>
          <cell r="B22" t="str">
            <v>Magdalena Medio</v>
          </cell>
          <cell r="C22" t="str">
            <v>ASOCIACIÓN DE MUNICIPIOS DEL MAGDALENA MEDIO ANTIOQUEÑO - AMMA</v>
          </cell>
          <cell r="D22" t="str">
            <v>Puerto Triunfo</v>
          </cell>
          <cell r="E22">
            <v>6</v>
          </cell>
          <cell r="F22" t="str">
            <v>G3</v>
          </cell>
          <cell r="G22">
            <v>0</v>
          </cell>
          <cell r="H22" t="str">
            <v>A la fecha no ha conformado un EAT Provincia</v>
          </cell>
          <cell r="I22" t="str">
            <v>A la fecha no ha conformado un EAT Región</v>
          </cell>
          <cell r="J22" t="str">
            <v>A la fecha no ha conformado un EAT Área Metropolitana</v>
          </cell>
          <cell r="K22" t="str">
            <v>ASOCIACIÓN DE MUNICIPIOS DEL MAGDALENA MEDIO ANTIOQUEÑO - AMMA</v>
          </cell>
        </row>
        <row r="23">
          <cell r="A23" t="str">
            <v>05893</v>
          </cell>
          <cell r="B23" t="str">
            <v>Magdalena Medio</v>
          </cell>
          <cell r="C23" t="str">
            <v>ASOCIACIÓN DE MUNICIPIOS DEL MAGDALENA MEDIO ANTIOQUEÑO - AMMA</v>
          </cell>
          <cell r="D23" t="str">
            <v>Yondó</v>
          </cell>
          <cell r="E23">
            <v>5</v>
          </cell>
          <cell r="F23" t="str">
            <v>G1</v>
          </cell>
          <cell r="G23">
            <v>0</v>
          </cell>
          <cell r="H23" t="str">
            <v>A la fecha no ha conformado un EAT Provincia</v>
          </cell>
          <cell r="I23" t="str">
            <v>A la fecha no ha conformado un EAT Región</v>
          </cell>
          <cell r="J23" t="str">
            <v>A la fecha no ha conformado un EAT Área Metropolitana</v>
          </cell>
          <cell r="K23" t="str">
            <v>ASOCIACIÓN DE MUNICIPIOS DEL MAGDALENA MEDIO ANTIOQUEÑO - AMMA</v>
          </cell>
        </row>
        <row r="24">
          <cell r="A24" t="str">
            <v>05031</v>
          </cell>
          <cell r="B24" t="str">
            <v>Nordeste</v>
          </cell>
          <cell r="C24" t="str">
            <v>A la fecha no ha conformado un Esquema Asociativo Territorial</v>
          </cell>
          <cell r="D24" t="str">
            <v>Amalfi</v>
          </cell>
          <cell r="E24">
            <v>6</v>
          </cell>
          <cell r="F24" t="str">
            <v>G2</v>
          </cell>
          <cell r="G24">
            <v>0</v>
          </cell>
          <cell r="H24" t="str">
            <v>PROVINCIA ADMINISTRATIVA Y DE PLANIFICACION MINERO AGROECOLOGICA</v>
          </cell>
          <cell r="I24" t="str">
            <v>A la fecha no ha conformado un EAT Región</v>
          </cell>
          <cell r="J24" t="str">
            <v>A la fecha no ha conformado un EAT Área Metropolitana</v>
          </cell>
          <cell r="K24" t="str">
            <v>A la fecha no ha conformado un EAT asociación - unión</v>
          </cell>
        </row>
        <row r="25">
          <cell r="A25" t="str">
            <v>05040</v>
          </cell>
          <cell r="B25" t="str">
            <v>Nordeste</v>
          </cell>
          <cell r="C25" t="str">
            <v>PROVINCIA ADMINISTRATIVA Y DE PLANIFICACIÓN BIOENERGÉTICA DEL NORTE DE ANTIOQUIA - PAP</v>
          </cell>
          <cell r="D25" t="str">
            <v>Anorí</v>
          </cell>
          <cell r="E25">
            <v>6</v>
          </cell>
          <cell r="F25" t="str">
            <v>G4</v>
          </cell>
          <cell r="G25">
            <v>0</v>
          </cell>
          <cell r="H25" t="str">
            <v>PROVINCIA ADMINISTRATIVA Y DE PLANIFICACIÓN BIOENERGÉTICA DEL NORTE DE ANTIOQUIA</v>
          </cell>
          <cell r="I25" t="str">
            <v>A la fecha no ha conformado un EAT Región</v>
          </cell>
          <cell r="J25" t="str">
            <v>A la fecha no ha conformado un EAT Área Metropolitana</v>
          </cell>
          <cell r="K25" t="str">
            <v>A la fecha no ha conformado un EAT asociación - unión</v>
          </cell>
        </row>
        <row r="26">
          <cell r="A26" t="str">
            <v>05190</v>
          </cell>
          <cell r="B26" t="str">
            <v>Nordeste</v>
          </cell>
          <cell r="C26" t="str">
            <v>A la fecha no ha conformado un Esquema Asociativo Territorial</v>
          </cell>
          <cell r="D26" t="str">
            <v>Cisneros</v>
          </cell>
          <cell r="E26">
            <v>6</v>
          </cell>
          <cell r="F26" t="str">
            <v>G2</v>
          </cell>
          <cell r="G26">
            <v>0</v>
          </cell>
          <cell r="H26" t="str">
            <v>A la fecha no ha conformado un EAT Provincia</v>
          </cell>
          <cell r="I26" t="str">
            <v>A la fecha no ha conformado un EAT Región</v>
          </cell>
          <cell r="J26" t="str">
            <v>A la fecha no ha conformado un EAT Área Metropolitana</v>
          </cell>
          <cell r="K26" t="str">
            <v>A la fecha no ha conformado un EAT asociación - unión</v>
          </cell>
        </row>
        <row r="27">
          <cell r="A27" t="str">
            <v>05604</v>
          </cell>
          <cell r="B27" t="str">
            <v>Nordeste</v>
          </cell>
          <cell r="C27" t="str">
            <v>PROVINCIA ADMINISTRATIVA Y DE PLANIFICACION MINERO AGROECOLOGICA - PAP</v>
          </cell>
          <cell r="D27" t="str">
            <v>Remedios</v>
          </cell>
          <cell r="E27">
            <v>5</v>
          </cell>
          <cell r="F27" t="str">
            <v>G1</v>
          </cell>
          <cell r="G27">
            <v>0</v>
          </cell>
          <cell r="H27" t="str">
            <v>PROVINCIA ADMINISTRATIVA Y DE PLANIFICACION MINERO AGROECOLOGICA</v>
          </cell>
          <cell r="I27" t="str">
            <v>A la fecha no ha conformado un EAT Región</v>
          </cell>
          <cell r="J27" t="str">
            <v>A la fecha no ha conformado un EAT Área Metropolitana</v>
          </cell>
          <cell r="K27" t="str">
            <v>A la fecha no ha conformado un EAT asociación - unión</v>
          </cell>
        </row>
        <row r="28">
          <cell r="A28" t="str">
            <v>05670</v>
          </cell>
          <cell r="B28" t="str">
            <v>Nordeste</v>
          </cell>
          <cell r="C28" t="str">
            <v>A la fecha no ha conformado un Esquema Asociativo Territorial</v>
          </cell>
          <cell r="D28" t="str">
            <v>San Roque</v>
          </cell>
          <cell r="E28">
            <v>6</v>
          </cell>
          <cell r="F28" t="str">
            <v>G4</v>
          </cell>
          <cell r="G28">
            <v>0</v>
          </cell>
          <cell r="H28" t="str">
            <v>A la fecha no ha conformado un EAT Provincia</v>
          </cell>
          <cell r="I28" t="str">
            <v>A la fecha no ha conformado un EAT Región</v>
          </cell>
          <cell r="J28" t="str">
            <v>A la fecha no ha conformado un EAT Área Metropolitana</v>
          </cell>
          <cell r="K28" t="str">
            <v>A la fecha no ha conformado un EAT asociación - unión</v>
          </cell>
        </row>
        <row r="29">
          <cell r="A29" t="str">
            <v>05690</v>
          </cell>
          <cell r="B29" t="str">
            <v>Nordeste</v>
          </cell>
          <cell r="C29" t="str">
            <v>A la fecha no ha conformado un Esquema Asociativo Territorial</v>
          </cell>
          <cell r="D29" t="str">
            <v>Santo Domingo</v>
          </cell>
          <cell r="E29">
            <v>6</v>
          </cell>
          <cell r="F29" t="str">
            <v>G1</v>
          </cell>
          <cell r="G29">
            <v>0</v>
          </cell>
          <cell r="H29" t="str">
            <v>A la fecha no ha conformado un EAT Provincia</v>
          </cell>
          <cell r="I29" t="str">
            <v>A la fecha no ha conformado un EAT Región</v>
          </cell>
          <cell r="J29" t="str">
            <v>A la fecha no ha conformado un EAT Área Metropolitana</v>
          </cell>
          <cell r="K29" t="str">
            <v>A la fecha no ha conformado un EAT asociación - unión</v>
          </cell>
        </row>
        <row r="30">
          <cell r="A30" t="str">
            <v>05736</v>
          </cell>
          <cell r="B30" t="str">
            <v>Nordeste</v>
          </cell>
          <cell r="C30" t="str">
            <v>PROVINCIA ADMINISTRATIVA Y DE PLANIFICACION MINERO AGROECOLOGICA - PAP</v>
          </cell>
          <cell r="D30" t="str">
            <v>Segovia</v>
          </cell>
          <cell r="E30">
            <v>3</v>
          </cell>
          <cell r="F30" t="str">
            <v>G1</v>
          </cell>
          <cell r="G30">
            <v>0</v>
          </cell>
          <cell r="H30" t="str">
            <v>PROVINCIA ADMINISTRATIVA Y DE PLANIFICACION MINERO AGROECOLOGICA</v>
          </cell>
          <cell r="I30" t="str">
            <v>A la fecha no ha conformado un EAT Región</v>
          </cell>
          <cell r="J30" t="str">
            <v>A la fecha no ha conformado un EAT Área Metropolitana</v>
          </cell>
          <cell r="K30" t="str">
            <v>A la fecha no ha conformado un EAT asociación - unión</v>
          </cell>
        </row>
        <row r="31">
          <cell r="A31" t="str">
            <v>05858</v>
          </cell>
          <cell r="B31" t="str">
            <v>Nordeste</v>
          </cell>
          <cell r="C31" t="str">
            <v>PROVINCIA ADMINISTRATIVA Y DE PLANIFICACION MINERO AGROECOLOGICA - PAP</v>
          </cell>
          <cell r="D31" t="str">
            <v>Vegachí</v>
          </cell>
          <cell r="E31">
            <v>6</v>
          </cell>
          <cell r="F31" t="str">
            <v>G2</v>
          </cell>
          <cell r="G31">
            <v>0</v>
          </cell>
          <cell r="H31" t="str">
            <v>PROVINCIA ADMINISTRATIVA Y DE PLANIFICACION MINERO AGROECOLOGICA</v>
          </cell>
          <cell r="I31" t="str">
            <v>A la fecha no ha conformado un EAT Región</v>
          </cell>
          <cell r="J31" t="str">
            <v>A la fecha no ha conformado un EAT Área Metropolitana</v>
          </cell>
          <cell r="K31" t="str">
            <v>A la fecha no ha conformado un EAT asociación - unión</v>
          </cell>
        </row>
        <row r="32">
          <cell r="A32" t="str">
            <v>05885</v>
          </cell>
          <cell r="B32" t="str">
            <v>Nordeste</v>
          </cell>
          <cell r="C32" t="str">
            <v>PROVINCIA ADMINISTRATIVA Y DE PLANIFICACION MINERO AGROECOLOGICA - PAP</v>
          </cell>
          <cell r="D32" t="str">
            <v>Yalí</v>
          </cell>
          <cell r="E32">
            <v>6</v>
          </cell>
          <cell r="F32" t="str">
            <v>G3</v>
          </cell>
          <cell r="G32">
            <v>0</v>
          </cell>
          <cell r="H32" t="str">
            <v>PROVINCIA ADMINISTRATIVA Y DE PLANIFICACION MINERO AGROECOLOGICA</v>
          </cell>
          <cell r="I32" t="str">
            <v>A la fecha no ha conformado un EAT Región</v>
          </cell>
          <cell r="J32" t="str">
            <v>A la fecha no ha conformado un EAT Área Metropolitana</v>
          </cell>
          <cell r="K32" t="str">
            <v>A la fecha no ha conformado un EAT asociación - unión</v>
          </cell>
        </row>
        <row r="33">
          <cell r="A33" t="str">
            <v>05890</v>
          </cell>
          <cell r="B33" t="str">
            <v>Nordeste</v>
          </cell>
          <cell r="C33" t="str">
            <v>PROVINCIA ADMINISTRATIVA Y DE PLANIFICACION MINERO AGROECOLOGICA - PAP</v>
          </cell>
          <cell r="D33" t="str">
            <v>Yolombó</v>
          </cell>
          <cell r="E33">
            <v>6</v>
          </cell>
          <cell r="F33" t="str">
            <v>G4</v>
          </cell>
          <cell r="G33">
            <v>0</v>
          </cell>
          <cell r="H33" t="str">
            <v>PROVINCIA ADMINISTRATIVA Y DE PLANIFICACION MINERO AGROECOLOGICA</v>
          </cell>
          <cell r="I33" t="str">
            <v>A la fecha no ha conformado un EAT Región</v>
          </cell>
          <cell r="J33" t="str">
            <v>A la fecha no ha conformado un EAT Área Metropolitana</v>
          </cell>
          <cell r="K33" t="str">
            <v>A la fecha no ha conformado un EAT asociación - unión</v>
          </cell>
        </row>
        <row r="34">
          <cell r="A34" t="str">
            <v>05038</v>
          </cell>
          <cell r="B34" t="str">
            <v>Norte</v>
          </cell>
          <cell r="C34" t="str">
            <v>ASOCIACION DE MUNICIPIOS DEL NORTE ANTIOQUEÑO - AMUNORTE
PROVINCIA ADMINISTRATIVA Y DE PLANIFICACIÓN BIOENERGÉTICA DEL NORTE DE ANTIOQUIA - PAP</v>
          </cell>
          <cell r="D34" t="str">
            <v>Angostura</v>
          </cell>
          <cell r="E34">
            <v>6</v>
          </cell>
          <cell r="F34" t="str">
            <v>G3</v>
          </cell>
          <cell r="G34">
            <v>0</v>
          </cell>
          <cell r="H34" t="str">
            <v>PROVINCIA ADMINISTRATIVA Y DE PLANIFICACIÓN BIOENERGÉTICA DEL NORTE DE ANTIOQUIA</v>
          </cell>
          <cell r="I34" t="str">
            <v>A la fecha no ha conformado un EAT Región</v>
          </cell>
          <cell r="J34" t="str">
            <v>A la fecha no ha conformado un EAT Área Metropolitana</v>
          </cell>
          <cell r="K34" t="str">
            <v>ASOCIACION DE MUNICIPIOS DEL NORTE ANTIOQUEÑO - AMUNORTE</v>
          </cell>
        </row>
        <row r="35">
          <cell r="A35" t="str">
            <v>05086</v>
          </cell>
          <cell r="B35" t="str">
            <v>Norte</v>
          </cell>
          <cell r="C35" t="str">
            <v>PROVINCIA ADMINISTRATIVA Y DE PLANIFICACIÓN DEL RIO GRANDE - PAP</v>
          </cell>
          <cell r="D35" t="str">
            <v>Belmira</v>
          </cell>
          <cell r="E35">
            <v>6</v>
          </cell>
          <cell r="F35" t="str">
            <v>G3</v>
          </cell>
          <cell r="G35">
            <v>0</v>
          </cell>
          <cell r="H35" t="str">
            <v>PROVINCIA ADMINISTRATIVA Y DE PLANIFICACIÓN DEL RIO GRANDE</v>
          </cell>
          <cell r="I35" t="str">
            <v>A la fecha no ha conformado un EAT Región</v>
          </cell>
          <cell r="J35" t="str">
            <v>A la fecha no ha conformado un EAT Área Metropolitana</v>
          </cell>
          <cell r="K35" t="str">
            <v>A la fecha no ha conformado un EAT asociación - unión</v>
          </cell>
        </row>
        <row r="36">
          <cell r="A36" t="str">
            <v>05107</v>
          </cell>
          <cell r="B36" t="str">
            <v>Norte</v>
          </cell>
          <cell r="C36" t="str">
            <v>ASOCIACION DE MUNICIPIOS DEL NORTE ANTIOQUEÑO - AMUNORTE
PROVINCIA ADMINISTRATIVA Y DE PLANIFICACIÓN BIOENERGÉTICA DEL NORTE DE ANTIOQUIA - PAP</v>
          </cell>
          <cell r="D36" t="str">
            <v>Briceño</v>
          </cell>
          <cell r="E36">
            <v>6</v>
          </cell>
          <cell r="F36" t="str">
            <v>G1</v>
          </cell>
          <cell r="G36">
            <v>0</v>
          </cell>
          <cell r="H36" t="str">
            <v>PROVINCIA ADMINISTRATIVA Y DE PLANIFICACIÓN BIOENERGÉTICA DEL NORTE DE ANTIOQUIA</v>
          </cell>
          <cell r="I36" t="str">
            <v>A la fecha no ha conformado un EAT Región</v>
          </cell>
          <cell r="J36" t="str">
            <v>A la fecha no ha conformado un EAT Área Metropolitana</v>
          </cell>
          <cell r="K36" t="str">
            <v>ASOCIACION DE MUNICIPIOS DEL NORTE ANTIOQUEÑO - AMUNORTE</v>
          </cell>
        </row>
        <row r="37">
          <cell r="A37" t="str">
            <v>05134</v>
          </cell>
          <cell r="B37" t="str">
            <v>Norte</v>
          </cell>
          <cell r="C37" t="str">
            <v>ASOCIACION DE MUNICIPIOS DEL NORTE ANTIOQUEÑO - AMUNORTE
PROVINCIA ADMINISTRATIVA Y DE PLANIFICACIÓN BIOENERGÉTICA DEL NORTE DE ANTIOQUIA - PAP</v>
          </cell>
          <cell r="D37" t="str">
            <v>Campamento</v>
          </cell>
          <cell r="E37">
            <v>6</v>
          </cell>
          <cell r="F37" t="str">
            <v>G4</v>
          </cell>
          <cell r="G37">
            <v>0</v>
          </cell>
          <cell r="H37" t="str">
            <v>PROVINCIA ADMINISTRATIVA Y DE PLANIFICACIÓN BIOENERGÉTICA DEL NORTE DE ANTIOQUIA</v>
          </cell>
          <cell r="I37" t="str">
            <v>A la fecha no ha conformado un EAT Región</v>
          </cell>
          <cell r="J37" t="str">
            <v>A la fecha no ha conformado un EAT Área Metropolitana</v>
          </cell>
          <cell r="K37" t="str">
            <v>ASOCIACION DE MUNICIPIOS DEL NORTE ANTIOQUEÑO - AMUNORTE</v>
          </cell>
        </row>
        <row r="38">
          <cell r="A38" t="str">
            <v>05150</v>
          </cell>
          <cell r="B38" t="str">
            <v>Norte</v>
          </cell>
          <cell r="C38" t="str">
            <v>PROVINCIA ADMINISTRATIVA Y DE PLANIFICACIÓN BIOENERGÉTICA DEL NORTE DE ANTIOQUIA - PAP</v>
          </cell>
          <cell r="D38" t="str">
            <v>Carolina del Príncipe</v>
          </cell>
          <cell r="E38">
            <v>6</v>
          </cell>
          <cell r="F38" t="str">
            <v>G2</v>
          </cell>
          <cell r="G38">
            <v>0</v>
          </cell>
          <cell r="H38" t="str">
            <v>PROVINCIA ADMINISTRATIVA Y DE PLANIFICACIÓN BIOENERGÉTICA DEL NORTE DE ANTIOQUIA</v>
          </cell>
          <cell r="I38" t="str">
            <v>A la fecha no ha conformado un EAT Región</v>
          </cell>
          <cell r="J38" t="str">
            <v>A la fecha no ha conformado un EAT Área Metropolitana</v>
          </cell>
          <cell r="K38" t="str">
            <v>A la fecha no ha conformado un EAT asociación - unión</v>
          </cell>
        </row>
        <row r="39">
          <cell r="A39" t="str">
            <v>05237</v>
          </cell>
          <cell r="B39" t="str">
            <v>Norte</v>
          </cell>
          <cell r="C39" t="str">
            <v>ASOCIACION DE MUNICIPIOS DEL NORTE ANTIOQUEÑO - AMUNORTE
PROVINCIA ADMINISTRATIVA Y DE PLANIFICACIÓN DEL RIO GRANDE - PAP</v>
          </cell>
          <cell r="D39" t="str">
            <v>Donmatías</v>
          </cell>
          <cell r="E39">
            <v>6</v>
          </cell>
          <cell r="F39" t="str">
            <v>G1</v>
          </cell>
          <cell r="G39">
            <v>0</v>
          </cell>
          <cell r="H39" t="str">
            <v>PROVINCIA ADMINISTRATIVA Y DE PLANIFICACIÓN DEL RIO GRANDE</v>
          </cell>
          <cell r="I39" t="str">
            <v>A la fecha no ha conformado un EAT Región</v>
          </cell>
          <cell r="J39" t="str">
            <v>A la fecha no ha conformado un EAT Área Metropolitana</v>
          </cell>
          <cell r="K39" t="str">
            <v>ASOCIACION DE MUNICIPIOS DEL NORTE ANTIOQUEÑO - AMUNORTE</v>
          </cell>
        </row>
        <row r="40">
          <cell r="A40" t="str">
            <v>05264</v>
          </cell>
          <cell r="B40" t="str">
            <v>Norte</v>
          </cell>
          <cell r="C40" t="str">
            <v>PROVINCIA ADMINISTRATIVA Y DE PLANIFICACIÓN DEL RIO GRANDE - PAP</v>
          </cell>
          <cell r="D40" t="str">
            <v>Entrerríos</v>
          </cell>
          <cell r="E40">
            <v>6</v>
          </cell>
          <cell r="F40" t="str">
            <v>G1</v>
          </cell>
          <cell r="G40">
            <v>0</v>
          </cell>
          <cell r="H40" t="str">
            <v>PROVINCIA ADMINISTRATIVA Y DE PLANIFICACIÓN DEL RIO GRANDE</v>
          </cell>
          <cell r="I40" t="str">
            <v>A la fecha no ha conformado un EAT Región</v>
          </cell>
          <cell r="J40" t="str">
            <v>A la fecha no ha conformado un EAT Área Metropolitana</v>
          </cell>
          <cell r="K40" t="str">
            <v>A la fecha no ha conformado un EAT asociación - unión</v>
          </cell>
        </row>
        <row r="41">
          <cell r="A41" t="str">
            <v>05310</v>
          </cell>
          <cell r="B41" t="str">
            <v>Norte</v>
          </cell>
          <cell r="C41" t="str">
            <v>ASOCIACION DE MUNICIPIOS DEL NORTE ANTIOQUEÑO - AMUNORTE
PROVINCIA ADMINISTRATIVA Y DE PLANIFICACIÓN BIOENERGÉTICA DEL NORTE DE ANTIOQUIA - PAP</v>
          </cell>
          <cell r="D41" t="str">
            <v>Gómez Plata</v>
          </cell>
          <cell r="E41">
            <v>6</v>
          </cell>
          <cell r="F41" t="str">
            <v>G2</v>
          </cell>
          <cell r="G41">
            <v>0</v>
          </cell>
          <cell r="H41" t="str">
            <v>PROVINCIA ADMINISTRATIVA Y DE PLANIFICACIÓN BIOENERGÉTICA DEL NORTE DE ANTIOQUIA</v>
          </cell>
          <cell r="I41" t="str">
            <v>A la fecha no ha conformado un EAT Región</v>
          </cell>
          <cell r="J41" t="str">
            <v>A la fecha no ha conformado un EAT Área Metropolitana</v>
          </cell>
          <cell r="K41" t="str">
            <v>ASOCIACION DE MUNICIPIOS DEL NORTE ANTIOQUEÑO - AMUNORTE</v>
          </cell>
        </row>
        <row r="42">
          <cell r="A42" t="str">
            <v>05315</v>
          </cell>
          <cell r="B42" t="str">
            <v>Norte</v>
          </cell>
          <cell r="C42" t="str">
            <v>PROVINCIA ADMINISTRATIVA Y DE PLANIFICACIÓN BIOENERGÉTICA DEL NORTE DE ANTIOQUIA - PAP</v>
          </cell>
          <cell r="D42" t="str">
            <v>Guadalupe</v>
          </cell>
          <cell r="E42">
            <v>6</v>
          </cell>
          <cell r="F42" t="str">
            <v>G3</v>
          </cell>
          <cell r="G42">
            <v>0</v>
          </cell>
          <cell r="H42" t="str">
            <v>PROVINCIA ADMINISTRATIVA Y DE PLANIFICACIÓN BIOENERGÉTICA DEL NORTE DE ANTIOQUIA</v>
          </cell>
          <cell r="I42" t="str">
            <v>A la fecha no ha conformado un EAT Región</v>
          </cell>
          <cell r="J42" t="str">
            <v>A la fecha no ha conformado un EAT Área Metropolitana</v>
          </cell>
          <cell r="K42" t="str">
            <v>A la fecha no ha conformado un EAT asociación - unión</v>
          </cell>
        </row>
        <row r="43">
          <cell r="A43" t="str">
            <v>05361</v>
          </cell>
          <cell r="B43" t="str">
            <v>Norte</v>
          </cell>
          <cell r="C43" t="str">
            <v>ASOCIACION DE MUNICIPIOS DEL NORTE ANTIOQUEÑO - AMUNORTE
PROVINCIA ADMINISTRATIVA Y DE PLANIFICACIÓN BIOENERGÉTICA DEL NORTE DE ANTIOQUIA - PAP</v>
          </cell>
          <cell r="D43" t="str">
            <v>Ituango</v>
          </cell>
          <cell r="E43">
            <v>6</v>
          </cell>
          <cell r="F43" t="str">
            <v>G4</v>
          </cell>
          <cell r="G43">
            <v>0</v>
          </cell>
          <cell r="H43" t="str">
            <v>PROVINCIA ADMINISTRATIVA Y DE PLANIFICACIÓN BIOENERGÉTICA DEL NORTE DE ANTIOQUIA</v>
          </cell>
          <cell r="I43" t="str">
            <v>A la fecha no ha conformado un EAT Región</v>
          </cell>
          <cell r="J43" t="str">
            <v>A la fecha no ha conformado un EAT Área Metropolitana</v>
          </cell>
          <cell r="K43" t="str">
            <v>ASOCIACION DE MUNICIPIOS DEL NORTE ANTIOQUEÑO - AMUNORTE</v>
          </cell>
        </row>
        <row r="44">
          <cell r="A44" t="str">
            <v>05647</v>
          </cell>
          <cell r="B44" t="str">
            <v>Norte</v>
          </cell>
          <cell r="C44" t="str">
            <v>ASOCIACION DE MUNICIPIOS DEL NORTE ANTIOQUEÑO - AMUNORTE
PROVINCIA ADMINISTRATIVA Y DE PLANIFICACIÓN BIOENERGÉTICA DEL NORTE DE ANTIOQUIA - PAP</v>
          </cell>
          <cell r="D44" t="str">
            <v>San Andrés de Cuerquia</v>
          </cell>
          <cell r="E44">
            <v>6</v>
          </cell>
          <cell r="F44" t="str">
            <v>G4</v>
          </cell>
          <cell r="G44">
            <v>0</v>
          </cell>
          <cell r="H44" t="str">
            <v>PROVINCIA ADMINISTRATIVA Y DE PLANIFICACIÓN BIOENERGÉTICA DEL NORTE DE ANTIOQUIA</v>
          </cell>
          <cell r="I44" t="str">
            <v>A la fecha no ha conformado un EAT Región</v>
          </cell>
          <cell r="J44" t="str">
            <v>A la fecha no ha conformado un EAT Área Metropolitana</v>
          </cell>
          <cell r="K44" t="str">
            <v>ASOCIACION DE MUNICIPIOS DEL NORTE ANTIOQUEÑO - AMUNORTE</v>
          </cell>
        </row>
        <row r="45">
          <cell r="A45" t="str">
            <v>05658</v>
          </cell>
          <cell r="B45" t="str">
            <v>Norte</v>
          </cell>
          <cell r="C45" t="str">
            <v>ASOCIACION DE MUNICIPIOS DEL NORTE ANTIOQUEÑO - AMUNORTE
PROVINCIA ADMINISTRATIVA Y DE PLANIFICACIÓN BIOENERGÉTICA DEL NORTE DE ANTIOQUIA - PAP</v>
          </cell>
          <cell r="D45" t="str">
            <v>San José De La Montaña</v>
          </cell>
          <cell r="E45">
            <v>6</v>
          </cell>
          <cell r="F45" t="str">
            <v>G2</v>
          </cell>
          <cell r="G45">
            <v>0</v>
          </cell>
          <cell r="H45" t="str">
            <v>PROVINCIA ADMINISTRATIVA Y DE PLANIFICACIÓN BIOENERGÉTICA DEL NORTE DE ANTIOQUIA</v>
          </cell>
          <cell r="I45" t="str">
            <v>A la fecha no ha conformado un EAT Región</v>
          </cell>
          <cell r="J45" t="str">
            <v>A la fecha no ha conformado un EAT Área Metropolitana</v>
          </cell>
          <cell r="K45" t="str">
            <v>ASOCIACION DE MUNICIPIOS DEL NORTE ANTIOQUEÑO - AMUNORTE</v>
          </cell>
        </row>
        <row r="46">
          <cell r="A46" t="str">
            <v>05664</v>
          </cell>
          <cell r="B46" t="str">
            <v>Norte</v>
          </cell>
          <cell r="C46" t="str">
            <v>PROVINCIA ADMINISTRATIVA Y DE PLANIFICACIÓN DEL RIO GRANDE - PAP</v>
          </cell>
          <cell r="D46" t="str">
            <v>San Pedro de los Milagros</v>
          </cell>
          <cell r="E46">
            <v>6</v>
          </cell>
          <cell r="F46" t="str">
            <v>G1</v>
          </cell>
          <cell r="G46">
            <v>0</v>
          </cell>
          <cell r="H46" t="str">
            <v>PROVINCIA ADMINISTRATIVA Y DE PLANIFICACIÓN DEL RIO GRANDE</v>
          </cell>
          <cell r="I46" t="str">
            <v>A la fecha no ha conformado un EAT Región</v>
          </cell>
          <cell r="J46" t="str">
            <v>A la fecha no ha conformado un EAT Área Metropolitana</v>
          </cell>
          <cell r="K46" t="str">
            <v>A la fecha no ha conformado un EAT asociación - unión</v>
          </cell>
        </row>
        <row r="47">
          <cell r="A47" t="str">
            <v>05686</v>
          </cell>
          <cell r="B47" t="str">
            <v>Norte</v>
          </cell>
          <cell r="C47" t="str">
            <v>PROVINCIA ADMINISTRATIVA Y DE PLANIFICACIÓN DEL RIO GRANDE - PAP</v>
          </cell>
          <cell r="D47" t="str">
            <v>Santa Rosa De Osos</v>
          </cell>
          <cell r="E47">
            <v>5</v>
          </cell>
          <cell r="F47" t="str">
            <v>G1</v>
          </cell>
          <cell r="G47">
            <v>0</v>
          </cell>
          <cell r="H47" t="str">
            <v>PROVINCIA ADMINISTRATIVA Y DE PLANIFICACIÓN DEL RIO GRANDE</v>
          </cell>
          <cell r="I47" t="str">
            <v>A la fecha no ha conformado un EAT Región</v>
          </cell>
          <cell r="J47" t="str">
            <v>A la fecha no ha conformado un EAT Área Metropolitana</v>
          </cell>
          <cell r="K47" t="str">
            <v>A la fecha no ha conformado un EAT asociación - unión</v>
          </cell>
        </row>
        <row r="48">
          <cell r="A48" t="str">
            <v>05819</v>
          </cell>
          <cell r="B48" t="str">
            <v>Norte</v>
          </cell>
          <cell r="C48" t="str">
            <v>ASOCIACION DE MUNICIPIOS DEL NORTE ANTIOQUEÑO - AMUNORTE
PROVINCIA ADMINISTRATIVA Y DE PLANIFICACIÓN BIOENERGÉTICA DEL NORTE DE ANTIOQUIA - PAP</v>
          </cell>
          <cell r="D48" t="str">
            <v>Toledo</v>
          </cell>
          <cell r="E48">
            <v>6</v>
          </cell>
          <cell r="F48" t="str">
            <v>G2</v>
          </cell>
          <cell r="G48">
            <v>0</v>
          </cell>
          <cell r="H48" t="str">
            <v>PROVINCIA ADMINISTRATIVA Y DE PLANIFICACIÓN BIOENERGÉTICA DEL NORTE DE ANTIOQUIA</v>
          </cell>
          <cell r="I48" t="str">
            <v>A la fecha no ha conformado un EAT Región</v>
          </cell>
          <cell r="J48" t="str">
            <v>A la fecha no ha conformado un EAT Área Metropolitana</v>
          </cell>
          <cell r="K48" t="str">
            <v>ASOCIACION DE MUNICIPIOS DEL NORTE ANTIOQUEÑO - AMUNORTE</v>
          </cell>
        </row>
        <row r="49">
          <cell r="A49" t="str">
            <v>05854</v>
          </cell>
          <cell r="B49" t="str">
            <v>Norte</v>
          </cell>
          <cell r="C49" t="str">
            <v>PROVINCIA ADMINISTRATIVA Y DE PLANIFICACIÓN BIOENERGÉTICA DEL NORTE DE ANTIOQUIA - PAP</v>
          </cell>
          <cell r="D49" t="str">
            <v>Valdivia</v>
          </cell>
          <cell r="E49">
            <v>6</v>
          </cell>
          <cell r="F49" t="str">
            <v>G4</v>
          </cell>
          <cell r="G49">
            <v>0</v>
          </cell>
          <cell r="H49" t="str">
            <v>PROVINCIA ADMINISTRATIVA Y DE PLANIFICACIÓN BIOENERGÉTICA DEL NORTE DE ANTIOQUIA</v>
          </cell>
          <cell r="I49" t="str">
            <v>A la fecha no ha conformado un EAT Región</v>
          </cell>
          <cell r="J49" t="str">
            <v>A la fecha no ha conformado un EAT Área Metropolitana</v>
          </cell>
          <cell r="K49" t="str">
            <v>A la fecha no ha conformado un EAT asociación - unión</v>
          </cell>
        </row>
        <row r="50">
          <cell r="A50" t="str">
            <v>05887</v>
          </cell>
          <cell r="B50" t="str">
            <v>Norte</v>
          </cell>
          <cell r="C50" t="str">
            <v>PROVINCIA ADMINISTRATIVA Y DE PLANIFICACIÓN BIOENERGÉTICA DEL NORTE DE ANTIOQUIA - PAP</v>
          </cell>
          <cell r="D50" t="str">
            <v>Yarumal</v>
          </cell>
          <cell r="E50">
            <v>6</v>
          </cell>
          <cell r="F50" t="str">
            <v>G2</v>
          </cell>
          <cell r="G50">
            <v>0</v>
          </cell>
          <cell r="H50" t="str">
            <v>PROVINCIA ADMINISTRATIVA Y DE PLANIFICACIÓN BIOENERGÉTICA DEL NORTE DE ANTIOQUIA</v>
          </cell>
          <cell r="I50" t="str">
            <v>A la fecha no ha conformado un EAT Región</v>
          </cell>
          <cell r="J50" t="str">
            <v>A la fecha no ha conformado un EAT Área Metropolitana</v>
          </cell>
          <cell r="K50" t="str">
            <v>A la fecha no ha conformado un EAT asociación - unión</v>
          </cell>
        </row>
        <row r="51">
          <cell r="A51" t="str">
            <v>05004</v>
          </cell>
          <cell r="B51" t="str">
            <v>Occidente</v>
          </cell>
          <cell r="C51" t="str">
            <v>Región de Planeación y Gestión de Occidente - RPG
ASOCIACION DE MUNICIPIOS DEL NORTE ANTIOQUEÑO - AMUNORTE
PROVINCIA ADMINISTRATIVA Y DE PLANIFICACIÓN AGROINDUSTRIAL DEL OCCIDENTE ANTIOQUEÑO - PAP</v>
          </cell>
          <cell r="D51" t="str">
            <v>Abriaquí</v>
          </cell>
          <cell r="E51">
            <v>6</v>
          </cell>
          <cell r="F51" t="str">
            <v>G3</v>
          </cell>
          <cell r="G51">
            <v>0</v>
          </cell>
          <cell r="H51" t="str">
            <v>PROVINCIA ADMINISTRATIVA Y DE PLANIFICACIÓN AGROINDUSTRIAL DEL OCCIDENTE ANTIOQUEÑO</v>
          </cell>
          <cell r="I51" t="str">
            <v>Región de Planeación y Gestión de Occidente</v>
          </cell>
          <cell r="J51" t="str">
            <v>A la fecha no ha conformado un EAT Área Metropolitana</v>
          </cell>
          <cell r="K51" t="str">
            <v>ASOCIACION DE MUNICIPIOS DEL NORTE ANTIOQUEÑO - AMUNORTE</v>
          </cell>
        </row>
        <row r="52">
          <cell r="A52" t="str">
            <v>05042</v>
          </cell>
          <cell r="B52" t="str">
            <v>Occidente</v>
          </cell>
          <cell r="C52" t="str">
            <v>ASOCIACION DE MUNICIPIOS DEL OCCIDENTE ANTIOQUEÑO - AMOCCIDENTE
PROVINCIA ADMINISTRATIVA Y DE PLANIFICACIÓN TURÍSTICA Y AGROECOLÓGICA DEL OCCIDENTE ANTIOQUEÑO - PAP</v>
          </cell>
          <cell r="D52" t="str">
            <v>Santa Fe de Antioquia</v>
          </cell>
          <cell r="E52">
            <v>5</v>
          </cell>
          <cell r="F52" t="str">
            <v>G1</v>
          </cell>
          <cell r="G52">
            <v>0</v>
          </cell>
          <cell r="H52" t="str">
            <v>PROVINCIA ADMINISTRATIVA Y DE PLANIFICACIÓN TURÍSTICA Y AGROECOLÓGICA DEL OCCIDENTE ANTIOQUEÑO</v>
          </cell>
          <cell r="I52" t="str">
            <v>A la fecha no ha conformado un EAT Región</v>
          </cell>
          <cell r="J52" t="str">
            <v>A la fecha no ha conformado un EAT Área Metropolitana</v>
          </cell>
          <cell r="K52" t="str">
            <v>ASOCIACION DE MUNICIPIOS DEL OCCIDENTE ANTIOQUEÑO - AMOCCIDENTE</v>
          </cell>
        </row>
        <row r="53">
          <cell r="A53" t="str">
            <v>05044</v>
          </cell>
          <cell r="B53" t="str">
            <v>Occidente</v>
          </cell>
          <cell r="C53" t="str">
            <v>ASOCIACION DE MUNICIPIOS DEL OCCIDENTE ANTIOQUEÑO - AMOCCIDENTE
PROVINCIA ADMINISTRATIVA Y DE PLANIFICACION DE PENDERISCO Y SINIFANÁ - PAP</v>
          </cell>
          <cell r="D53" t="str">
            <v>Anzá</v>
          </cell>
          <cell r="E53">
            <v>6</v>
          </cell>
          <cell r="F53" t="str">
            <v>G3</v>
          </cell>
          <cell r="G53">
            <v>0</v>
          </cell>
          <cell r="H53" t="str">
            <v>PROVINCIA ADMINISTRATIVA Y DE PLANIFICACION DE PENDERISCO Y SINIFANÁ</v>
          </cell>
          <cell r="I53" t="str">
            <v>A la fecha no ha conformado un EAT Región</v>
          </cell>
          <cell r="J53" t="str">
            <v>A la fecha no ha conformado un EAT Área Metropolitana</v>
          </cell>
          <cell r="K53" t="str">
            <v>ASOCIACION DE MUNICIPIOS DEL OCCIDENTE ANTIOQUEÑO - AMOCCIDENTE</v>
          </cell>
        </row>
        <row r="54">
          <cell r="A54" t="str">
            <v>05059</v>
          </cell>
          <cell r="B54" t="str">
            <v>Occidente</v>
          </cell>
          <cell r="C54" t="str">
            <v>Región de Planeación y Gestión de Occidente - RPG
ASOCIACION DE MUNICIPIOS DEL OCCIDENTE ANTIOQUEÑO - AMOCCIDENTE</v>
          </cell>
          <cell r="D54" t="str">
            <v>Armenia</v>
          </cell>
          <cell r="E54">
            <v>6</v>
          </cell>
          <cell r="F54" t="str">
            <v>G4</v>
          </cell>
          <cell r="G54">
            <v>0</v>
          </cell>
          <cell r="H54" t="str">
            <v>A la fecha no ha conformado un EAT Provincia</v>
          </cell>
          <cell r="I54" t="str">
            <v>Región de Planeación y Gestión de Occidente</v>
          </cell>
          <cell r="J54" t="str">
            <v>A la fecha no ha conformado un EAT Área Metropolitana</v>
          </cell>
          <cell r="K54" t="str">
            <v>ASOCIACION DE MUNICIPIOS DEL OCCIDENTE ANTIOQUEÑO - AMOCCIDENTE</v>
          </cell>
        </row>
        <row r="55">
          <cell r="A55" t="str">
            <v>05113</v>
          </cell>
          <cell r="B55" t="str">
            <v>Occidente</v>
          </cell>
          <cell r="C55" t="str">
            <v>Región de Planeación y Gestión de Occidente - RPG
ASOCIACION DE MUNICIPIOS DEL OCCIDENTE ANTIOQUEÑO - AMOCCIDENTE
PROVINCIA ADMINISTRATIVA Y DE PLANIFICACIÓN TURÍSTICA Y AGROECOLÓGICA DEL OCCIDENTE ANTIOQUEÑO - PAP</v>
          </cell>
          <cell r="D55" t="str">
            <v>Buriticá</v>
          </cell>
          <cell r="E55">
            <v>6</v>
          </cell>
          <cell r="F55" t="str">
            <v>G4</v>
          </cell>
          <cell r="G55">
            <v>0</v>
          </cell>
          <cell r="H55" t="str">
            <v>PROVINCIA ADMINISTRATIVA Y DE PLANIFICACIÓN TURÍSTICA Y AGROECOLÓGICA DEL OCCIDENTE ANTIOQUEÑO</v>
          </cell>
          <cell r="I55" t="str">
            <v>Región de Planeación y Gestión de Occidente</v>
          </cell>
          <cell r="J55" t="str">
            <v>A la fecha no ha conformado un EAT Área Metropolitana</v>
          </cell>
          <cell r="K55" t="str">
            <v>ASOCIACION DE MUNICIPIOS DEL OCCIDENTE ANTIOQUEÑO - AMOCCIDENTE</v>
          </cell>
        </row>
        <row r="56">
          <cell r="A56" t="str">
            <v>05125</v>
          </cell>
          <cell r="B56" t="str">
            <v>Occidente</v>
          </cell>
          <cell r="C56" t="str">
            <v>ASOCIACION DE MUNICIPIOS DEL OCCIDENTE ANTIOQUEÑO - AMOCCIDENTE
PROVINCIA ADMINISTRATIVA Y DE PLANIFICACION DE PENDERISCO Y SINIFANÁ - PAP</v>
          </cell>
          <cell r="D56" t="str">
            <v>Caicedo</v>
          </cell>
          <cell r="E56">
            <v>6</v>
          </cell>
          <cell r="F56" t="str">
            <v>G4</v>
          </cell>
          <cell r="G56">
            <v>0</v>
          </cell>
          <cell r="H56" t="str">
            <v>PROVINCIA ADMINISTRATIVA Y DE PLANIFICACION DE PENDERISCO Y SINIFANÁ</v>
          </cell>
          <cell r="I56" t="str">
            <v>A la fecha no ha conformado un EAT Región</v>
          </cell>
          <cell r="J56" t="str">
            <v>A la fecha no ha conformado un EAT Área Metropolitana</v>
          </cell>
          <cell r="K56" t="str">
            <v>ASOCIACION DE MUNICIPIOS DEL OCCIDENTE ANTIOQUEÑO - AMOCCIDENTE</v>
          </cell>
        </row>
        <row r="57">
          <cell r="A57" t="str">
            <v>05138</v>
          </cell>
          <cell r="B57" t="str">
            <v>Occidente</v>
          </cell>
          <cell r="C57" t="str">
            <v>Región de Planeación y Gestión de Occidente - RPG
ASOCIACION DE MUNICIPIOS DEL OCCIDENTE ANTIOQUEÑO - AMOCCIDENTE
PROVINCIA ADMINISTRATIVA Y DE PLANIFICACIÓN AGROINDUSTRIAL DEL OCCIDENTE ANTIOQUEÑO - PAP</v>
          </cell>
          <cell r="D57" t="str">
            <v>Cañasgordas</v>
          </cell>
          <cell r="E57">
            <v>6</v>
          </cell>
          <cell r="F57" t="str">
            <v>G4</v>
          </cell>
          <cell r="G57">
            <v>0</v>
          </cell>
          <cell r="H57" t="str">
            <v>PROVINCIA ADMINISTRATIVA Y DE PLANIFICACIÓN AGROINDUSTRIAL DEL OCCIDENTE ANTIOQUEÑO</v>
          </cell>
          <cell r="I57" t="str">
            <v>Región de Planeación y Gestión de Occidente</v>
          </cell>
          <cell r="J57" t="str">
            <v>A la fecha no ha conformado un EAT Área Metropolitana</v>
          </cell>
          <cell r="K57" t="str">
            <v>ASOCIACION DE MUNICIPIOS DEL OCCIDENTE ANTIOQUEÑO - AMOCCIDENTE</v>
          </cell>
        </row>
        <row r="58">
          <cell r="A58" t="str">
            <v>05234</v>
          </cell>
          <cell r="B58" t="str">
            <v>Occidente</v>
          </cell>
          <cell r="C58" t="str">
            <v>Región de Planeación y Gestión de Occidente - RPG
ASOCIACION DE MUNICIPIOS DEL OCCIDENTE ANTIOQUEÑO - AMOCCIDENTE
PROVINCIA ADMINISTRATIVA Y DE PLANIFICACIÓN AGROINDUSTRIAL DEL OCCIDENTE ANTIOQUEÑO - PAP</v>
          </cell>
          <cell r="D58" t="str">
            <v>Dabeiba</v>
          </cell>
          <cell r="E58">
            <v>6</v>
          </cell>
          <cell r="F58" t="str">
            <v>G4</v>
          </cell>
          <cell r="G58">
            <v>0</v>
          </cell>
          <cell r="H58" t="str">
            <v>PROVINCIA ADMINISTRATIVA Y DE PLANIFICACIÓN AGROINDUSTRIAL DEL OCCIDENTE ANTIOQUEÑO</v>
          </cell>
          <cell r="I58" t="str">
            <v>Región de Planeación y Gestión de Occidente</v>
          </cell>
          <cell r="J58" t="str">
            <v>A la fecha no ha conformado un EAT Área Metropolitana</v>
          </cell>
          <cell r="K58" t="str">
            <v>ASOCIACION DE MUNICIPIOS DEL OCCIDENTE ANTIOQUEÑO - AMOCCIDENTE</v>
          </cell>
        </row>
        <row r="59">
          <cell r="A59" t="str">
            <v>05240</v>
          </cell>
          <cell r="B59" t="str">
            <v>Occidente</v>
          </cell>
          <cell r="C59" t="str">
            <v>ASOCIACION DE MUNICIPIOS DEL OCCIDENTE ANTIOQUEÑO - AMOCCIDENTE
PROVINCIA ADMINISTRATIVA Y DE PLANIFICACIÓN TURÍSTICA Y AGROECOLÓGICA DEL OCCIDENTE ANTIOQUEÑO - PAP</v>
          </cell>
          <cell r="D59" t="str">
            <v>Ebéjico</v>
          </cell>
          <cell r="E59">
            <v>6</v>
          </cell>
          <cell r="F59" t="str">
            <v>G3</v>
          </cell>
          <cell r="G59">
            <v>0</v>
          </cell>
          <cell r="H59" t="str">
            <v>PROVINCIA ADMINISTRATIVA Y DE PLANIFICACIÓN TURÍSTICA Y AGROECOLÓGICA DEL OCCIDENTE ANTIOQUEÑO</v>
          </cell>
          <cell r="I59" t="str">
            <v>A la fecha no ha conformado un EAT Región</v>
          </cell>
          <cell r="J59" t="str">
            <v>A la fecha no ha conformado un EAT Área Metropolitana</v>
          </cell>
          <cell r="K59" t="str">
            <v>ASOCIACION DE MUNICIPIOS DEL OCCIDENTE ANTIOQUEÑO - AMOCCIDENTE</v>
          </cell>
        </row>
        <row r="60">
          <cell r="A60" t="str">
            <v>05284</v>
          </cell>
          <cell r="B60" t="str">
            <v>Occidente</v>
          </cell>
          <cell r="C60" t="str">
            <v>Región de Planeación y Gestión de Occidente - RPG
ASOCIACION DE MUNICIPIOS DEL OCCIDENTE ANTIOQUEÑO - AMOCCIDENTE
PROVINCIA ADMINISTRATIVA Y DE PLANIFICACIÓN AGROINDUSTRIAL DEL OCCIDENTE ANTIOQUEÑO - PAP</v>
          </cell>
          <cell r="D60" t="str">
            <v>Frontino</v>
          </cell>
          <cell r="E60">
            <v>6</v>
          </cell>
          <cell r="F60" t="str">
            <v>G4</v>
          </cell>
          <cell r="G60">
            <v>0</v>
          </cell>
          <cell r="H60" t="str">
            <v>PROVINCIA ADMINISTRATIVA Y DE PLANIFICACIÓN AGROINDUSTRIAL DEL OCCIDENTE ANTIOQUEÑO</v>
          </cell>
          <cell r="I60" t="str">
            <v>Región de Planeación y Gestión de Occidente</v>
          </cell>
          <cell r="J60" t="str">
            <v>A la fecha no ha conformado un EAT Área Metropolitana</v>
          </cell>
          <cell r="K60" t="str">
            <v>ASOCIACION DE MUNICIPIOS DEL OCCIDENTE ANTIOQUEÑO - AMOCCIDENTE</v>
          </cell>
        </row>
        <row r="61">
          <cell r="A61" t="str">
            <v>05306</v>
          </cell>
          <cell r="B61" t="str">
            <v>Occidente</v>
          </cell>
          <cell r="C61" t="str">
            <v>ASOCIACION DE MUNICIPIOS DEL OCCIDENTE ANTIOQUEÑO - AMOCCIDENTE
PROVINCIA ADMINISTRATIVA Y DE PLANIFICACIÓN TURÍSTICA Y AGROECOLÓGICA DEL OCCIDENTE ANTIOQUEÑO - PAP</v>
          </cell>
          <cell r="D61" t="str">
            <v>Giraldo</v>
          </cell>
          <cell r="E61">
            <v>6</v>
          </cell>
          <cell r="F61" t="str">
            <v>G3</v>
          </cell>
          <cell r="G61">
            <v>0</v>
          </cell>
          <cell r="H61" t="str">
            <v>PROVINCIA ADMINISTRATIVA Y DE PLANIFICACIÓN TURÍSTICA Y AGROECOLÓGICA DEL OCCIDENTE ANTIOQUEÑO</v>
          </cell>
          <cell r="I61" t="str">
            <v>A la fecha no ha conformado un EAT Región</v>
          </cell>
          <cell r="J61" t="str">
            <v>A la fecha no ha conformado un EAT Área Metropolitana</v>
          </cell>
          <cell r="K61" t="str">
            <v>ASOCIACION DE MUNICIPIOS DEL OCCIDENTE ANTIOQUEÑO - AMOCCIDENTE</v>
          </cell>
        </row>
        <row r="62">
          <cell r="A62" t="str">
            <v>05347</v>
          </cell>
          <cell r="B62" t="str">
            <v>Occidente</v>
          </cell>
          <cell r="C62" t="str">
            <v>Región de Planeación y Gestión de Occidente - RPG
ASOCIACION DE MUNICIPIOS DEL OCCIDENTE ANTIOQUEÑO - AMOCCIDENTE
PROVINCIA ADMINISTRATIVA Y DE PLANIFICACIÓN TURÍSTICA Y AGROECOLÓGICA DEL OCCIDENTE ANTIOQUEÑO - PAP</v>
          </cell>
          <cell r="D62" t="str">
            <v>Heliconia</v>
          </cell>
          <cell r="E62">
            <v>6</v>
          </cell>
          <cell r="F62" t="str">
            <v>G3</v>
          </cell>
          <cell r="G62">
            <v>0</v>
          </cell>
          <cell r="H62" t="str">
            <v>PROVINCIA ADMINISTRATIVA Y DE PLANIFICACIÓN TURÍSTICA Y AGROECOLÓGICA DEL OCCIDENTE ANTIOQUEÑO</v>
          </cell>
          <cell r="I62" t="str">
            <v>Región de Planeación y Gestión de Occidente</v>
          </cell>
          <cell r="J62" t="str">
            <v>A la fecha no ha conformado un EAT Área Metropolitana</v>
          </cell>
          <cell r="K62" t="str">
            <v>ASOCIACION DE MUNICIPIOS DEL OCCIDENTE ANTIOQUEÑO - AMOCCIDENTE</v>
          </cell>
        </row>
        <row r="63">
          <cell r="A63" t="str">
            <v>05411</v>
          </cell>
          <cell r="B63" t="str">
            <v>Occidente</v>
          </cell>
          <cell r="C63" t="str">
            <v>ASOCIACION DE MUNICIPIOS DEL OCCIDENTE ANTIOQUEÑO - AMOCCIDENTE</v>
          </cell>
          <cell r="D63" t="str">
            <v>Liborina</v>
          </cell>
          <cell r="E63">
            <v>6</v>
          </cell>
          <cell r="F63" t="str">
            <v>G4</v>
          </cell>
          <cell r="G63">
            <v>0</v>
          </cell>
          <cell r="H63" t="str">
            <v>A la fecha no ha conformado un EAT Provincia</v>
          </cell>
          <cell r="I63" t="str">
            <v>Región de Planeación y Gestión de Occidente</v>
          </cell>
          <cell r="J63" t="str">
            <v>A la fecha no ha conformado un EAT Área Metropolitana</v>
          </cell>
          <cell r="K63" t="str">
            <v>ASOCIACION DE MUNICIPIOS DEL OCCIDENTE ANTIOQUEÑO - AMOCCIDENTE</v>
          </cell>
        </row>
        <row r="64">
          <cell r="A64" t="str">
            <v>05501</v>
          </cell>
          <cell r="B64" t="str">
            <v>Occidente</v>
          </cell>
          <cell r="C64" t="str">
            <v>Región de Planeación y Gestión de Occidente - RPG
ASOCIACION DE MUNICIPIOS DEL OCCIDENTE ANTIOQUEÑO - AMOCCIDENTE
PROVINCIA ADMINISTRATIVA Y DE PLANIFICACIÓN TURÍSTICA Y AGROECOLÓGICA DEL OCCIDENTE ANTIOQUEÑO - PAP</v>
          </cell>
          <cell r="D64" t="str">
            <v>Olaya</v>
          </cell>
          <cell r="E64">
            <v>6</v>
          </cell>
          <cell r="F64" t="str">
            <v>G2</v>
          </cell>
          <cell r="G64">
            <v>0</v>
          </cell>
          <cell r="H64" t="str">
            <v>PROVINCIA ADMINISTRATIVA Y DE PLANIFICACIÓN TURÍSTICA Y AGROECOLÓGICA DEL OCCIDENTE ANTIOQUEÑO</v>
          </cell>
          <cell r="I64" t="str">
            <v>Región de Planeación y Gestión de Occidente</v>
          </cell>
          <cell r="J64" t="str">
            <v>A la fecha no ha conformado un EAT Área Metropolitana</v>
          </cell>
          <cell r="K64" t="str">
            <v>ASOCIACION DE MUNICIPIOS DEL OCCIDENTE ANTIOQUEÑO - AMOCCIDENTE</v>
          </cell>
        </row>
        <row r="65">
          <cell r="A65" t="str">
            <v>05543</v>
          </cell>
          <cell r="B65" t="str">
            <v>Occidente</v>
          </cell>
          <cell r="C65" t="str">
            <v>Región de Planeación y Gestión de Occidente - RPG
ASOCIACION DE MUNICIPIOS DEL OCCIDENTE ANTIOQUEÑO - AMOCCIDENTE
PROVINCIA ADMINISTRATIVA Y DE PLANIFICACIÓN AGROINDUSTRIAL DEL OCCIDENTE ANTIOQUEÑO - PAP</v>
          </cell>
          <cell r="D65" t="str">
            <v>Peque</v>
          </cell>
          <cell r="E65">
            <v>6</v>
          </cell>
          <cell r="F65" t="str">
            <v>G4</v>
          </cell>
          <cell r="G65">
            <v>0</v>
          </cell>
          <cell r="H65" t="str">
            <v>PROVINCIA ADMINISTRATIVA Y DE PLANIFICACIÓN AGROINDUSTRIAL DEL OCCIDENTE ANTIOQUEÑO</v>
          </cell>
          <cell r="I65" t="str">
            <v>Región de Planeación y Gestión de Occidente</v>
          </cell>
          <cell r="J65" t="str">
            <v>A la fecha no ha conformado un EAT Área Metropolitana</v>
          </cell>
          <cell r="K65" t="str">
            <v>ASOCIACION DE MUNICIPIOS DEL OCCIDENTE ANTIOQUEÑO - AMOCCIDENTE</v>
          </cell>
        </row>
        <row r="66">
          <cell r="A66" t="str">
            <v>05628</v>
          </cell>
          <cell r="B66" t="str">
            <v>Occidente</v>
          </cell>
          <cell r="C66" t="str">
            <v>ASOCIACION DE MUNICIPIOS DEL OCCIDENTE ANTIOQUEÑO - AMOCCIDENTE
PROVINCIA ADMINISTRATIVA Y DE PLANIFICACIÓN TURÍSTICA Y AGROECOLÓGICA DEL OCCIDENTE ANTIOQUEÑO - PAP</v>
          </cell>
          <cell r="D66" t="str">
            <v>Sabanalarga</v>
          </cell>
          <cell r="E66">
            <v>6</v>
          </cell>
          <cell r="F66" t="str">
            <v>G4</v>
          </cell>
          <cell r="G66">
            <v>0</v>
          </cell>
          <cell r="H66" t="str">
            <v>PROVINCIA ADMINISTRATIVA Y DE PLANIFICACIÓN TURÍSTICA Y AGROECOLÓGICA DEL OCCIDENTE ANTIOQUEÑO</v>
          </cell>
          <cell r="I66" t="str">
            <v>A la fecha no ha conformado un EAT Región</v>
          </cell>
          <cell r="J66" t="str">
            <v>A la fecha no ha conformado un EAT Área Metropolitana</v>
          </cell>
          <cell r="K66" t="str">
            <v>ASOCIACION DE MUNICIPIOS DEL OCCIDENTE ANTIOQUEÑO - AMOCCIDENTE</v>
          </cell>
        </row>
        <row r="67">
          <cell r="A67" t="str">
            <v>05656</v>
          </cell>
          <cell r="B67" t="str">
            <v>Occidente</v>
          </cell>
          <cell r="C67" t="str">
            <v>Región de Planeación y Gestión de Occidente - RPG
ASOCIACION DE MUNICIPIOS DEL OCCIDENTE ANTIOQUEÑO - AMOCCIDENTE
PROVINCIA ADMINISTRATIVA Y DE PLANIFICACIÓN TURÍSTICA Y AGROECOLÓGICA DEL OCCIDENTE ANTIOQUEÑO - PAP</v>
          </cell>
          <cell r="D67" t="str">
            <v>San Jerónimo</v>
          </cell>
          <cell r="E67">
            <v>6</v>
          </cell>
          <cell r="F67" t="str">
            <v>G1</v>
          </cell>
          <cell r="G67">
            <v>0</v>
          </cell>
          <cell r="H67" t="str">
            <v>PROVINCIA ADMINISTRATIVA Y DE PLANIFICACIÓN TURÍSTICA Y AGROECOLÓGICA DEL OCCIDENTE ANTIOQUEÑO</v>
          </cell>
          <cell r="I67" t="str">
            <v>Región de Planeación y Gestión de Occidente</v>
          </cell>
          <cell r="J67" t="str">
            <v>A la fecha no ha conformado un EAT Área Metropolitana</v>
          </cell>
          <cell r="K67" t="str">
            <v>ASOCIACION DE MUNICIPIOS DEL OCCIDENTE ANTIOQUEÑO - AMOCCIDENTE</v>
          </cell>
        </row>
        <row r="68">
          <cell r="A68" t="str">
            <v>05761</v>
          </cell>
          <cell r="B68" t="str">
            <v>Occidente</v>
          </cell>
          <cell r="C68" t="str">
            <v>ASOCIACION DE MUNICIPIOS DEL OCCIDENTE ANTIOQUEÑO - AMOCCIDENTE</v>
          </cell>
          <cell r="D68" t="str">
            <v>Sopetrán</v>
          </cell>
          <cell r="E68">
            <v>6</v>
          </cell>
          <cell r="F68" t="str">
            <v>G2</v>
          </cell>
          <cell r="G68">
            <v>0</v>
          </cell>
          <cell r="H68" t="str">
            <v>A la fecha no ha conformado un EAT Provincia</v>
          </cell>
          <cell r="I68" t="str">
            <v>A la fecha no ha conformado un EAT Región</v>
          </cell>
          <cell r="J68" t="str">
            <v>A la fecha no ha conformado un EAT Área Metropolitana</v>
          </cell>
          <cell r="K68" t="str">
            <v>ASOCIACION DE MUNICIPIOS DEL OCCIDENTE ANTIOQUEÑO - AMOCCIDENTE</v>
          </cell>
        </row>
        <row r="69">
          <cell r="A69" t="str">
            <v>05842</v>
          </cell>
          <cell r="B69" t="str">
            <v>Occidente</v>
          </cell>
          <cell r="C69" t="str">
            <v>Región de Planeación y Gestión de Occidente - RPG
ASOCIACION DE MUNICIPIOS DEL OCCIDENTE ANTIOQUEÑO - AMOCCIDENTE
PROVINCIA ADMINISTRATIVA Y DE PLANIFICACIÓN AGROINDUSTRIAL DEL OCCIDENTE ANTIOQUEÑO - PAP</v>
          </cell>
          <cell r="D69" t="str">
            <v>Uramita</v>
          </cell>
          <cell r="E69">
            <v>6</v>
          </cell>
          <cell r="F69" t="str">
            <v>G4</v>
          </cell>
          <cell r="G69">
            <v>0</v>
          </cell>
          <cell r="H69" t="str">
            <v>PROVINCIA ADMINISTRATIVA Y DE PLANIFICACIÓN AGROINDUSTRIAL DEL OCCIDENTE ANTIOQUEÑO</v>
          </cell>
          <cell r="I69" t="str">
            <v>Región de Planeación y Gestión de Occidente</v>
          </cell>
          <cell r="J69" t="str">
            <v>A la fecha no ha conformado un EAT Área Metropolitana</v>
          </cell>
          <cell r="K69" t="str">
            <v>ASOCIACION DE MUNICIPIOS DEL OCCIDENTE ANTIOQUEÑO - AMOCCIDENTE</v>
          </cell>
        </row>
        <row r="70">
          <cell r="A70" t="str">
            <v>05002</v>
          </cell>
          <cell r="B70" t="str">
            <v>Oriente</v>
          </cell>
          <cell r="C70" t="str">
            <v>MUNICIPIOS UNIDOS DEL SUR DE ANTIOQUIA - MUSA</v>
          </cell>
          <cell r="D70" t="str">
            <v>Abejorral</v>
          </cell>
          <cell r="E70">
            <v>6</v>
          </cell>
          <cell r="F70" t="str">
            <v>G4</v>
          </cell>
          <cell r="G70">
            <v>0</v>
          </cell>
          <cell r="H70" t="str">
            <v>PROVINCIA ADMINISTRATIVA Y DE PLANIFICACION DE LA PAZ</v>
          </cell>
          <cell r="I70" t="str">
            <v>A la fecha no ha conformado un EAT Región</v>
          </cell>
          <cell r="J70" t="str">
            <v>A la fecha no ha conformado un EAT Área Metropolitana</v>
          </cell>
          <cell r="K70" t="str">
            <v>MUNICIPIOS UNIDOS DEL SUR DE ANTIOQUIA - MUSA</v>
          </cell>
        </row>
        <row r="71">
          <cell r="A71" t="str">
            <v>05021</v>
          </cell>
          <cell r="B71" t="str">
            <v>Oriente</v>
          </cell>
          <cell r="C71" t="str">
            <v>PROVINCIA ADMINISTRATIVA Y DE PLANIFICACION DEL AGUA, BOSQUES Y EL TURISMO - PAP</v>
          </cell>
          <cell r="D71" t="str">
            <v>Alejandría</v>
          </cell>
          <cell r="E71">
            <v>6</v>
          </cell>
          <cell r="F71" t="str">
            <v>G2</v>
          </cell>
          <cell r="G71">
            <v>0</v>
          </cell>
          <cell r="H71" t="str">
            <v>PROVINCIA ADMINISTRATIVA Y DE PLANIFICACION DEL AGUA, BOSQUES Y EL TURISMO</v>
          </cell>
          <cell r="I71" t="str">
            <v>A la fecha no ha conformado un EAT Región</v>
          </cell>
          <cell r="J71" t="str">
            <v>A la fecha no ha conformado un EAT Área Metropolitana</v>
          </cell>
          <cell r="K71" t="str">
            <v>A la fecha no ha conformado un EAT asociación - unión</v>
          </cell>
        </row>
        <row r="72">
          <cell r="A72" t="str">
            <v>05055</v>
          </cell>
          <cell r="B72" t="str">
            <v>Oriente</v>
          </cell>
          <cell r="C72" t="str">
            <v>PROVINCIA ADMINISTRATIVA Y DE PLANIFICACION DE LA PAZ - PAP
MUNICIPIOS UNIDOS DEL SUR DE ANTIOQUIA - MUSA</v>
          </cell>
          <cell r="D72" t="str">
            <v>Argelia</v>
          </cell>
          <cell r="E72">
            <v>6</v>
          </cell>
          <cell r="F72" t="str">
            <v>G4</v>
          </cell>
          <cell r="G72">
            <v>0</v>
          </cell>
          <cell r="H72" t="str">
            <v>PROVINCIA ADMINISTRATIVA Y DE PLANIFICACION DE LA PAZ</v>
          </cell>
          <cell r="I72" t="str">
            <v>A la fecha no ha conformado un EAT Región</v>
          </cell>
          <cell r="J72" t="str">
            <v>A la fecha no ha conformado un EAT Área Metropolitana</v>
          </cell>
          <cell r="K72" t="str">
            <v>MUNICIPIOS UNIDOS DEL SUR DE ANTIOQUIA - MUSA</v>
          </cell>
        </row>
        <row r="73">
          <cell r="A73" t="str">
            <v>05148</v>
          </cell>
          <cell r="B73" t="str">
            <v>Oriente</v>
          </cell>
          <cell r="C73" t="str">
            <v>MUNICIPIOS ASOCIADOS DEL ALTIPLANO DEL ORIENTE ANTIOQUEÑO - MASORA
En proceso de constitución un Area Metropolitana</v>
          </cell>
          <cell r="D73" t="str">
            <v>El Carmen De Viboral</v>
          </cell>
          <cell r="E73">
            <v>3</v>
          </cell>
          <cell r="F73" t="str">
            <v>G1</v>
          </cell>
          <cell r="G73">
            <v>0</v>
          </cell>
          <cell r="H73" t="str">
            <v>A la fecha no ha conformado un EAT Provincia</v>
          </cell>
          <cell r="I73" t="str">
            <v>A la fecha no ha conformado un EAT Región</v>
          </cell>
          <cell r="J73" t="str">
            <v>A la fecha no ha conformado un EAT Área Metropolitana</v>
          </cell>
          <cell r="K73" t="str">
            <v>MUNICIPIOS ASOCIADOS DEL ALTIPLANO DEL ORIENTE ANTIOQUEÑO - MASORA</v>
          </cell>
        </row>
        <row r="74">
          <cell r="A74" t="str">
            <v>05197</v>
          </cell>
          <cell r="B74" t="str">
            <v>Oriente</v>
          </cell>
          <cell r="C74" t="str">
            <v>PROVINCIA ADMINISTRATIVA Y DE PLANIFICACION DEL AGUA, BOSQUES Y EL TURISMO - PAP
CORPOBOSQUES</v>
          </cell>
          <cell r="D74" t="str">
            <v>Cocorná</v>
          </cell>
          <cell r="E74">
            <v>6</v>
          </cell>
          <cell r="F74" t="str">
            <v>G3</v>
          </cell>
          <cell r="G74">
            <v>0</v>
          </cell>
          <cell r="H74" t="str">
            <v>PROVINCIA ADMINISTRATIVA Y DE PLANIFICACION DEL AGUA, BOSQUES Y EL TURISMO</v>
          </cell>
          <cell r="I74" t="str">
            <v>A la fecha no ha conformado un EAT Región</v>
          </cell>
          <cell r="J74" t="str">
            <v>A la fecha no ha conformado un EAT Área Metropolitana</v>
          </cell>
          <cell r="K74" t="str">
            <v>A la fecha no ha conformado un EAT asociación - unión</v>
          </cell>
        </row>
        <row r="75">
          <cell r="A75" t="str">
            <v>05206</v>
          </cell>
          <cell r="B75" t="str">
            <v>Oriente</v>
          </cell>
          <cell r="C75" t="str">
            <v>PROVINCIA ADMINISTRATIVA Y DE PLANIFICACION DEL AGUA, BOSQUES Y EL TURISMO - PAP</v>
          </cell>
          <cell r="D75" t="str">
            <v>Concepción</v>
          </cell>
          <cell r="E75">
            <v>6</v>
          </cell>
          <cell r="F75" t="str">
            <v>G3</v>
          </cell>
          <cell r="G75">
            <v>0</v>
          </cell>
          <cell r="H75" t="str">
            <v>PROVINCIA ADMINISTRATIVA Y DE PLANIFICACION DEL AGUA, BOSQUES Y EL TURISMO</v>
          </cell>
          <cell r="I75" t="str">
            <v>A la fecha no ha conformado un EAT Región</v>
          </cell>
          <cell r="J75" t="str">
            <v>A la fecha no ha conformado un EAT Área Metropolitana</v>
          </cell>
          <cell r="K75" t="str">
            <v>A la fecha no ha conformado un EAT asociación - unión</v>
          </cell>
        </row>
        <row r="76">
          <cell r="A76" t="str">
            <v>05313</v>
          </cell>
          <cell r="B76" t="str">
            <v>Oriente</v>
          </cell>
          <cell r="C76" t="str">
            <v>PROVINCIA ADMINISTRATIVA Y DE PLANIFICACION DEL AGUA, BOSQUES Y EL TURISMO - PAP
CORPOBOSQUES</v>
          </cell>
          <cell r="D76" t="str">
            <v>Granada</v>
          </cell>
          <cell r="E76">
            <v>6</v>
          </cell>
          <cell r="F76" t="str">
            <v>G4</v>
          </cell>
          <cell r="G76">
            <v>0</v>
          </cell>
          <cell r="H76" t="str">
            <v>PROVINCIA ADMINISTRATIVA Y DE PLANIFICACION DEL AGUA, BOSQUES Y EL TURISMO</v>
          </cell>
          <cell r="I76" t="str">
            <v>A la fecha no ha conformado un EAT Región</v>
          </cell>
          <cell r="J76" t="str">
            <v>A la fecha no ha conformado un EAT Área Metropolitana</v>
          </cell>
          <cell r="K76" t="str">
            <v>A la fecha no ha conformado un EAT asociación - unión</v>
          </cell>
        </row>
        <row r="77">
          <cell r="A77" t="str">
            <v>05318</v>
          </cell>
          <cell r="B77" t="str">
            <v>Oriente</v>
          </cell>
          <cell r="C77" t="str">
            <v>MUNICIPIOS ASOCIADOS DEL ALTIPLANO DEL ORIENTE ANTIOQUEÑO - MASORA
En proceso de constitución un Area Metropolitana</v>
          </cell>
          <cell r="D77" t="str">
            <v>Guarne</v>
          </cell>
          <cell r="E77">
            <v>2</v>
          </cell>
          <cell r="F77" t="str">
            <v>G1</v>
          </cell>
          <cell r="G77">
            <v>0</v>
          </cell>
          <cell r="H77" t="str">
            <v>A la fecha no ha conformado un EAT Provincia</v>
          </cell>
          <cell r="I77" t="str">
            <v>A la fecha no ha conformado un EAT Región</v>
          </cell>
          <cell r="J77" t="str">
            <v>A la fecha no ha conformado un EAT Área Metropolitana</v>
          </cell>
          <cell r="K77" t="str">
            <v>MUNICIPIOS ASOCIADOS DEL ALTIPLANO DEL ORIENTE ANTIOQUEÑO - MASORA</v>
          </cell>
        </row>
        <row r="78">
          <cell r="A78" t="str">
            <v>05321</v>
          </cell>
          <cell r="B78" t="str">
            <v>Oriente</v>
          </cell>
          <cell r="C78" t="str">
            <v>PROVINCIA ADMINISTRATIVA Y DE PLANIFICACION DEL AGUA, BOSQUES Y EL TURISMO - PAP</v>
          </cell>
          <cell r="D78" t="str">
            <v>Guatapé</v>
          </cell>
          <cell r="E78">
            <v>6</v>
          </cell>
          <cell r="F78" t="str">
            <v>G1</v>
          </cell>
          <cell r="G78">
            <v>0</v>
          </cell>
          <cell r="H78" t="str">
            <v>PROVINCIA ADMINISTRATIVA Y DE PLANIFICACION DEL AGUA, BOSQUES Y EL TURISMO</v>
          </cell>
          <cell r="I78" t="str">
            <v>A la fecha no ha conformado un EAT Región</v>
          </cell>
          <cell r="J78" t="str">
            <v>A la fecha no ha conformado un EAT Área Metropolitana</v>
          </cell>
          <cell r="K78" t="str">
            <v>A la fecha no ha conformado un EAT asociación - unión</v>
          </cell>
        </row>
        <row r="79">
          <cell r="A79" t="str">
            <v>05376</v>
          </cell>
          <cell r="B79" t="str">
            <v>Oriente</v>
          </cell>
          <cell r="C79" t="str">
            <v>Región de Planeación y Gestión Aeroportuaria de Oriente - RPG
MUNICIPIOS ASOCIADOS DEL ALTIPLANO DEL ORIENTE ANTIOQUEÑO - MASORA
En proceso de constitución un Area Metropolitana</v>
          </cell>
          <cell r="D79" t="str">
            <v>La Ceja del Tambo</v>
          </cell>
          <cell r="E79">
            <v>3</v>
          </cell>
          <cell r="F79" t="str">
            <v>G1</v>
          </cell>
          <cell r="G79">
            <v>0</v>
          </cell>
          <cell r="H79" t="str">
            <v>A la fecha no ha conformado un EAT Provincia</v>
          </cell>
          <cell r="I79" t="str">
            <v>Región de Planeación y Gestión Aeroportuaria de Oriente</v>
          </cell>
          <cell r="J79" t="str">
            <v>A la fecha no ha conformado un EAT Área Metropolitana</v>
          </cell>
          <cell r="K79" t="str">
            <v>MUNICIPIOS ASOCIADOS DEL ALTIPLANO DEL ORIENTE ANTIOQUEÑO - MASORA</v>
          </cell>
        </row>
        <row r="80">
          <cell r="A80" t="str">
            <v>05400</v>
          </cell>
          <cell r="B80" t="str">
            <v>Oriente</v>
          </cell>
          <cell r="C80" t="str">
            <v>PROVINCIA ADMINISTRATIVA Y DE PLANIFICACION DE LA PAZ - PAP
MUNICIPIOS ASOCIADOS DEL ALTIPLANO DEL ORIENTE ANTIOQUEÑO - MASORA
Región de Planeación y Gestión Aeroportuaria de Oriente - RPG
En proceso de constitución un Area Metropolitana</v>
          </cell>
          <cell r="D80" t="str">
            <v>La Unión</v>
          </cell>
          <cell r="E80">
            <v>6</v>
          </cell>
          <cell r="F80" t="str">
            <v>G2</v>
          </cell>
          <cell r="G80">
            <v>0</v>
          </cell>
          <cell r="H80" t="str">
            <v>PROVINCIA ADMINISTRATIVA Y DE PLANIFICACION DE LA PAZ</v>
          </cell>
          <cell r="I80" t="str">
            <v>Región de Planeación y Gestión Aeroportuaria de Oriente</v>
          </cell>
          <cell r="J80" t="str">
            <v>A la fecha no ha conformado un EAT Área Metropolitana</v>
          </cell>
          <cell r="K80" t="str">
            <v>MUNICIPIOS ASOCIADOS DEL ALTIPLANO DEL ORIENTE ANTIOQUEÑO - MASORA</v>
          </cell>
        </row>
        <row r="81">
          <cell r="A81" t="str">
            <v>05440</v>
          </cell>
          <cell r="B81" t="str">
            <v>Oriente</v>
          </cell>
          <cell r="C81" t="str">
            <v>PROVINCIA ADMINISTRATIVA Y DE PLANIFICACION DEL AGUA, BOSQUES Y EL TURISMO - PAP
MUNICIPIOS ASOCIADOS DEL ALTIPLANO DEL ORIENTE ANTIOQUEÑO - MASORA
En proceso de constitución un Area Metropolitana</v>
          </cell>
          <cell r="D81" t="str">
            <v>Marinilla</v>
          </cell>
          <cell r="E81">
            <v>3</v>
          </cell>
          <cell r="F81" t="str">
            <v>G1</v>
          </cell>
          <cell r="G81">
            <v>0</v>
          </cell>
          <cell r="H81" t="str">
            <v>PROVINCIA ADMINISTRATIVA Y DE PLANIFICACION DEL AGUA, BOSQUES Y EL TURISMO</v>
          </cell>
          <cell r="I81" t="str">
            <v>A la fecha no ha conformado un EAT Región</v>
          </cell>
          <cell r="J81" t="str">
            <v>A la fecha no ha conformado un EAT Área Metropolitana</v>
          </cell>
          <cell r="K81" t="str">
            <v>MUNICIPIOS ASOCIADOS DEL ALTIPLANO DEL ORIENTE ANTIOQUEÑO - MASORA</v>
          </cell>
        </row>
        <row r="82">
          <cell r="A82" t="str">
            <v>05483</v>
          </cell>
          <cell r="B82" t="str">
            <v>Oriente</v>
          </cell>
          <cell r="C82" t="str">
            <v>PROVINCIA ADMINISTRATIVA Y DE PLANIFICACION DE LA PAZ - PAP
MUNICIPIOS UNIDOS DEL SUR DE ANTIOQUIA - MUSA</v>
          </cell>
          <cell r="D82" t="str">
            <v>Nariño</v>
          </cell>
          <cell r="E82">
            <v>6</v>
          </cell>
          <cell r="F82" t="str">
            <v>G4</v>
          </cell>
          <cell r="G82">
            <v>0</v>
          </cell>
          <cell r="H82" t="str">
            <v>PROVINCIA ADMINISTRATIVA Y DE PLANIFICACION DE LA PAZ</v>
          </cell>
          <cell r="I82" t="str">
            <v>A la fecha no ha conformado un EAT Región</v>
          </cell>
          <cell r="J82" t="str">
            <v>A la fecha no ha conformado un EAT Área Metropolitana</v>
          </cell>
          <cell r="K82" t="str">
            <v>MUNICIPIOS UNIDOS DEL SUR DE ANTIOQUIA - MUSA</v>
          </cell>
        </row>
        <row r="83">
          <cell r="A83" t="str">
            <v>05541</v>
          </cell>
          <cell r="B83" t="str">
            <v>Oriente</v>
          </cell>
          <cell r="C83" t="str">
            <v>PROVINCIA ADMINISTRATIVA Y DE PLANIFICACION DEL AGUA, BOSQUES Y EL TURISMO - PAP</v>
          </cell>
          <cell r="D83" t="str">
            <v>El Peñol</v>
          </cell>
          <cell r="E83">
            <v>6</v>
          </cell>
          <cell r="F83" t="str">
            <v>G2</v>
          </cell>
          <cell r="G83">
            <v>0</v>
          </cell>
          <cell r="H83" t="str">
            <v>PROVINCIA ADMINISTRATIVA Y DE PLANIFICACION DEL AGUA, BOSQUES Y EL TURISMO</v>
          </cell>
          <cell r="I83" t="str">
            <v>A la fecha no ha conformado un EAT Región</v>
          </cell>
          <cell r="J83" t="str">
            <v>A la fecha no ha conformado un EAT Área Metropolitana</v>
          </cell>
          <cell r="K83" t="str">
            <v>A la fecha no ha conformado un EAT asociación - unión</v>
          </cell>
        </row>
        <row r="84">
          <cell r="A84" t="str">
            <v>05607</v>
          </cell>
          <cell r="B84" t="str">
            <v>Oriente</v>
          </cell>
          <cell r="C84" t="str">
            <v>MUNICIPIOS ASOCIADOS DEL ALTIPLANO DEL ORIENTE ANTIOQUEÑO - MASORA
En proceso de constitución un Area Metropolitana</v>
          </cell>
          <cell r="D84" t="str">
            <v>El Retiro</v>
          </cell>
          <cell r="E84">
            <v>3</v>
          </cell>
          <cell r="F84" t="str">
            <v>G1</v>
          </cell>
          <cell r="G84">
            <v>0</v>
          </cell>
          <cell r="H84" t="str">
            <v>A la fecha no ha conformado un EAT Provincia</v>
          </cell>
          <cell r="I84" t="str">
            <v>A la fecha no ha conformado un EAT Región</v>
          </cell>
          <cell r="J84" t="str">
            <v>A la fecha no ha conformado un EAT Área Metropolitana</v>
          </cell>
          <cell r="K84" t="str">
            <v>MUNICIPIOS ASOCIADOS DEL ALTIPLANO DEL ORIENTE ANTIOQUEÑO - MASORA</v>
          </cell>
        </row>
        <row r="85">
          <cell r="A85" t="str">
            <v>05615</v>
          </cell>
          <cell r="B85" t="str">
            <v>Oriente</v>
          </cell>
          <cell r="C85" t="str">
            <v>Región de Planeación y Gestión Aeroportuaria de Oriente - RPG
MUNICIPIOS ASOCIADOS DEL ALTIPLANO DEL ORIENTE ANTIOQUEÑO - MASORA
En proceso de constitución un Area Metropolitana</v>
          </cell>
          <cell r="D85" t="str">
            <v>Rionegro</v>
          </cell>
          <cell r="E85">
            <v>1</v>
          </cell>
          <cell r="F85" t="str">
            <v>G1</v>
          </cell>
          <cell r="G85">
            <v>0</v>
          </cell>
          <cell r="H85" t="str">
            <v>A la fecha no ha conformado un EAT Provincia</v>
          </cell>
          <cell r="I85" t="str">
            <v>Región de Planeación y Gestión Aeroportuaria de Oriente</v>
          </cell>
          <cell r="J85" t="str">
            <v>A la fecha no ha conformado un EAT Área Metropolitana</v>
          </cell>
          <cell r="K85" t="str">
            <v>MUNICIPIOS ASOCIADOS DEL ALTIPLANO DEL ORIENTE ANTIOQUEÑO - MASORA</v>
          </cell>
        </row>
        <row r="86">
          <cell r="A86" t="str">
            <v>05649</v>
          </cell>
          <cell r="B86" t="str">
            <v>Oriente</v>
          </cell>
          <cell r="C86" t="str">
            <v>PROVINCIA ADMINISTRATIVA Y DE PLANIFICACION DEL AGUA, BOSQUES Y EL TURISMO - PAP</v>
          </cell>
          <cell r="D86" t="str">
            <v>San Carlos</v>
          </cell>
          <cell r="E86">
            <v>6</v>
          </cell>
          <cell r="F86" t="str">
            <v>G1</v>
          </cell>
          <cell r="G86">
            <v>0</v>
          </cell>
          <cell r="H86" t="str">
            <v>PROVINCIA ADMINISTRATIVA Y DE PLANIFICACION DEL AGUA, BOSQUES Y EL TURISMO</v>
          </cell>
          <cell r="I86" t="str">
            <v>A la fecha no ha conformado un EAT Región</v>
          </cell>
          <cell r="J86" t="str">
            <v>A la fecha no ha conformado un EAT Área Metropolitana</v>
          </cell>
          <cell r="K86" t="str">
            <v>A la fecha no ha conformado un EAT asociación - unión</v>
          </cell>
        </row>
        <row r="87">
          <cell r="A87" t="str">
            <v>05652</v>
          </cell>
          <cell r="B87" t="str">
            <v>Oriente</v>
          </cell>
          <cell r="C87" t="str">
            <v>PROVINCIA ADMINISTRATIVA Y DE PLANIFICACION DEL AGUA, BOSQUES Y EL TURISMO - PAP
CORPOBOSQUES</v>
          </cell>
          <cell r="D87" t="str">
            <v>San Francisco</v>
          </cell>
          <cell r="E87">
            <v>6</v>
          </cell>
          <cell r="F87" t="str">
            <v>G3</v>
          </cell>
          <cell r="G87">
            <v>0</v>
          </cell>
          <cell r="H87" t="str">
            <v>PROVINCIA ADMINISTRATIVA Y DE PLANIFICACION DEL AGUA, BOSQUES Y EL TURISMO</v>
          </cell>
          <cell r="I87" t="str">
            <v>A la fecha no ha conformado un EAT Región</v>
          </cell>
          <cell r="J87" t="str">
            <v>A la fecha no ha conformado un EAT Área Metropolitana</v>
          </cell>
          <cell r="K87" t="str">
            <v>A la fecha no ha conformado un EAT asociación - unión</v>
          </cell>
        </row>
        <row r="88">
          <cell r="A88" t="str">
            <v>05660</v>
          </cell>
          <cell r="B88" t="str">
            <v>Oriente</v>
          </cell>
          <cell r="C88" t="str">
            <v>PROVINCIA ADMINISTRATIVA Y DE PLANIFICACION DEL AGUA, BOSQUES Y EL TURISMO - PAP
CORPOBOSQUES</v>
          </cell>
          <cell r="D88" t="str">
            <v>San Luis</v>
          </cell>
          <cell r="E88">
            <v>6</v>
          </cell>
          <cell r="F88" t="str">
            <v>G3</v>
          </cell>
          <cell r="G88">
            <v>0</v>
          </cell>
          <cell r="H88" t="str">
            <v>PROVINCIA ADMINISTRATIVA Y DE PLANIFICACION DEL AGUA, BOSQUES Y EL TURISMO</v>
          </cell>
          <cell r="I88" t="str">
            <v>A la fecha no ha conformado un EAT Región</v>
          </cell>
          <cell r="J88" t="str">
            <v>A la fecha no ha conformado un EAT Área Metropolitana</v>
          </cell>
          <cell r="K88" t="str">
            <v>A la fecha no ha conformado un EAT asociación - unión</v>
          </cell>
        </row>
        <row r="89">
          <cell r="A89" t="str">
            <v>05667</v>
          </cell>
          <cell r="B89" t="str">
            <v>Oriente</v>
          </cell>
          <cell r="C89" t="str">
            <v>PROVINCIA ADMINISTRATIVA Y DE PLANIFICACION DEL AGUA, BOSQUES Y EL TURISMO - PAP</v>
          </cell>
          <cell r="D89" t="str">
            <v>San Rafael</v>
          </cell>
          <cell r="E89">
            <v>6</v>
          </cell>
          <cell r="F89" t="str">
            <v>G3</v>
          </cell>
          <cell r="G89">
            <v>0</v>
          </cell>
          <cell r="H89" t="str">
            <v>PROVINCIA ADMINISTRATIVA Y DE PLANIFICACION DEL AGUA, BOSQUES Y EL TURISMO</v>
          </cell>
          <cell r="I89" t="str">
            <v>A la fecha no ha conformado un EAT Región</v>
          </cell>
          <cell r="J89" t="str">
            <v>A la fecha no ha conformado un EAT Área Metropolitana</v>
          </cell>
          <cell r="K89" t="str">
            <v>A la fecha no ha conformado un EAT asociación - unión</v>
          </cell>
        </row>
        <row r="90">
          <cell r="A90" t="str">
            <v>05674</v>
          </cell>
          <cell r="B90" t="str">
            <v>Oriente</v>
          </cell>
          <cell r="C90" t="str">
            <v>PROVINCIA ADMINISTRATIVA Y DE PLANIFICACION DEL AGUA, BOSQUES Y EL TURISMO - PAP
MUNICIPIOS ASOCIADOS DEL ALTIPLANO DEL ORIENTE ANTIOQUEÑO - MASORA
En proceso de constitución un Area Metropolitana</v>
          </cell>
          <cell r="D90" t="str">
            <v>San Vicente Ferrer</v>
          </cell>
          <cell r="E90">
            <v>6</v>
          </cell>
          <cell r="F90" t="str">
            <v>G3</v>
          </cell>
          <cell r="G90">
            <v>0</v>
          </cell>
          <cell r="H90" t="str">
            <v>PROVINCIA ADMINISTRATIVA Y DE PLANIFICACION DEL AGUA, BOSQUES Y EL TURISMO</v>
          </cell>
          <cell r="I90" t="str">
            <v>A la fecha no ha conformado un EAT Región</v>
          </cell>
          <cell r="J90" t="str">
            <v>A la fecha no ha conformado un EAT Área Metropolitana</v>
          </cell>
          <cell r="K90" t="str">
            <v>MUNICIPIOS ASOCIADOS DEL ALTIPLANO DEL ORIENTE ANTIOQUEÑO - MASORA</v>
          </cell>
        </row>
        <row r="91">
          <cell r="A91" t="str">
            <v>05697</v>
          </cell>
          <cell r="B91" t="str">
            <v>Oriente</v>
          </cell>
          <cell r="C91" t="str">
            <v>Región de Planeación y Gestión Aeroportuaria de Oriente - RPG
MUNICIPIOS ASOCIADOS DEL ALTIPLANO DEL ORIENTE ANTIOQUEÑO - MASORA
En proceso de constitución un Area Metropolitana</v>
          </cell>
          <cell r="D91" t="str">
            <v>El Santuario</v>
          </cell>
          <cell r="E91">
            <v>6</v>
          </cell>
          <cell r="F91" t="str">
            <v>G2</v>
          </cell>
          <cell r="G91">
            <v>0</v>
          </cell>
          <cell r="H91" t="str">
            <v>A la fecha no ha conformado un EAT Provincia</v>
          </cell>
          <cell r="I91" t="str">
            <v>Región de Planeación y Gestión Aeroportuaria de Oriente</v>
          </cell>
          <cell r="J91" t="str">
            <v>A la fecha no ha conformado un EAT Área Metropolitana</v>
          </cell>
          <cell r="K91" t="str">
            <v>MUNICIPIOS ASOCIADOS DEL ALTIPLANO DEL ORIENTE ANTIOQUEÑO - MASORA</v>
          </cell>
        </row>
        <row r="92">
          <cell r="A92" t="str">
            <v>05756</v>
          </cell>
          <cell r="B92" t="str">
            <v>Oriente</v>
          </cell>
          <cell r="C92" t="str">
            <v>PROVINCIA ADMINISTRATIVA Y DE PLANIFICACION DE LA PAZ - PAP
MUNICIPIOS UNIDOS DEL SUR DE ANTIOQUIA - MUSA</v>
          </cell>
          <cell r="D92" t="str">
            <v>Sonsón</v>
          </cell>
          <cell r="E92">
            <v>5</v>
          </cell>
          <cell r="F92" t="str">
            <v>G1</v>
          </cell>
          <cell r="G92">
            <v>0</v>
          </cell>
          <cell r="H92" t="str">
            <v>PROVINCIA ADMINISTRATIVA Y DE PLANIFICACION DE LA PAZ</v>
          </cell>
          <cell r="I92" t="str">
            <v>A la fecha no ha conformado un EAT Región</v>
          </cell>
          <cell r="J92" t="str">
            <v>A la fecha no ha conformado un EAT Área Metropolitana</v>
          </cell>
          <cell r="K92" t="str">
            <v>A la fecha no ha conformado un EAT asociación - unión</v>
          </cell>
        </row>
        <row r="93">
          <cell r="A93" t="str">
            <v>05030</v>
          </cell>
          <cell r="B93" t="str">
            <v>Suroeste</v>
          </cell>
          <cell r="C93" t="str">
            <v>PROVINCIA ADMINISTRATIVA Y DE PLANIFICACION DE PENDERISCO Y SINIFANÁ - PAP</v>
          </cell>
          <cell r="D93" t="str">
            <v>Amagá</v>
          </cell>
          <cell r="E93">
            <v>5</v>
          </cell>
          <cell r="F93" t="str">
            <v>G2</v>
          </cell>
          <cell r="G93">
            <v>0</v>
          </cell>
          <cell r="H93" t="str">
            <v>PROVINCIA ADMINISTRATIVA Y DE PLANIFICACION DE PENDERISCO Y SINIFANÁ</v>
          </cell>
          <cell r="I93" t="str">
            <v>A la fecha no ha conformado un EAT Región</v>
          </cell>
          <cell r="J93" t="str">
            <v>A la fecha no ha conformado un EAT Área Metropolitana</v>
          </cell>
          <cell r="K93" t="str">
            <v>A la fecha no ha conformado un EAT asociación - unión</v>
          </cell>
        </row>
        <row r="94">
          <cell r="A94" t="str">
            <v>05034</v>
          </cell>
          <cell r="B94" t="str">
            <v>Suroeste</v>
          </cell>
          <cell r="C94" t="str">
            <v>PROVINCIA ADMINISTRATIVA DE PLANIFICACION SAN JUAN - PAP</v>
          </cell>
          <cell r="D94" t="str">
            <v>Andes</v>
          </cell>
          <cell r="E94">
            <v>6</v>
          </cell>
          <cell r="F94" t="str">
            <v>G2</v>
          </cell>
          <cell r="G94">
            <v>0</v>
          </cell>
          <cell r="H94" t="str">
            <v>PROVINCIA ADMINISTRATIVA DE PLANIFICACION SAN JUAN</v>
          </cell>
          <cell r="I94" t="str">
            <v>A la fecha no ha conformado un EAT Región</v>
          </cell>
          <cell r="J94" t="str">
            <v>A la fecha no ha conformado un EAT Área Metropolitana</v>
          </cell>
          <cell r="K94" t="str">
            <v>A la fecha no ha conformado un EAT asociación - unión</v>
          </cell>
        </row>
        <row r="95">
          <cell r="A95" t="str">
            <v>05036</v>
          </cell>
          <cell r="B95" t="str">
            <v>Suroeste</v>
          </cell>
          <cell r="C95" t="str">
            <v>PROVINCIA ADMINISTRATIVA Y DE PLANIFICACION DE PENDERISCO Y SINIFANÁ - PAP</v>
          </cell>
          <cell r="D95" t="str">
            <v>Angelópolis</v>
          </cell>
          <cell r="E95">
            <v>6</v>
          </cell>
          <cell r="F95" t="str">
            <v>G2</v>
          </cell>
          <cell r="G95">
            <v>0</v>
          </cell>
          <cell r="H95" t="str">
            <v>PROVINCIA ADMINISTRATIVA Y DE PLANIFICACION DE PENDERISCO Y SINIFANÁ</v>
          </cell>
          <cell r="I95" t="str">
            <v>A la fecha no ha conformado un EAT Región</v>
          </cell>
          <cell r="J95" t="str">
            <v>A la fecha no ha conformado un EAT Área Metropolitana</v>
          </cell>
          <cell r="K95" t="str">
            <v>A la fecha no ha conformado un EAT asociación - unión</v>
          </cell>
        </row>
        <row r="96">
          <cell r="A96" t="str">
            <v>05091</v>
          </cell>
          <cell r="B96" t="str">
            <v>Suroeste</v>
          </cell>
          <cell r="C96" t="str">
            <v>PROVINCIA ADMINISTRATIVA DE PLANIFICACION SAN JUAN - PAP</v>
          </cell>
          <cell r="D96" t="str">
            <v>Betania</v>
          </cell>
          <cell r="E96">
            <v>6</v>
          </cell>
          <cell r="F96" t="str">
            <v>G3</v>
          </cell>
          <cell r="G96">
            <v>0</v>
          </cell>
          <cell r="H96" t="str">
            <v>PROVINCIA ADMINISTRATIVA DE PLANIFICACION SAN JUAN</v>
          </cell>
          <cell r="I96" t="str">
            <v>A la fecha no ha conformado un EAT Región</v>
          </cell>
          <cell r="J96" t="str">
            <v>A la fecha no ha conformado un EAT Área Metropolitana</v>
          </cell>
          <cell r="K96" t="str">
            <v>A la fecha no ha conformado un EAT asociación - unión</v>
          </cell>
        </row>
        <row r="97">
          <cell r="A97" t="str">
            <v>05093</v>
          </cell>
          <cell r="B97" t="str">
            <v>Suroeste</v>
          </cell>
          <cell r="C97" t="str">
            <v>PROVINCIA ADMINISTRATIVA Y DE PLANIFICACION DE PENDERISCO Y SINIFANÁ - PAP</v>
          </cell>
          <cell r="D97" t="str">
            <v>Betulia</v>
          </cell>
          <cell r="E97">
            <v>6</v>
          </cell>
          <cell r="F97" t="str">
            <v>G3</v>
          </cell>
          <cell r="G97">
            <v>0</v>
          </cell>
          <cell r="H97" t="str">
            <v>PROVINCIA ADMINISTRATIVA Y DE PLANIFICACION DE PENDERISCO Y SINIFANÁ</v>
          </cell>
          <cell r="I97" t="str">
            <v>A la fecha no ha conformado un EAT Región</v>
          </cell>
          <cell r="J97" t="str">
            <v>A la fecha no ha conformado un EAT Área Metropolitana</v>
          </cell>
          <cell r="K97" t="str">
            <v>A la fecha no ha conformado un EAT asociación - unión</v>
          </cell>
        </row>
        <row r="98">
          <cell r="A98" t="str">
            <v>05101</v>
          </cell>
          <cell r="B98" t="str">
            <v>Suroeste</v>
          </cell>
          <cell r="C98" t="str">
            <v>PROVINCIA ADMINISTRATIVA DE PLANIFICACION SAN JUAN - PAP</v>
          </cell>
          <cell r="D98" t="str">
            <v>Ciudad Bolívar</v>
          </cell>
          <cell r="E98">
            <v>6</v>
          </cell>
          <cell r="F98" t="str">
            <v>G2</v>
          </cell>
          <cell r="G98">
            <v>0</v>
          </cell>
          <cell r="H98" t="str">
            <v>PROVINCIA ADMINISTRATIVA DE PLANIFICACION SAN JUAN</v>
          </cell>
          <cell r="I98" t="str">
            <v>A la fecha no ha conformado un EAT Región</v>
          </cell>
          <cell r="J98" t="str">
            <v>A la fecha no ha conformado un EAT Área Metropolitana</v>
          </cell>
          <cell r="K98" t="str">
            <v>A la fecha no ha conformado un EAT asociación - unión</v>
          </cell>
        </row>
        <row r="99">
          <cell r="A99" t="str">
            <v>05145</v>
          </cell>
          <cell r="B99" t="str">
            <v>Suroeste</v>
          </cell>
          <cell r="C99" t="str">
            <v>PROVINCIA ADMINISTRATIVA Y PLANIFICACION CARTAMA - PAP</v>
          </cell>
          <cell r="D99" t="str">
            <v>Caramanta</v>
          </cell>
          <cell r="E99">
            <v>6</v>
          </cell>
          <cell r="F99" t="str">
            <v>G3</v>
          </cell>
          <cell r="G99">
            <v>0</v>
          </cell>
          <cell r="H99" t="str">
            <v>PROVINCIA ADMINISTRATIVA Y PLANIFICACION CARTAMA</v>
          </cell>
          <cell r="I99" t="str">
            <v>A la fecha no ha conformado un EAT Región</v>
          </cell>
          <cell r="J99" t="str">
            <v>A la fecha no ha conformado un EAT Área Metropolitana</v>
          </cell>
          <cell r="K99" t="str">
            <v>A la fecha no ha conformado un EAT asociación - unión</v>
          </cell>
        </row>
        <row r="100">
          <cell r="A100" t="str">
            <v>05209</v>
          </cell>
          <cell r="B100" t="str">
            <v>Suroeste</v>
          </cell>
          <cell r="C100" t="str">
            <v>PROVINCIA ADMINISTRATIVA Y DE PLANIFICACION DE PENDERISCO Y SINIFANÁ - PAP</v>
          </cell>
          <cell r="D100" t="str">
            <v>Concordia</v>
          </cell>
          <cell r="E100">
            <v>6</v>
          </cell>
          <cell r="F100" t="str">
            <v>G3</v>
          </cell>
          <cell r="G100">
            <v>0</v>
          </cell>
          <cell r="H100" t="str">
            <v>PROVINCIA ADMINISTRATIVA Y DE PLANIFICACION DE PENDERISCO Y SINIFANÁ</v>
          </cell>
          <cell r="I100" t="str">
            <v>A la fecha no ha conformado un EAT Región</v>
          </cell>
          <cell r="J100" t="str">
            <v>A la fecha no ha conformado un EAT Área Metropolitana</v>
          </cell>
          <cell r="K100" t="str">
            <v>A la fecha no ha conformado un EAT asociación - unión</v>
          </cell>
        </row>
        <row r="101">
          <cell r="A101" t="str">
            <v>05282</v>
          </cell>
          <cell r="B101" t="str">
            <v>Suroeste</v>
          </cell>
          <cell r="C101" t="str">
            <v>PROVINCIA ADMINISTRATIVA Y PLANIFICACION CARTAMA - PAP</v>
          </cell>
          <cell r="D101" t="str">
            <v>Fredonia</v>
          </cell>
          <cell r="E101">
            <v>6</v>
          </cell>
          <cell r="F101" t="str">
            <v>G3</v>
          </cell>
          <cell r="G101">
            <v>0</v>
          </cell>
          <cell r="H101" t="str">
            <v>PROVINCIA ADMINISTRATIVA Y PLANIFICACION CARTAMA</v>
          </cell>
          <cell r="I101" t="str">
            <v>A la fecha no ha conformado un EAT Región</v>
          </cell>
          <cell r="J101" t="str">
            <v>A la fecha no ha conformado un EAT Área Metropolitana</v>
          </cell>
          <cell r="K101" t="str">
            <v>A la fecha no ha conformado un EAT asociación - unión</v>
          </cell>
        </row>
        <row r="102">
          <cell r="A102" t="str">
            <v>05353</v>
          </cell>
          <cell r="B102" t="str">
            <v>Suroeste</v>
          </cell>
          <cell r="C102" t="str">
            <v>PROVINCIA ADMINISTRATIVA DE PLANIFICACION SAN JUAN - PAP</v>
          </cell>
          <cell r="D102" t="str">
            <v>Hispania</v>
          </cell>
          <cell r="E102">
            <v>6</v>
          </cell>
          <cell r="F102" t="str">
            <v>G2</v>
          </cell>
          <cell r="G102">
            <v>0</v>
          </cell>
          <cell r="H102" t="str">
            <v>PROVINCIA ADMINISTRATIVA DE PLANIFICACION SAN JUAN</v>
          </cell>
          <cell r="I102" t="str">
            <v>A la fecha no ha conformado un EAT Región</v>
          </cell>
          <cell r="J102" t="str">
            <v>A la fecha no ha conformado un EAT Área Metropolitana</v>
          </cell>
          <cell r="K102" t="str">
            <v>A la fecha no ha conformado un EAT asociación - unión</v>
          </cell>
        </row>
        <row r="103">
          <cell r="A103" t="str">
            <v>05364</v>
          </cell>
          <cell r="B103" t="str">
            <v>Suroeste</v>
          </cell>
          <cell r="C103" t="str">
            <v>PROVINCIA ADMINISTRATIVA DE PLANIFICACION SAN JUAN - PAP</v>
          </cell>
          <cell r="D103" t="str">
            <v>Jardín</v>
          </cell>
          <cell r="E103">
            <v>6</v>
          </cell>
          <cell r="F103" t="str">
            <v>G3</v>
          </cell>
          <cell r="G103">
            <v>0</v>
          </cell>
          <cell r="H103" t="str">
            <v>PROVINCIA ADMINISTRATIVA DE PLANIFICACION SAN JUAN</v>
          </cell>
          <cell r="I103" t="str">
            <v>A la fecha no ha conformado un EAT Región</v>
          </cell>
          <cell r="J103" t="str">
            <v>A la fecha no ha conformado un EAT Área Metropolitana</v>
          </cell>
          <cell r="K103" t="str">
            <v>A la fecha no ha conformado un EAT asociación - unión</v>
          </cell>
        </row>
        <row r="104">
          <cell r="A104" t="str">
            <v>05368</v>
          </cell>
          <cell r="B104" t="str">
            <v>Suroeste</v>
          </cell>
          <cell r="C104" t="str">
            <v>PROVINCIA ADMINISTRATIVA Y PLANIFICACION CARTAMA - PAP</v>
          </cell>
          <cell r="D104" t="str">
            <v>Jericó</v>
          </cell>
          <cell r="E104">
            <v>6</v>
          </cell>
          <cell r="F104" t="str">
            <v>G2</v>
          </cell>
          <cell r="G104">
            <v>0</v>
          </cell>
          <cell r="H104" t="str">
            <v>PROVINCIA ADMINISTRATIVA Y PLANIFICACION CARTAMA</v>
          </cell>
          <cell r="I104" t="str">
            <v>A la fecha no ha conformado un EAT Región</v>
          </cell>
          <cell r="J104" t="str">
            <v>A la fecha no ha conformado un EAT Área Metropolitana</v>
          </cell>
          <cell r="K104" t="str">
            <v>A la fecha no ha conformado un EAT asociación - unión</v>
          </cell>
        </row>
        <row r="105">
          <cell r="A105" t="str">
            <v>05390</v>
          </cell>
          <cell r="B105" t="str">
            <v>Suroeste</v>
          </cell>
          <cell r="C105" t="str">
            <v>PROVINCIA ADMINISTRATIVA Y PLANIFICACION CARTAMA - PAP</v>
          </cell>
          <cell r="D105" t="str">
            <v>La Pintada</v>
          </cell>
          <cell r="E105">
            <v>6</v>
          </cell>
          <cell r="F105" t="str">
            <v>G1</v>
          </cell>
          <cell r="G105">
            <v>0</v>
          </cell>
          <cell r="H105" t="str">
            <v>PROVINCIA ADMINISTRATIVA Y PLANIFICACION CARTAMA</v>
          </cell>
          <cell r="I105" t="str">
            <v>A la fecha no ha conformado un EAT Región</v>
          </cell>
          <cell r="J105" t="str">
            <v>A la fecha no ha conformado un EAT Área Metropolitana</v>
          </cell>
          <cell r="K105" t="str">
            <v>A la fecha no ha conformado un EAT asociación - unión</v>
          </cell>
        </row>
        <row r="106">
          <cell r="A106" t="str">
            <v>05467</v>
          </cell>
          <cell r="B106" t="str">
            <v>Suroeste</v>
          </cell>
          <cell r="C106" t="str">
            <v>PROVINCIA ADMINISTRATIVA Y PLANIFICACION CARTAMA - PAP</v>
          </cell>
          <cell r="D106" t="str">
            <v>Montebello</v>
          </cell>
          <cell r="E106">
            <v>6</v>
          </cell>
          <cell r="F106" t="str">
            <v>G3</v>
          </cell>
          <cell r="G106">
            <v>0</v>
          </cell>
          <cell r="H106" t="str">
            <v>PROVINCIA ADMINISTRATIVA Y PLANIFICACION CARTAMA</v>
          </cell>
          <cell r="I106" t="str">
            <v>A la fecha no ha conformado un EAT Región</v>
          </cell>
          <cell r="J106" t="str">
            <v>A la fecha no ha conformado un EAT Área Metropolitana</v>
          </cell>
          <cell r="K106" t="str">
            <v>A la fecha no ha conformado un EAT asociación - unión</v>
          </cell>
        </row>
        <row r="107">
          <cell r="A107" t="str">
            <v>05576</v>
          </cell>
          <cell r="B107" t="str">
            <v>Suroeste</v>
          </cell>
          <cell r="C107" t="str">
            <v>PROVINCIA ADMINISTRATIVA Y PLANIFICACION CARTAMA - PAP</v>
          </cell>
          <cell r="D107" t="str">
            <v>Pueblorrico</v>
          </cell>
          <cell r="E107">
            <v>6</v>
          </cell>
          <cell r="F107" t="str">
            <v>G3</v>
          </cell>
          <cell r="G107">
            <v>0</v>
          </cell>
          <cell r="H107" t="str">
            <v>PROVINCIA ADMINISTRATIVA Y PLANIFICACION CARTAMA</v>
          </cell>
          <cell r="I107" t="str">
            <v>A la fecha no ha conformado un EAT Región</v>
          </cell>
          <cell r="J107" t="str">
            <v>A la fecha no ha conformado un EAT Área Metropolitana</v>
          </cell>
          <cell r="K107" t="str">
            <v>A la fecha no ha conformado un EAT asociación - unión</v>
          </cell>
        </row>
        <row r="108">
          <cell r="A108" t="str">
            <v>05642</v>
          </cell>
          <cell r="B108" t="str">
            <v>Suroeste</v>
          </cell>
          <cell r="C108" t="str">
            <v>PROVINCIA ADMINISTRATIVA DE PLANIFICACION SAN JUAN - PAP</v>
          </cell>
          <cell r="D108" t="str">
            <v>Salgar</v>
          </cell>
          <cell r="E108">
            <v>6</v>
          </cell>
          <cell r="F108" t="str">
            <v>G3</v>
          </cell>
          <cell r="G108">
            <v>0</v>
          </cell>
          <cell r="H108" t="str">
            <v>PROVINCIA ADMINISTRATIVA DE PLANIFICACION SAN JUAN</v>
          </cell>
          <cell r="I108" t="str">
            <v>A la fecha no ha conformado un EAT Región</v>
          </cell>
          <cell r="J108" t="str">
            <v>A la fecha no ha conformado un EAT Área Metropolitana</v>
          </cell>
          <cell r="K108" t="str">
            <v>A la fecha no ha conformado un EAT asociación - unión</v>
          </cell>
        </row>
        <row r="109">
          <cell r="A109" t="str">
            <v>05679</v>
          </cell>
          <cell r="B109" t="str">
            <v>Suroeste</v>
          </cell>
          <cell r="C109" t="str">
            <v>PROVINCIA ADMINISTRATIVA Y PLANIFICACION CARTAMA - PAP</v>
          </cell>
          <cell r="D109" t="str">
            <v>Santa Bárbara</v>
          </cell>
          <cell r="E109">
            <v>6</v>
          </cell>
          <cell r="F109" t="str">
            <v>G3</v>
          </cell>
          <cell r="G109">
            <v>0</v>
          </cell>
          <cell r="H109" t="str">
            <v>PROVINCIA ADMINISTRATIVA Y PLANIFICACION CARTAMA</v>
          </cell>
          <cell r="I109" t="str">
            <v>A la fecha no ha conformado un EAT Región</v>
          </cell>
          <cell r="J109" t="str">
            <v>A la fecha no ha conformado un EAT Área Metropolitana</v>
          </cell>
          <cell r="K109" t="str">
            <v>A la fecha no ha conformado un EAT asociación - unión</v>
          </cell>
        </row>
        <row r="110">
          <cell r="A110" t="str">
            <v>05789</v>
          </cell>
          <cell r="B110" t="str">
            <v>Suroeste</v>
          </cell>
          <cell r="C110" t="str">
            <v>PROVINCIA ADMINISTRATIVA Y PLANIFICACION CARTAMA - PAP</v>
          </cell>
          <cell r="D110" t="str">
            <v>Támesis</v>
          </cell>
          <cell r="E110">
            <v>6</v>
          </cell>
          <cell r="F110" t="str">
            <v>G2</v>
          </cell>
          <cell r="G110">
            <v>0</v>
          </cell>
          <cell r="H110" t="str">
            <v>PROVINCIA ADMINISTRATIVA Y PLANIFICACION CARTAMA</v>
          </cell>
          <cell r="I110" t="str">
            <v>A la fecha no ha conformado un EAT Región</v>
          </cell>
          <cell r="J110" t="str">
            <v>A la fecha no ha conformado un EAT Área Metropolitana</v>
          </cell>
          <cell r="K110" t="str">
            <v>A la fecha no ha conformado un EAT asociación - unión</v>
          </cell>
        </row>
        <row r="111">
          <cell r="A111" t="str">
            <v>05792</v>
          </cell>
          <cell r="B111" t="str">
            <v>Suroeste</v>
          </cell>
          <cell r="C111" t="str">
            <v>PROVINCIA ADMINISTRATIVA Y PLANIFICACION CARTAMA - PAP</v>
          </cell>
          <cell r="D111" t="str">
            <v>Tarso</v>
          </cell>
          <cell r="E111">
            <v>6</v>
          </cell>
          <cell r="F111" t="str">
            <v>G1</v>
          </cell>
          <cell r="G111">
            <v>0</v>
          </cell>
          <cell r="H111" t="str">
            <v>PROVINCIA ADMINISTRATIVA Y PLANIFICACION CARTAMA</v>
          </cell>
          <cell r="I111" t="str">
            <v>A la fecha no ha conformado un EAT Región</v>
          </cell>
          <cell r="J111" t="str">
            <v>A la fecha no ha conformado un EAT Área Metropolitana</v>
          </cell>
          <cell r="K111" t="str">
            <v>A la fecha no ha conformado un EAT asociación - unión</v>
          </cell>
        </row>
        <row r="112">
          <cell r="A112" t="str">
            <v>05809</v>
          </cell>
          <cell r="B112" t="str">
            <v>Suroeste</v>
          </cell>
          <cell r="C112" t="str">
            <v>PROVINCIA ADMINISTRATIVA Y DE PLANIFICACION DE PENDERISCO Y SINIFANÁ - PAP</v>
          </cell>
          <cell r="D112" t="str">
            <v>Titiribí</v>
          </cell>
          <cell r="E112">
            <v>6</v>
          </cell>
          <cell r="F112" t="str">
            <v>G2</v>
          </cell>
          <cell r="G112">
            <v>0</v>
          </cell>
          <cell r="H112" t="str">
            <v>PROVINCIA ADMINISTRATIVA Y DE PLANIFICACION DE PENDERISCO Y SINIFANÁ</v>
          </cell>
          <cell r="I112" t="str">
            <v>A la fecha no ha conformado un EAT Región</v>
          </cell>
          <cell r="J112" t="str">
            <v>A la fecha no ha conformado un EAT Área Metropolitana</v>
          </cell>
          <cell r="K112" t="str">
            <v>A la fecha no ha conformado un EAT asociación - unión</v>
          </cell>
        </row>
        <row r="113">
          <cell r="A113" t="str">
            <v>05847</v>
          </cell>
          <cell r="B113" t="str">
            <v>Suroeste</v>
          </cell>
          <cell r="C113" t="str">
            <v>PROVINCIA ADMINISTRATIVA Y DE PLANIFICACION DE PENDERISCO Y SINIFANÁ - PAP</v>
          </cell>
          <cell r="D113" t="str">
            <v>Urrao</v>
          </cell>
          <cell r="E113">
            <v>6</v>
          </cell>
          <cell r="F113" t="str">
            <v>G3</v>
          </cell>
          <cell r="G113">
            <v>0</v>
          </cell>
          <cell r="H113" t="str">
            <v>PROVINCIA ADMINISTRATIVA Y DE PLANIFICACION DE PENDERISCO Y SINIFANÁ</v>
          </cell>
          <cell r="I113" t="str">
            <v>A la fecha no ha conformado un EAT Región</v>
          </cell>
          <cell r="J113" t="str">
            <v>A la fecha no ha conformado un EAT Área Metropolitana</v>
          </cell>
          <cell r="K113" t="str">
            <v>A la fecha no ha conformado un EAT asociación - unión</v>
          </cell>
        </row>
        <row r="114">
          <cell r="A114" t="str">
            <v>05856</v>
          </cell>
          <cell r="B114" t="str">
            <v>Suroeste</v>
          </cell>
          <cell r="C114" t="str">
            <v>PROVINCIA ADMINISTRATIVA Y PLANIFICACION CARTAMA - PAP</v>
          </cell>
          <cell r="D114" t="str">
            <v>Valparaíso</v>
          </cell>
          <cell r="E114">
            <v>6</v>
          </cell>
          <cell r="F114" t="str">
            <v>G1</v>
          </cell>
          <cell r="G114">
            <v>0</v>
          </cell>
          <cell r="H114" t="str">
            <v>PROVINCIA ADMINISTRATIVA Y PLANIFICACION CARTAMA</v>
          </cell>
          <cell r="I114" t="str">
            <v>A la fecha no ha conformado un EAT Región</v>
          </cell>
          <cell r="J114" t="str">
            <v>A la fecha no ha conformado un EAT Área Metropolitana</v>
          </cell>
          <cell r="K114" t="str">
            <v>A la fecha no ha conformado un EAT asociación - unión</v>
          </cell>
        </row>
        <row r="115">
          <cell r="A115" t="str">
            <v>05861</v>
          </cell>
          <cell r="B115" t="str">
            <v>Suroeste</v>
          </cell>
          <cell r="C115" t="str">
            <v>PROVINCIA ADMINISTRATIVA Y PLANIFICACION CARTAMA - PAP</v>
          </cell>
          <cell r="D115" t="str">
            <v>Venecia</v>
          </cell>
          <cell r="E115">
            <v>6</v>
          </cell>
          <cell r="F115" t="str">
            <v>G1</v>
          </cell>
          <cell r="G115">
            <v>0</v>
          </cell>
          <cell r="H115" t="str">
            <v>PROVINCIA ADMINISTRATIVA Y PLANIFICACION CARTAMA</v>
          </cell>
          <cell r="I115" t="str">
            <v>A la fecha no ha conformado un EAT Región</v>
          </cell>
          <cell r="J115" t="str">
            <v>A la fecha no ha conformado un EAT Área Metropolitana</v>
          </cell>
          <cell r="K115" t="str">
            <v>A la fecha no ha conformado un EAT asociación - unión</v>
          </cell>
        </row>
        <row r="116">
          <cell r="A116" t="str">
            <v>05045</v>
          </cell>
          <cell r="B116" t="str">
            <v>Urabá</v>
          </cell>
          <cell r="C116" t="str">
            <v xml:space="preserve"> ASOCIACIÓN DE MUNICIPIOS DEL URABÁ ANTIOQUEÑO - ASOMURA
En proceso de constitución de un Area Metropolitana</v>
          </cell>
          <cell r="D116" t="str">
            <v>Apartadó</v>
          </cell>
          <cell r="E116">
            <v>3</v>
          </cell>
          <cell r="F116" t="str">
            <v>G1</v>
          </cell>
          <cell r="G116">
            <v>0</v>
          </cell>
          <cell r="H116" t="str">
            <v>A la fecha no ha conformado un EAT Provincia</v>
          </cell>
          <cell r="I116" t="str">
            <v>Región de Planeación y Gestión de Urabá - RPG (Acuerdo de Voluntades)</v>
          </cell>
          <cell r="J116" t="str">
            <v>A la fecha no ha conformado un EAT Área Metropolitana</v>
          </cell>
          <cell r="K116" t="str">
            <v>ASOCIACIÓN DE MUNICIPIOS DEL URABÁ ANTIOQUEÑO - ASOMURA</v>
          </cell>
        </row>
        <row r="117">
          <cell r="A117" t="str">
            <v>05051</v>
          </cell>
          <cell r="B117" t="str">
            <v>Urabá</v>
          </cell>
          <cell r="C117" t="str">
            <v>ASOCIACIÓN DE MUNICIPIOS DEL URABÁ ANTIOQUEÑO - ASOMURA
ASOCIACIÓN DE MUNICIPIOS DEL URABÁ NORTE-ASOURANOR</v>
          </cell>
          <cell r="D117" t="str">
            <v>Arboletes</v>
          </cell>
          <cell r="E117">
            <v>6</v>
          </cell>
          <cell r="F117" t="str">
            <v>G4</v>
          </cell>
          <cell r="G117">
            <v>0</v>
          </cell>
          <cell r="H117" t="str">
            <v>A la fecha no ha conformado un EAT Provincia</v>
          </cell>
          <cell r="I117" t="str">
            <v>Región de Planeación y Gestión de Urabá - RPG (Acuerdo de Voluntades)</v>
          </cell>
          <cell r="J117" t="str">
            <v>A la fecha no ha conformado un EAT Área Metropolitana</v>
          </cell>
          <cell r="K117" t="str">
            <v>ASOCIACIÓN DE MUNICIPIOS DEL URABÁ ANTIOQUEÑO - ASOMURA /ASOCIACIÓN DE MUNICIPIOS DEL URABÁ NORTE-ASOURANOR</v>
          </cell>
        </row>
        <row r="118">
          <cell r="A118" t="str">
            <v>05147</v>
          </cell>
          <cell r="B118" t="str">
            <v>Urabá</v>
          </cell>
          <cell r="C118" t="str">
            <v>ASOCIACIÓN DE MUNICIPIOS DEL URABÁ ANTIOQUEÑO - ASOMURA
ASOCIACIÓN DE MUNICIPIOS DEL CHOCÓ Y URABÁ - ASUMUCUR
En proceso de constitución de un Area Metropolitana</v>
          </cell>
          <cell r="D118" t="str">
            <v>Carepa</v>
          </cell>
          <cell r="E118">
            <v>6</v>
          </cell>
          <cell r="F118" t="str">
            <v>G2</v>
          </cell>
          <cell r="G118">
            <v>0</v>
          </cell>
          <cell r="H118" t="str">
            <v>A la fecha no ha conformado un EAT Provincia</v>
          </cell>
          <cell r="I118" t="str">
            <v>Región de Planeación y Gestión de Urabá - RPG (Acuerdo de Voluntades)</v>
          </cell>
          <cell r="J118" t="str">
            <v>A la fecha no ha conformado un EAT Área Metropolitana</v>
          </cell>
          <cell r="K118" t="str">
            <v>ASOCIACIÓN DE MUNICIPIOS DEL URABÁ ANTIOQUEÑO - ASOMURA / ASOCIACIÓN DE MUNICIPIOS DEL CHOCÓ Y URABÁ - ASUMUCUR</v>
          </cell>
        </row>
        <row r="119">
          <cell r="A119" t="str">
            <v>05172</v>
          </cell>
          <cell r="B119" t="str">
            <v>Urabá</v>
          </cell>
          <cell r="C119" t="str">
            <v xml:space="preserve"> ASOCIACIÓN DE MUNICIPIOS DEL URABÁ ANTIOQUEÑO - ASOMURA
En proceso de constitución de un Area Metropolitana</v>
          </cell>
          <cell r="D119" t="str">
            <v>Chigorodó</v>
          </cell>
          <cell r="E119">
            <v>6</v>
          </cell>
          <cell r="F119" t="str">
            <v>G2</v>
          </cell>
          <cell r="G119">
            <v>0</v>
          </cell>
          <cell r="H119" t="str">
            <v>A la fecha no ha conformado un EAT Provincia</v>
          </cell>
          <cell r="I119" t="str">
            <v>Región de Planeación y Gestión de Urabá - RPG (Acuerdo de Voluntades)</v>
          </cell>
          <cell r="J119" t="str">
            <v>A la fecha no ha conformado un EAT Área Metropolitana</v>
          </cell>
          <cell r="K119" t="str">
            <v>ASOCIACIÓN DE MUNICIPIOS DEL URABÁ ANTIOQUEÑO - ASOMURA</v>
          </cell>
        </row>
        <row r="120">
          <cell r="A120" t="str">
            <v>05475</v>
          </cell>
          <cell r="B120" t="str">
            <v>Urabá</v>
          </cell>
          <cell r="C120" t="str">
            <v>ASOCIACION DE MUNICIPIOS DE LA CUENCA DEL ATRATO Y DARIEN ASOATRATO
ASOCIACIÓN DE MUNICIPIOS DEL CHOCÓ Y URABÁ - ASUMUCUR</v>
          </cell>
          <cell r="D120" t="str">
            <v>Murindó</v>
          </cell>
          <cell r="E120">
            <v>6</v>
          </cell>
          <cell r="F120" t="str">
            <v>G3</v>
          </cell>
          <cell r="G120">
            <v>0</v>
          </cell>
          <cell r="H120" t="str">
            <v>A la fecha no ha conformado un EAT Provincia</v>
          </cell>
          <cell r="I120" t="str">
            <v>Región de Planeación y Gestión de Urabá - RPG (Acuerdo de Voluntades)</v>
          </cell>
          <cell r="J120" t="str">
            <v>A la fecha no ha conformado un EAT Área Metropolitana</v>
          </cell>
          <cell r="K120" t="str">
            <v>ASOCIACION DE MUNICIPIOS DE LA CUENCA DEL ATRATO Y DARIEN ASOATRATO / ASOCIACIÓN DE MUNICIPIOS DEL CHOCÓ Y URABÁ - ASUMUCUR</v>
          </cell>
        </row>
        <row r="121">
          <cell r="A121" t="str">
            <v>05480</v>
          </cell>
          <cell r="B121" t="str">
            <v>Urabá</v>
          </cell>
          <cell r="C121" t="str">
            <v>ASOCIACIÓN DE MUNICIPIOS DEL URABÁ ANTIOQUEÑO - ASOMURA
ASOCIACIÓN DE MUNICIPIOS DEL CHOCÓ Y URABÁ - ASUMUCUR
En proceso de constitución de un Area Metropolitana</v>
          </cell>
          <cell r="D121" t="str">
            <v>Mutatá</v>
          </cell>
          <cell r="E121">
            <v>6</v>
          </cell>
          <cell r="F121" t="str">
            <v>G2</v>
          </cell>
          <cell r="G121">
            <v>0</v>
          </cell>
          <cell r="H121" t="str">
            <v>A la fecha no ha conformado un EAT Provincia</v>
          </cell>
          <cell r="I121" t="str">
            <v>Región de Planeación y Gestión de Urabá - RPG (Acuerdo de Voluntades)</v>
          </cell>
          <cell r="J121" t="str">
            <v>A la fecha no ha conformado un EAT Área Metropolitana</v>
          </cell>
          <cell r="K121" t="str">
            <v>ASOCIACIÓN DE MUNICIPIOS DEL URABÁ ANTIOQUEÑO - ASOMURA / ASOCIACIÓN DE MUNICIPIOS DEL CHOCÓ Y URABÁ - ASUMUCUR</v>
          </cell>
        </row>
        <row r="122">
          <cell r="A122" t="str">
            <v>05490</v>
          </cell>
          <cell r="B122" t="str">
            <v>Urabá</v>
          </cell>
          <cell r="C122" t="str">
            <v>ASOCIACIÓN DE MUNICIPIOS DEL URABÁ NORTE-ASOURANOR</v>
          </cell>
          <cell r="D122" t="str">
            <v>Necoclí</v>
          </cell>
          <cell r="E122">
            <v>6</v>
          </cell>
          <cell r="F122" t="str">
            <v>G4</v>
          </cell>
          <cell r="G122">
            <v>0</v>
          </cell>
          <cell r="H122" t="str">
            <v>A la fecha no ha conformado un EAT Provincia</v>
          </cell>
          <cell r="I122" t="str">
            <v>Región de Planeación y Gestión de Urabá - RPG (Acuerdo de Voluntades)</v>
          </cell>
          <cell r="J122" t="str">
            <v>A la fecha no ha conformado un EAT Área Metropolitana</v>
          </cell>
          <cell r="K122" t="str">
            <v>ASOCIACIÓN DE MUNICIPIOS DEL URABÁ NORTE-ASOURANOR</v>
          </cell>
        </row>
        <row r="123">
          <cell r="A123" t="str">
            <v>05659</v>
          </cell>
          <cell r="B123" t="str">
            <v>Urabá</v>
          </cell>
          <cell r="C123" t="str">
            <v xml:space="preserve"> ASOCIACIÓN DE MUNICIPIOS DEL URABÁ ANTIOQUEÑO - ASOMURA
ASOCIACIÓN DE MUNICIPIOS DEL CHOCÓ Y URABÁ - ASUMUCUR</v>
          </cell>
          <cell r="D123" t="str">
            <v>San Juan De Urabá</v>
          </cell>
          <cell r="E123">
            <v>6</v>
          </cell>
          <cell r="F123" t="str">
            <v>G4</v>
          </cell>
          <cell r="G123">
            <v>0</v>
          </cell>
          <cell r="H123" t="str">
            <v>A la fecha no ha conformado un EAT Provincia</v>
          </cell>
          <cell r="I123" t="str">
            <v>Región de Planeación y Gestión de Urabá - RPG (Acuerdo de Voluntades)</v>
          </cell>
          <cell r="J123" t="str">
            <v>A la fecha no ha conformado un EAT Área Metropolitana</v>
          </cell>
          <cell r="K123" t="str">
            <v>ASOCIACIÓN DE MUNICIPIOS DEL URABÁ ANTIOQUEÑO - ASOMURA / ASOCIACIÓN DE MUNICIPIOS DEL CHOCÓ Y URABÁ - ASUMUCUR</v>
          </cell>
        </row>
        <row r="124">
          <cell r="A124" t="str">
            <v>05665</v>
          </cell>
          <cell r="B124" t="str">
            <v>Urabá</v>
          </cell>
          <cell r="C124" t="str">
            <v>ASOCIACIÓN DE MUNICIPIOS DEL URABÁ NORTE - ASOURANOR</v>
          </cell>
          <cell r="D124" t="str">
            <v>San Pedro De Urabá</v>
          </cell>
          <cell r="E124">
            <v>6</v>
          </cell>
          <cell r="F124" t="str">
            <v>G4</v>
          </cell>
          <cell r="G124">
            <v>0</v>
          </cell>
          <cell r="H124" t="str">
            <v>A la fecha no ha conformado un EAT Provincia</v>
          </cell>
          <cell r="I124" t="str">
            <v>Región de Planeación y Gestión de Urabá - RPG (Acuerdo de Voluntades)</v>
          </cell>
          <cell r="J124" t="str">
            <v>A la fecha no ha conformado un EAT Área Metropolitana</v>
          </cell>
          <cell r="K124" t="str">
            <v>ASOCIACIÓN DE MUNICIPIOS DEL URABÁ NORTE-ASOURANOR</v>
          </cell>
        </row>
        <row r="125">
          <cell r="A125" t="str">
            <v>05837</v>
          </cell>
          <cell r="B125" t="str">
            <v>Urabá</v>
          </cell>
          <cell r="C125" t="str">
            <v xml:space="preserve"> ASOCIACIÓN DE MUNICIPIOS DEL URABÁ ANTIOQUEÑO - ASOMURA</v>
          </cell>
          <cell r="D125" t="str">
            <v>Distrito Portuario, Logístico, Industrial, Turístico y Comercial de Turbo</v>
          </cell>
          <cell r="E125">
            <v>4</v>
          </cell>
          <cell r="F125" t="str">
            <v>G2</v>
          </cell>
          <cell r="G125">
            <v>0</v>
          </cell>
          <cell r="H125" t="str">
            <v>A la fecha no ha conformado un EAT Provincia</v>
          </cell>
          <cell r="I125" t="str">
            <v>Región de Planeación y Gestión de Urabá - RPG (Acuerdo de Voluntades)</v>
          </cell>
          <cell r="J125" t="str">
            <v>A la fecha no ha conformado un EAT Área Metropolitana</v>
          </cell>
          <cell r="K125" t="str">
            <v>ASOCIACIÓN DE MUNICIPIOS DEL URABÁ ANTIOQUEÑO - ASOMURA</v>
          </cell>
        </row>
        <row r="126">
          <cell r="A126" t="str">
            <v>05873</v>
          </cell>
          <cell r="B126" t="str">
            <v>Urabá</v>
          </cell>
          <cell r="C126" t="str">
            <v>ASOCIACION DE MUNICIPIOS DE LA CUENCA DEL ATRATO Y DARIEN - ASOATRATO</v>
          </cell>
          <cell r="D126" t="str">
            <v>Vigía del Fuerte</v>
          </cell>
          <cell r="E126">
            <v>6</v>
          </cell>
          <cell r="F126" t="str">
            <v>G4</v>
          </cell>
          <cell r="G126">
            <v>0</v>
          </cell>
          <cell r="H126" t="str">
            <v>A la fecha no ha conformado un EAT Provincia</v>
          </cell>
          <cell r="I126" t="str">
            <v>Región de Planeación y Gestión de Urabá - RPG (Acuerdo de Voluntades)</v>
          </cell>
          <cell r="J126" t="str">
            <v>A la fecha no ha conformado un EAT Área Metropolitana</v>
          </cell>
          <cell r="K126" t="str">
            <v>ASOCIACION DE MUNICIPIOS DE LA CUENCA DEL ATRATO Y DARIEN ASOATRATO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A6CD-40A9-4D4D-A261-0FCF6C54A5A1}">
  <sheetPr codeName="Hoja8"/>
  <dimension ref="A1:AF1264"/>
  <sheetViews>
    <sheetView showGridLines="0" tabSelected="1" zoomScale="70" zoomScaleNormal="70" workbookViewId="0">
      <selection activeCell="A4" sqref="A4:D4"/>
    </sheetView>
  </sheetViews>
  <sheetFormatPr defaultColWidth="8.85546875" defaultRowHeight="15" x14ac:dyDescent="0.25"/>
  <cols>
    <col min="1" max="1" width="7.42578125" bestFit="1" customWidth="1"/>
    <col min="2" max="2" width="12.85546875" customWidth="1"/>
    <col min="5" max="5" width="8.7109375" bestFit="1" customWidth="1"/>
    <col min="6" max="6" width="17.7109375" customWidth="1"/>
    <col min="7" max="7" width="23.7109375" bestFit="1" customWidth="1"/>
    <col min="8" max="9" width="10" bestFit="1" customWidth="1"/>
    <col min="10" max="10" width="15.42578125" bestFit="1" customWidth="1"/>
    <col min="11" max="11" width="11.140625" bestFit="1" customWidth="1"/>
    <col min="12" max="12" width="10" bestFit="1" customWidth="1"/>
    <col min="13" max="13" width="15.85546875" bestFit="1" customWidth="1"/>
    <col min="14" max="14" width="19.85546875" bestFit="1" customWidth="1"/>
    <col min="15" max="15" width="17.42578125" bestFit="1" customWidth="1"/>
    <col min="16" max="17" width="10" bestFit="1" customWidth="1"/>
    <col min="18" max="18" width="11.140625" bestFit="1" customWidth="1"/>
    <col min="19" max="19" width="11.7109375" customWidth="1"/>
    <col min="20" max="20" width="17.42578125" bestFit="1" customWidth="1"/>
    <col min="21" max="21" width="27.85546875" bestFit="1" customWidth="1"/>
    <col min="22" max="22" width="15.85546875" bestFit="1" customWidth="1"/>
    <col min="23" max="23" width="16.85546875" bestFit="1" customWidth="1"/>
    <col min="24" max="24" width="15.42578125" bestFit="1" customWidth="1"/>
    <col min="25" max="25" width="16.85546875" bestFit="1" customWidth="1"/>
    <col min="26" max="29" width="29" customWidth="1"/>
    <col min="30" max="30" width="12.7109375" customWidth="1"/>
    <col min="31" max="31" width="10.140625" bestFit="1" customWidth="1"/>
  </cols>
  <sheetData>
    <row r="1" spans="1:30" ht="18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0" ht="36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30" ht="44.25" customHeight="1" thickBot="1" x14ac:dyDescent="0.3">
      <c r="H3" s="3" t="s">
        <v>2</v>
      </c>
      <c r="I3" s="3" t="s">
        <v>3</v>
      </c>
      <c r="J3" s="4" t="s">
        <v>4</v>
      </c>
      <c r="K3" s="3" t="s">
        <v>5</v>
      </c>
      <c r="L3" s="3" t="s">
        <v>6</v>
      </c>
      <c r="M3" s="4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12</v>
      </c>
      <c r="S3" s="3" t="s">
        <v>13</v>
      </c>
      <c r="T3" s="3" t="s">
        <v>14</v>
      </c>
      <c r="U3" s="3" t="s">
        <v>15</v>
      </c>
      <c r="V3" s="3" t="s">
        <v>16</v>
      </c>
      <c r="W3" s="4" t="s">
        <v>17</v>
      </c>
      <c r="X3" s="3" t="s">
        <v>18</v>
      </c>
      <c r="Y3" s="3" t="s">
        <v>19</v>
      </c>
    </row>
    <row r="4" spans="1:30" ht="153" customHeight="1" thickBot="1" x14ac:dyDescent="0.3">
      <c r="A4" s="5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7" t="s">
        <v>2</v>
      </c>
      <c r="I4" s="7" t="s">
        <v>3</v>
      </c>
      <c r="J4" s="7" t="s">
        <v>4</v>
      </c>
      <c r="K4" s="7" t="s">
        <v>5</v>
      </c>
      <c r="L4" s="7" t="s">
        <v>6</v>
      </c>
      <c r="M4" s="7" t="s">
        <v>7</v>
      </c>
      <c r="N4" s="7" t="s">
        <v>27</v>
      </c>
      <c r="O4" s="7" t="s">
        <v>28</v>
      </c>
      <c r="P4" s="7" t="s">
        <v>10</v>
      </c>
      <c r="Q4" s="7" t="s">
        <v>11</v>
      </c>
      <c r="R4" s="7" t="s">
        <v>12</v>
      </c>
      <c r="S4" s="7" t="s">
        <v>29</v>
      </c>
      <c r="T4" s="7" t="s">
        <v>30</v>
      </c>
      <c r="U4" s="7" t="s">
        <v>31</v>
      </c>
      <c r="V4" s="7" t="s">
        <v>16</v>
      </c>
      <c r="W4" s="8" t="s">
        <v>17</v>
      </c>
      <c r="X4" s="7" t="s">
        <v>18</v>
      </c>
      <c r="Y4" s="9" t="s">
        <v>19</v>
      </c>
      <c r="Z4" s="10" t="s">
        <v>32</v>
      </c>
      <c r="AA4" s="11" t="s">
        <v>33</v>
      </c>
      <c r="AB4" s="11" t="s">
        <v>34</v>
      </c>
      <c r="AC4" s="12" t="s">
        <v>35</v>
      </c>
    </row>
    <row r="5" spans="1:30" ht="15.75" thickBot="1" x14ac:dyDescent="0.3">
      <c r="A5" s="13">
        <v>2015</v>
      </c>
      <c r="B5" s="14" t="s">
        <v>36</v>
      </c>
      <c r="C5" s="14"/>
      <c r="D5" s="14"/>
      <c r="E5" s="14"/>
      <c r="F5" s="14"/>
      <c r="G5" s="14" t="s">
        <v>37</v>
      </c>
      <c r="H5" s="15">
        <v>6153.0623286166601</v>
      </c>
      <c r="I5" s="15">
        <v>2430.0514517960805</v>
      </c>
      <c r="J5" s="15">
        <v>8583.1137804127411</v>
      </c>
      <c r="K5" s="15">
        <v>19852.649523508673</v>
      </c>
      <c r="L5" s="15">
        <v>8573.3862697719742</v>
      </c>
      <c r="M5" s="15">
        <v>28426.035793280647</v>
      </c>
      <c r="N5" s="15">
        <v>4920.4932764469131</v>
      </c>
      <c r="O5" s="15">
        <v>18733.951378250913</v>
      </c>
      <c r="P5" s="15">
        <v>3382.924851687842</v>
      </c>
      <c r="Q5" s="15">
        <v>5517.180840789355</v>
      </c>
      <c r="R5" s="15">
        <v>9932.8028534265723</v>
      </c>
      <c r="S5" s="15">
        <v>10374.548477555927</v>
      </c>
      <c r="T5" s="15">
        <v>12532.151501840759</v>
      </c>
      <c r="U5" s="15">
        <v>2500.0730881368681</v>
      </c>
      <c r="V5" s="15">
        <v>67894.126268135151</v>
      </c>
      <c r="W5" s="15">
        <v>104903.27584182855</v>
      </c>
      <c r="X5" s="15">
        <v>10542.981141487051</v>
      </c>
      <c r="Y5" s="16">
        <v>115446.2569833156</v>
      </c>
      <c r="Z5" s="17" t="str">
        <f>SUBSTITUTE(SUBSTITUTE(SUBSTITUTE(SUBSTITUTE(IF(E5="","",VLOOKUP(E5,[1]Esquemas_NORM!$A$2:$H$126,8,FALSE)),"PROVINCIA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5" s="17" t="str">
        <f>IF($E5="","",INDEX([1]Esquemas_NORM!$H$2:$K$126,MATCH($E5,[1]Esquemas_NORM!$A$2:$A$126,0),MATCH(AA$4,[1]Esquemas_NORM!$H$1:$K$1,0)))</f>
        <v/>
      </c>
      <c r="AB5" s="17" t="str">
        <f>IF($E5="","",INDEX([1]Esquemas_NORM!$H$2:$K$126,MATCH($E5,[1]Esquemas_NORM!$A$2:$A$126,0),MATCH(AB$4,[1]Esquemas_NORM!$H$1:$K$1,0)))</f>
        <v/>
      </c>
      <c r="AC5" s="17" t="str">
        <f>IF($E5="","",INDEX([1]Esquemas_NORM!$H$2:$K$126,MATCH($E5,[1]Esquemas_NORM!$A$2:$A$126,0),MATCH(AC$4,[1]Esquemas_NORM!$H$1:$K$1,0)))</f>
        <v/>
      </c>
    </row>
    <row r="6" spans="1:30" x14ac:dyDescent="0.25">
      <c r="A6" s="18">
        <v>2015</v>
      </c>
      <c r="B6" s="19" t="s">
        <v>36</v>
      </c>
      <c r="C6" s="19" t="s">
        <v>38</v>
      </c>
      <c r="D6" s="19" t="s">
        <v>39</v>
      </c>
      <c r="E6" s="19" t="s">
        <v>40</v>
      </c>
      <c r="F6" s="19" t="s">
        <v>41</v>
      </c>
      <c r="G6" s="19" t="s">
        <v>42</v>
      </c>
      <c r="H6" s="20">
        <v>120.54107367829917</v>
      </c>
      <c r="I6" s="20">
        <v>4.7759313150000233</v>
      </c>
      <c r="J6" s="21">
        <v>125.31700499329919</v>
      </c>
      <c r="K6" s="20">
        <v>7217.6993273686794</v>
      </c>
      <c r="L6" s="20">
        <v>4559.5275664625442</v>
      </c>
      <c r="M6" s="21">
        <v>11777.226893831223</v>
      </c>
      <c r="N6" s="20">
        <v>1587.1245344252511</v>
      </c>
      <c r="O6" s="20">
        <v>9034.0074042480519</v>
      </c>
      <c r="P6" s="20">
        <v>1622.5739397379214</v>
      </c>
      <c r="Q6" s="20">
        <v>4148.7070508165389</v>
      </c>
      <c r="R6" s="20">
        <v>5045.8895883162313</v>
      </c>
      <c r="S6" s="20">
        <v>4927.9893398854647</v>
      </c>
      <c r="T6" s="20">
        <v>6056.3316594904527</v>
      </c>
      <c r="U6" s="20">
        <v>1226.2371919997347</v>
      </c>
      <c r="V6" s="21">
        <v>33648.860708919652</v>
      </c>
      <c r="W6" s="21">
        <v>45551.404607744167</v>
      </c>
      <c r="X6" s="20">
        <v>4578.003841098378</v>
      </c>
      <c r="Y6" s="22">
        <v>50129.408448842507</v>
      </c>
      <c r="Z6" s="17" t="str">
        <f>SUBSTITUTE(SUBSTITUTE(SUBSTITUTE(SUBSTITUTE(IF(E6="","",VLOOKUP(E6,[1]Esquemas_NORM!$A$2:$H$126,8,FALSE)),"PROVINCIA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" s="17" t="str">
        <f>IF($E6="","",INDEX([1]Esquemas_NORM!$H$2:$K$126,MATCH($E6,[1]Esquemas_NORM!$A$2:$A$126,0),MATCH(AA$4,[1]Esquemas_NORM!$H$1:$K$1,0)))</f>
        <v>A la fecha no ha conformado un EAT Región</v>
      </c>
      <c r="AB6" s="17" t="str">
        <f>IF($E6="","",INDEX([1]Esquemas_NORM!$H$2:$K$126,MATCH($E6,[1]Esquemas_NORM!$A$2:$A$126,0),MATCH(AB$4,[1]Esquemas_NORM!$H$1:$K$1,0)))</f>
        <v>Área Metropolitana del Valle de Aburrá</v>
      </c>
      <c r="AC6" s="17" t="str">
        <f>IF($E6="","",INDEX([1]Esquemas_NORM!$H$2:$K$126,MATCH($E6,[1]Esquemas_NORM!$A$2:$A$126,0),MATCH(AC$4,[1]Esquemas_NORM!$H$1:$K$1,0)))</f>
        <v>A la fecha no ha conformado un EAT asociación - unión</v>
      </c>
      <c r="AD6" s="23"/>
    </row>
    <row r="7" spans="1:30" x14ac:dyDescent="0.25">
      <c r="A7" s="24">
        <v>2015</v>
      </c>
      <c r="B7" s="25" t="s">
        <v>36</v>
      </c>
      <c r="C7" s="25" t="s">
        <v>38</v>
      </c>
      <c r="D7" s="25" t="s">
        <v>43</v>
      </c>
      <c r="E7" s="25" t="s">
        <v>44</v>
      </c>
      <c r="F7" s="25" t="s">
        <v>41</v>
      </c>
      <c r="G7" s="25" t="s">
        <v>45</v>
      </c>
      <c r="H7" s="26">
        <v>88.071269805859401</v>
      </c>
      <c r="I7" s="26">
        <v>1.3144217791300061</v>
      </c>
      <c r="J7" s="27">
        <v>89.385691584989402</v>
      </c>
      <c r="K7" s="26">
        <v>334.53305865548037</v>
      </c>
      <c r="L7" s="26">
        <v>38.153903066160034</v>
      </c>
      <c r="M7" s="27">
        <v>372.68696172164039</v>
      </c>
      <c r="N7" s="26">
        <v>101.58909371077944</v>
      </c>
      <c r="O7" s="26">
        <v>71.161135290000104</v>
      </c>
      <c r="P7" s="26">
        <v>12.425006178720089</v>
      </c>
      <c r="Q7" s="26">
        <v>7.3686516114200522</v>
      </c>
      <c r="R7" s="26">
        <v>41.12927434189001</v>
      </c>
      <c r="S7" s="26">
        <v>46.25517474011005</v>
      </c>
      <c r="T7" s="26">
        <v>33.739722864340074</v>
      </c>
      <c r="U7" s="26">
        <v>9.8125466174999598</v>
      </c>
      <c r="V7" s="27">
        <v>323.4806053547598</v>
      </c>
      <c r="W7" s="27">
        <v>785.55325866139117</v>
      </c>
      <c r="X7" s="26">
        <v>78.949614540058988</v>
      </c>
      <c r="Y7" s="28">
        <v>864.50287320144957</v>
      </c>
      <c r="Z7" s="17" t="str">
        <f>SUBSTITUTE(SUBSTITUTE(SUBSTITUTE(SUBSTITUTE(IF(E7="","",VLOOKUP(E7,[1]Esquemas_NORM!$A$2:$H$126,8,FALSE)),"PROVINCIA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" s="17" t="str">
        <f>IF($E7="","",INDEX([1]Esquemas_NORM!$H$2:$K$126,MATCH($E7,[1]Esquemas_NORM!$A$2:$A$126,0),MATCH(AA$4,[1]Esquemas_NORM!$H$1:$K$1,0)))</f>
        <v>A la fecha no ha conformado un EAT Región</v>
      </c>
      <c r="AB7" s="17" t="str">
        <f>IF($E7="","",INDEX([1]Esquemas_NORM!$H$2:$K$126,MATCH($E7,[1]Esquemas_NORM!$A$2:$A$126,0),MATCH(AB$4,[1]Esquemas_NORM!$H$1:$K$1,0)))</f>
        <v>Área Metropolitana del Valle de Aburrá</v>
      </c>
      <c r="AC7" s="17" t="str">
        <f>IF($E7="","",INDEX([1]Esquemas_NORM!$H$2:$K$126,MATCH($E7,[1]Esquemas_NORM!$A$2:$A$126,0),MATCH(AC$4,[1]Esquemas_NORM!$H$1:$K$1,0)))</f>
        <v>A la fecha no ha conformado un EAT asociación - unión</v>
      </c>
      <c r="AD7" s="23"/>
    </row>
    <row r="8" spans="1:30" x14ac:dyDescent="0.25">
      <c r="A8" s="24">
        <v>2015</v>
      </c>
      <c r="B8" s="25" t="s">
        <v>36</v>
      </c>
      <c r="C8" s="25" t="s">
        <v>38</v>
      </c>
      <c r="D8" s="25" t="s">
        <v>43</v>
      </c>
      <c r="E8" s="25" t="s">
        <v>46</v>
      </c>
      <c r="F8" s="25" t="s">
        <v>41</v>
      </c>
      <c r="G8" s="25" t="s">
        <v>47</v>
      </c>
      <c r="H8" s="26">
        <v>33.129732912499776</v>
      </c>
      <c r="I8" s="26">
        <v>1.1154222234200053</v>
      </c>
      <c r="J8" s="27">
        <v>34.245155135919781</v>
      </c>
      <c r="K8" s="26">
        <v>705.92366602394088</v>
      </c>
      <c r="L8" s="26">
        <v>446.36830100577049</v>
      </c>
      <c r="M8" s="27">
        <v>1152.2919670297115</v>
      </c>
      <c r="N8" s="26">
        <v>181.29939043335901</v>
      </c>
      <c r="O8" s="26">
        <v>1067.4769256925015</v>
      </c>
      <c r="P8" s="26">
        <v>244.54133963029173</v>
      </c>
      <c r="Q8" s="26">
        <v>150.58193429888107</v>
      </c>
      <c r="R8" s="26">
        <v>570.31497198363013</v>
      </c>
      <c r="S8" s="26">
        <v>476.80685183174046</v>
      </c>
      <c r="T8" s="26">
        <v>711.42128815551143</v>
      </c>
      <c r="U8" s="26">
        <v>153.16402425553935</v>
      </c>
      <c r="V8" s="27">
        <v>3555.6067262814549</v>
      </c>
      <c r="W8" s="27">
        <v>4742.1438484470873</v>
      </c>
      <c r="X8" s="26">
        <v>476.59458451784189</v>
      </c>
      <c r="Y8" s="28">
        <v>5218.7384329649249</v>
      </c>
      <c r="Z8" s="17" t="str">
        <f>SUBSTITUTE(SUBSTITUTE(SUBSTITUTE(SUBSTITUTE(IF(E8="","",VLOOKUP(E8,[1]Esquemas_NORM!$A$2:$H$126,8,FALSE)),"PROVINCIA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" s="17" t="str">
        <f>IF($E8="","",INDEX([1]Esquemas_NORM!$H$2:$K$126,MATCH($E8,[1]Esquemas_NORM!$A$2:$A$126,0),MATCH(AA$4,[1]Esquemas_NORM!$H$1:$K$1,0)))</f>
        <v>A la fecha no ha conformado un EAT Región</v>
      </c>
      <c r="AB8" s="17" t="str">
        <f>IF($E8="","",INDEX([1]Esquemas_NORM!$H$2:$K$126,MATCH($E8,[1]Esquemas_NORM!$A$2:$A$126,0),MATCH(AB$4,[1]Esquemas_NORM!$H$1:$K$1,0)))</f>
        <v>Área Metropolitana del Valle de Aburrá</v>
      </c>
      <c r="AC8" s="17" t="str">
        <f>IF($E8="","",INDEX([1]Esquemas_NORM!$H$2:$K$126,MATCH($E8,[1]Esquemas_NORM!$A$2:$A$126,0),MATCH(AC$4,[1]Esquemas_NORM!$H$1:$K$1,0)))</f>
        <v>A la fecha no ha conformado un EAT asociación - unión</v>
      </c>
      <c r="AD8" s="23"/>
    </row>
    <row r="9" spans="1:30" x14ac:dyDescent="0.25">
      <c r="A9" s="24">
        <v>2015</v>
      </c>
      <c r="B9" s="25" t="s">
        <v>36</v>
      </c>
      <c r="C9" s="25" t="s">
        <v>38</v>
      </c>
      <c r="D9" s="25" t="s">
        <v>48</v>
      </c>
      <c r="E9" s="25" t="s">
        <v>49</v>
      </c>
      <c r="F9" s="25" t="s">
        <v>41</v>
      </c>
      <c r="G9" s="25" t="s">
        <v>50</v>
      </c>
      <c r="H9" s="26">
        <v>57.04239061449961</v>
      </c>
      <c r="I9" s="26">
        <v>0</v>
      </c>
      <c r="J9" s="27">
        <v>57.04239061449961</v>
      </c>
      <c r="K9" s="26">
        <v>231.5073084971003</v>
      </c>
      <c r="L9" s="26">
        <v>24.586950119970027</v>
      </c>
      <c r="M9" s="27">
        <v>256.0942586170703</v>
      </c>
      <c r="N9" s="26">
        <v>25.177635544079859</v>
      </c>
      <c r="O9" s="26">
        <v>235.8179391675003</v>
      </c>
      <c r="P9" s="26">
        <v>33.228785627840232</v>
      </c>
      <c r="Q9" s="26">
        <v>23.242302741170164</v>
      </c>
      <c r="R9" s="26">
        <v>84.408987525230017</v>
      </c>
      <c r="S9" s="26">
        <v>73.633723485720083</v>
      </c>
      <c r="T9" s="26">
        <v>85.125162554670169</v>
      </c>
      <c r="U9" s="26">
        <v>16.266792911159932</v>
      </c>
      <c r="V9" s="27">
        <v>576.90132955737079</v>
      </c>
      <c r="W9" s="27">
        <v>890.03797878894159</v>
      </c>
      <c r="X9" s="26">
        <v>89.45053002661848</v>
      </c>
      <c r="Y9" s="28">
        <v>979.48850881555938</v>
      </c>
      <c r="Z9" s="17" t="str">
        <f>SUBSTITUTE(SUBSTITUTE(SUBSTITUTE(SUBSTITUTE(IF(E9="","",VLOOKUP(E9,[1]Esquemas_NORM!$A$2:$H$126,8,FALSE)),"PROVINCIA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" s="17" t="str">
        <f>IF($E9="","",INDEX([1]Esquemas_NORM!$H$2:$K$126,MATCH($E9,[1]Esquemas_NORM!$A$2:$A$126,0),MATCH(AA$4,[1]Esquemas_NORM!$H$1:$K$1,0)))</f>
        <v>A la fecha no ha conformado un EAT Región</v>
      </c>
      <c r="AB9" s="17" t="str">
        <f>IF($E9="","",INDEX([1]Esquemas_NORM!$H$2:$K$126,MATCH($E9,[1]Esquemas_NORM!$A$2:$A$126,0),MATCH(AB$4,[1]Esquemas_NORM!$H$1:$K$1,0)))</f>
        <v>Área Metropolitana del Valle de Aburrá</v>
      </c>
      <c r="AC9" s="17" t="str">
        <f>IF($E9="","",INDEX([1]Esquemas_NORM!$H$2:$K$126,MATCH($E9,[1]Esquemas_NORM!$A$2:$A$126,0),MATCH(AC$4,[1]Esquemas_NORM!$H$1:$K$1,0)))</f>
        <v>A la fecha no ha conformado un EAT asociación - unión</v>
      </c>
      <c r="AD9" s="23"/>
    </row>
    <row r="10" spans="1:30" x14ac:dyDescent="0.25">
      <c r="A10" s="24">
        <v>2015</v>
      </c>
      <c r="B10" s="25" t="s">
        <v>36</v>
      </c>
      <c r="C10" s="25" t="s">
        <v>38</v>
      </c>
      <c r="D10" s="25" t="s">
        <v>43</v>
      </c>
      <c r="E10" s="25" t="s">
        <v>51</v>
      </c>
      <c r="F10" s="25" t="s">
        <v>41</v>
      </c>
      <c r="G10" s="25" t="s">
        <v>52</v>
      </c>
      <c r="H10" s="26">
        <v>9.2642081926699369</v>
      </c>
      <c r="I10" s="26">
        <v>0</v>
      </c>
      <c r="J10" s="27">
        <v>9.2642081926699369</v>
      </c>
      <c r="K10" s="26">
        <v>395.51278594212044</v>
      </c>
      <c r="L10" s="26">
        <v>84.478969547690085</v>
      </c>
      <c r="M10" s="27">
        <v>479.99175548981054</v>
      </c>
      <c r="N10" s="26">
        <v>38.777935934819787</v>
      </c>
      <c r="O10" s="26">
        <v>170.28376816621022</v>
      </c>
      <c r="P10" s="26">
        <v>40.678914224040291</v>
      </c>
      <c r="Q10" s="26">
        <v>20.535092279120146</v>
      </c>
      <c r="R10" s="26">
        <v>110.39979893293001</v>
      </c>
      <c r="S10" s="26">
        <v>87.199275522350092</v>
      </c>
      <c r="T10" s="26">
        <v>73.233140859070161</v>
      </c>
      <c r="U10" s="26">
        <v>21.25605255322991</v>
      </c>
      <c r="V10" s="27">
        <v>562.36397847177068</v>
      </c>
      <c r="W10" s="27">
        <v>1051.6199421542515</v>
      </c>
      <c r="X10" s="26">
        <v>105.68982836018738</v>
      </c>
      <c r="Y10" s="28">
        <v>1157.309770514438</v>
      </c>
      <c r="Z10" s="17" t="str">
        <f>SUBSTITUTE(SUBSTITUTE(SUBSTITUTE(SUBSTITUTE(IF(E10="","",VLOOKUP(E10,[1]Esquemas_NORM!$A$2:$H$126,8,FALSE)),"PROVINCIA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" s="17" t="str">
        <f>IF($E10="","",INDEX([1]Esquemas_NORM!$H$2:$K$126,MATCH($E10,[1]Esquemas_NORM!$A$2:$A$126,0),MATCH(AA$4,[1]Esquemas_NORM!$H$1:$K$1,0)))</f>
        <v>A la fecha no ha conformado un EAT Región</v>
      </c>
      <c r="AB10" s="17" t="str">
        <f>IF($E10="","",INDEX([1]Esquemas_NORM!$H$2:$K$126,MATCH($E10,[1]Esquemas_NORM!$A$2:$A$126,0),MATCH(AB$4,[1]Esquemas_NORM!$H$1:$K$1,0)))</f>
        <v>Área Metropolitana del Valle de Aburrá</v>
      </c>
      <c r="AC10" s="17" t="str">
        <f>IF($E10="","",INDEX([1]Esquemas_NORM!$H$2:$K$126,MATCH($E10,[1]Esquemas_NORM!$A$2:$A$126,0),MATCH(AC$4,[1]Esquemas_NORM!$H$1:$K$1,0)))</f>
        <v>A la fecha no ha conformado un EAT asociación - unión</v>
      </c>
      <c r="AD10" s="23"/>
    </row>
    <row r="11" spans="1:30" x14ac:dyDescent="0.25">
      <c r="A11" s="24">
        <v>2015</v>
      </c>
      <c r="B11" s="25" t="s">
        <v>36</v>
      </c>
      <c r="C11" s="25" t="s">
        <v>38</v>
      </c>
      <c r="D11" s="25" t="s">
        <v>48</v>
      </c>
      <c r="E11" s="25" t="s">
        <v>53</v>
      </c>
      <c r="F11" s="25" t="s">
        <v>41</v>
      </c>
      <c r="G11" s="25" t="s">
        <v>54</v>
      </c>
      <c r="H11" s="26">
        <v>22.479678372889847</v>
      </c>
      <c r="I11" s="26">
        <v>0</v>
      </c>
      <c r="J11" s="27">
        <v>22.479678372889847</v>
      </c>
      <c r="K11" s="26">
        <v>2471.179963102993</v>
      </c>
      <c r="L11" s="26">
        <v>300.58823677942036</v>
      </c>
      <c r="M11" s="27">
        <v>2771.7681998824132</v>
      </c>
      <c r="N11" s="26">
        <v>239.99148311816867</v>
      </c>
      <c r="O11" s="26">
        <v>1170.8103357134316</v>
      </c>
      <c r="P11" s="26">
        <v>225.2948245425616</v>
      </c>
      <c r="Q11" s="26">
        <v>158.82824274944113</v>
      </c>
      <c r="R11" s="26">
        <v>848.90034356375008</v>
      </c>
      <c r="S11" s="26">
        <v>761.32428779704082</v>
      </c>
      <c r="T11" s="26">
        <v>577.53148703756119</v>
      </c>
      <c r="U11" s="26">
        <v>244.77624693132898</v>
      </c>
      <c r="V11" s="27">
        <v>4227.4572514532847</v>
      </c>
      <c r="W11" s="27">
        <v>7021.7051297085909</v>
      </c>
      <c r="X11" s="26">
        <v>705.6948810180379</v>
      </c>
      <c r="Y11" s="28">
        <v>7727.400010726622</v>
      </c>
      <c r="Z11" s="17" t="str">
        <f>SUBSTITUTE(SUBSTITUTE(SUBSTITUTE(SUBSTITUTE(IF(E11="","",VLOOKUP(E11,[1]Esquemas_NORM!$A$2:$H$126,8,FALSE)),"PROVINCIA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" s="17" t="str">
        <f>IF($E11="","",INDEX([1]Esquemas_NORM!$H$2:$K$126,MATCH($E11,[1]Esquemas_NORM!$A$2:$A$126,0),MATCH(AA$4,[1]Esquemas_NORM!$H$1:$K$1,0)))</f>
        <v>A la fecha no ha conformado un EAT Región</v>
      </c>
      <c r="AB11" s="17" t="str">
        <f>IF($E11="","",INDEX([1]Esquemas_NORM!$H$2:$K$126,MATCH($E11,[1]Esquemas_NORM!$A$2:$A$126,0),MATCH(AB$4,[1]Esquemas_NORM!$H$1:$K$1,0)))</f>
        <v>Área Metropolitana del Valle de Aburrá</v>
      </c>
      <c r="AC11" s="17" t="str">
        <f>IF($E11="","",INDEX([1]Esquemas_NORM!$H$2:$K$126,MATCH($E11,[1]Esquemas_NORM!$A$2:$A$126,0),MATCH(AC$4,[1]Esquemas_NORM!$H$1:$K$1,0)))</f>
        <v>A la fecha no ha conformado un EAT asociación - unión</v>
      </c>
      <c r="AD11" s="23"/>
    </row>
    <row r="12" spans="1:30" x14ac:dyDescent="0.25">
      <c r="A12" s="24">
        <v>2015</v>
      </c>
      <c r="B12" s="25" t="s">
        <v>36</v>
      </c>
      <c r="C12" s="25" t="s">
        <v>38</v>
      </c>
      <c r="D12" s="25" t="s">
        <v>43</v>
      </c>
      <c r="E12" s="25" t="s">
        <v>55</v>
      </c>
      <c r="F12" s="25" t="s">
        <v>41</v>
      </c>
      <c r="G12" s="25" t="s">
        <v>56</v>
      </c>
      <c r="H12" s="26">
        <v>20.780437120249857</v>
      </c>
      <c r="I12" s="26">
        <v>12.538788273920058</v>
      </c>
      <c r="J12" s="27">
        <v>33.319225394169919</v>
      </c>
      <c r="K12" s="26">
        <v>898.27723009914121</v>
      </c>
      <c r="L12" s="26">
        <v>186.95512902929019</v>
      </c>
      <c r="M12" s="27">
        <v>1085.2323591284314</v>
      </c>
      <c r="N12" s="26">
        <v>31.636122739479827</v>
      </c>
      <c r="O12" s="26">
        <v>204.10786840640029</v>
      </c>
      <c r="P12" s="26">
        <v>17.871519940730128</v>
      </c>
      <c r="Q12" s="26">
        <v>11.50433340685008</v>
      </c>
      <c r="R12" s="26">
        <v>50.404858751420015</v>
      </c>
      <c r="S12" s="26">
        <v>102.48183819737011</v>
      </c>
      <c r="T12" s="26">
        <v>47.843006388370092</v>
      </c>
      <c r="U12" s="26">
        <v>10.502318001509957</v>
      </c>
      <c r="V12" s="27">
        <v>476.3518658321305</v>
      </c>
      <c r="W12" s="27">
        <v>1594.9034503547323</v>
      </c>
      <c r="X12" s="26">
        <v>160.29086665449975</v>
      </c>
      <c r="Y12" s="28">
        <v>1755.1943170092306</v>
      </c>
      <c r="Z12" s="17" t="str">
        <f>SUBSTITUTE(SUBSTITUTE(SUBSTITUTE(SUBSTITUTE(IF(E12="","",VLOOKUP(E12,[1]Esquemas_NORM!$A$2:$H$126,8,FALSE)),"PROVINCIA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" s="17" t="str">
        <f>IF($E12="","",INDEX([1]Esquemas_NORM!$H$2:$K$126,MATCH($E12,[1]Esquemas_NORM!$A$2:$A$126,0),MATCH(AA$4,[1]Esquemas_NORM!$H$1:$K$1,0)))</f>
        <v>A la fecha no ha conformado un EAT Región</v>
      </c>
      <c r="AB12" s="17" t="str">
        <f>IF($E12="","",INDEX([1]Esquemas_NORM!$H$2:$K$126,MATCH($E12,[1]Esquemas_NORM!$A$2:$A$126,0),MATCH(AB$4,[1]Esquemas_NORM!$H$1:$K$1,0)))</f>
        <v>Área Metropolitana del Valle de Aburrá</v>
      </c>
      <c r="AC12" s="17" t="str">
        <f>IF($E12="","",INDEX([1]Esquemas_NORM!$H$2:$K$126,MATCH($E12,[1]Esquemas_NORM!$A$2:$A$126,0),MATCH(AC$4,[1]Esquemas_NORM!$H$1:$K$1,0)))</f>
        <v>A la fecha no ha conformado un EAT asociación - unión</v>
      </c>
      <c r="AD12" s="23"/>
    </row>
    <row r="13" spans="1:30" x14ac:dyDescent="0.25">
      <c r="A13" s="24">
        <v>2015</v>
      </c>
      <c r="B13" s="25" t="s">
        <v>36</v>
      </c>
      <c r="C13" s="25" t="s">
        <v>38</v>
      </c>
      <c r="D13" s="25" t="s">
        <v>48</v>
      </c>
      <c r="E13" s="25" t="s">
        <v>57</v>
      </c>
      <c r="F13" s="25" t="s">
        <v>41</v>
      </c>
      <c r="G13" s="25" t="s">
        <v>58</v>
      </c>
      <c r="H13" s="26">
        <v>0.53533602332999641</v>
      </c>
      <c r="I13" s="26">
        <v>0.28950968739000138</v>
      </c>
      <c r="J13" s="27">
        <v>0.82484571071999779</v>
      </c>
      <c r="K13" s="26">
        <v>2197.5545754475929</v>
      </c>
      <c r="L13" s="26">
        <v>613.26451430018074</v>
      </c>
      <c r="M13" s="27">
        <v>2810.8190897477734</v>
      </c>
      <c r="N13" s="26">
        <v>248.67914688731861</v>
      </c>
      <c r="O13" s="26">
        <v>1072.2742888822313</v>
      </c>
      <c r="P13" s="26">
        <v>221.47510012846158</v>
      </c>
      <c r="Q13" s="26">
        <v>194.90310011709138</v>
      </c>
      <c r="R13" s="26">
        <v>577.1787989720201</v>
      </c>
      <c r="S13" s="26">
        <v>650.8318772653007</v>
      </c>
      <c r="T13" s="26">
        <v>472.38954530531095</v>
      </c>
      <c r="U13" s="26">
        <v>115.27570664269952</v>
      </c>
      <c r="V13" s="27">
        <v>3553.0075642004335</v>
      </c>
      <c r="W13" s="27">
        <v>6364.6514996589303</v>
      </c>
      <c r="X13" s="26">
        <v>639.65972649145294</v>
      </c>
      <c r="Y13" s="28">
        <v>7004.3112261503775</v>
      </c>
      <c r="Z13" s="17" t="str">
        <f>SUBSTITUTE(SUBSTITUTE(SUBSTITUTE(SUBSTITUTE(IF(E13="","",VLOOKUP(E13,[1]Esquemas_NORM!$A$2:$H$126,8,FALSE)),"PROVINCIA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" s="17" t="str">
        <f>IF($E13="","",INDEX([1]Esquemas_NORM!$H$2:$K$126,MATCH($E13,[1]Esquemas_NORM!$A$2:$A$126,0),MATCH(AA$4,[1]Esquemas_NORM!$H$1:$K$1,0)))</f>
        <v>A la fecha no ha conformado un EAT Región</v>
      </c>
      <c r="AB13" s="17" t="str">
        <f>IF($E13="","",INDEX([1]Esquemas_NORM!$H$2:$K$126,MATCH($E13,[1]Esquemas_NORM!$A$2:$A$126,0),MATCH(AB$4,[1]Esquemas_NORM!$H$1:$K$1,0)))</f>
        <v>Área Metropolitana del Valle de Aburrá</v>
      </c>
      <c r="AC13" s="17" t="str">
        <f>IF($E13="","",INDEX([1]Esquemas_NORM!$H$2:$K$126,MATCH($E13,[1]Esquemas_NORM!$A$2:$A$126,0),MATCH(AC$4,[1]Esquemas_NORM!$H$1:$K$1,0)))</f>
        <v>A la fecha no ha conformado un EAT asociación - unión</v>
      </c>
      <c r="AD13" s="23"/>
    </row>
    <row r="14" spans="1:30" x14ac:dyDescent="0.25">
      <c r="A14" s="24">
        <v>2015</v>
      </c>
      <c r="B14" s="25" t="s">
        <v>36</v>
      </c>
      <c r="C14" s="25" t="s">
        <v>38</v>
      </c>
      <c r="D14" s="25" t="s">
        <v>48</v>
      </c>
      <c r="E14" s="25" t="s">
        <v>59</v>
      </c>
      <c r="F14" s="25" t="s">
        <v>41</v>
      </c>
      <c r="G14" s="25" t="s">
        <v>60</v>
      </c>
      <c r="H14" s="26">
        <v>3.6424973072699753</v>
      </c>
      <c r="I14" s="26">
        <v>0</v>
      </c>
      <c r="J14" s="27">
        <v>3.6424973072699753</v>
      </c>
      <c r="K14" s="26">
        <v>580.1629063230107</v>
      </c>
      <c r="L14" s="26">
        <v>86.848358771650084</v>
      </c>
      <c r="M14" s="27">
        <v>667.01126509466076</v>
      </c>
      <c r="N14" s="26">
        <v>51.022015766959719</v>
      </c>
      <c r="O14" s="26">
        <v>215.0231779967603</v>
      </c>
      <c r="P14" s="26">
        <v>38.427458820900277</v>
      </c>
      <c r="Q14" s="26">
        <v>14.321720202410102</v>
      </c>
      <c r="R14" s="26">
        <v>98.760825982700027</v>
      </c>
      <c r="S14" s="26">
        <v>110.45209733999012</v>
      </c>
      <c r="T14" s="26">
        <v>76.663738739120163</v>
      </c>
      <c r="U14" s="26">
        <v>23.065431756999899</v>
      </c>
      <c r="V14" s="27">
        <v>627.73646660584063</v>
      </c>
      <c r="W14" s="27">
        <v>1298.3902290077722</v>
      </c>
      <c r="X14" s="26">
        <v>130.49071717607816</v>
      </c>
      <c r="Y14" s="28">
        <v>1428.8809461838493</v>
      </c>
      <c r="Z14" s="17" t="str">
        <f>SUBSTITUTE(SUBSTITUTE(SUBSTITUTE(SUBSTITUTE(IF(E14="","",VLOOKUP(E14,[1]Esquemas_NORM!$A$2:$H$126,8,FALSE)),"PROVINCIA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" s="17" t="str">
        <f>IF($E14="","",INDEX([1]Esquemas_NORM!$H$2:$K$126,MATCH($E14,[1]Esquemas_NORM!$A$2:$A$126,0),MATCH(AA$4,[1]Esquemas_NORM!$H$1:$K$1,0)))</f>
        <v>A la fecha no ha conformado un EAT Región</v>
      </c>
      <c r="AB14" s="17" t="str">
        <f>IF($E14="","",INDEX([1]Esquemas_NORM!$H$2:$K$126,MATCH($E14,[1]Esquemas_NORM!$A$2:$A$126,0),MATCH(AB$4,[1]Esquemas_NORM!$H$1:$K$1,0)))</f>
        <v>Área Metropolitana del Valle de Aburrá</v>
      </c>
      <c r="AC14" s="17" t="str">
        <f>IF($E14="","",INDEX([1]Esquemas_NORM!$H$2:$K$126,MATCH($E14,[1]Esquemas_NORM!$A$2:$A$126,0),MATCH(AC$4,[1]Esquemas_NORM!$H$1:$K$1,0)))</f>
        <v>A la fecha no ha conformado un EAT asociación - unión</v>
      </c>
      <c r="AD14" s="23"/>
    </row>
    <row r="15" spans="1:30" x14ac:dyDescent="0.25">
      <c r="A15" s="24">
        <v>2015</v>
      </c>
      <c r="B15" s="25" t="s">
        <v>36</v>
      </c>
      <c r="C15" s="25" t="s">
        <v>38</v>
      </c>
      <c r="D15" s="25" t="s">
        <v>48</v>
      </c>
      <c r="E15" s="25" t="s">
        <v>61</v>
      </c>
      <c r="F15" s="25" t="s">
        <v>41</v>
      </c>
      <c r="G15" s="25" t="s">
        <v>62</v>
      </c>
      <c r="H15" s="26">
        <v>8.1064774457899453</v>
      </c>
      <c r="I15" s="26">
        <v>0</v>
      </c>
      <c r="J15" s="27">
        <v>8.1064774457899453</v>
      </c>
      <c r="K15" s="26">
        <v>843.61740327636107</v>
      </c>
      <c r="L15" s="26">
        <v>283.60049106019028</v>
      </c>
      <c r="M15" s="27">
        <v>1127.2178943365514</v>
      </c>
      <c r="N15" s="26">
        <v>83.441205332919552</v>
      </c>
      <c r="O15" s="26">
        <v>287.24159618257039</v>
      </c>
      <c r="P15" s="26">
        <v>69.745740694560496</v>
      </c>
      <c r="Q15" s="26">
        <v>46.241765424920324</v>
      </c>
      <c r="R15" s="26">
        <v>276.25033908460006</v>
      </c>
      <c r="S15" s="26">
        <v>236.20383567659024</v>
      </c>
      <c r="T15" s="26">
        <v>259.86373947874051</v>
      </c>
      <c r="U15" s="26">
        <v>50.428634971999792</v>
      </c>
      <c r="V15" s="27">
        <v>1309.4168568469015</v>
      </c>
      <c r="W15" s="27">
        <v>2444.7412286292438</v>
      </c>
      <c r="X15" s="26">
        <v>245.70119915146392</v>
      </c>
      <c r="Y15" s="28">
        <v>2690.4424277807057</v>
      </c>
      <c r="Z15" s="17" t="str">
        <f>SUBSTITUTE(SUBSTITUTE(SUBSTITUTE(SUBSTITUTE(IF(E15="","",VLOOKUP(E15,[1]Esquemas_NORM!$A$2:$H$126,8,FALSE)),"PROVINCIA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5" s="17" t="str">
        <f>IF($E15="","",INDEX([1]Esquemas_NORM!$H$2:$K$126,MATCH($E15,[1]Esquemas_NORM!$A$2:$A$126,0),MATCH(AA$4,[1]Esquemas_NORM!$H$1:$K$1,0)))</f>
        <v>A la fecha no ha conformado un EAT Región</v>
      </c>
      <c r="AB15" s="17" t="str">
        <f>IF($E15="","",INDEX([1]Esquemas_NORM!$H$2:$K$126,MATCH($E15,[1]Esquemas_NORM!$A$2:$A$126,0),MATCH(AB$4,[1]Esquemas_NORM!$H$1:$K$1,0)))</f>
        <v>Área Metropolitana del Valle de Aburrá</v>
      </c>
      <c r="AC15" s="17" t="str">
        <f>IF($E15="","",INDEX([1]Esquemas_NORM!$H$2:$K$126,MATCH($E15,[1]Esquemas_NORM!$A$2:$A$126,0),MATCH(AC$4,[1]Esquemas_NORM!$H$1:$K$1,0)))</f>
        <v>A la fecha no ha conformado un EAT asociación - unión</v>
      </c>
      <c r="AD15" s="23"/>
    </row>
    <row r="16" spans="1:30" x14ac:dyDescent="0.25">
      <c r="A16" s="24">
        <v>2015</v>
      </c>
      <c r="B16" s="25" t="s">
        <v>36</v>
      </c>
      <c r="C16" s="25" t="s">
        <v>63</v>
      </c>
      <c r="D16" s="25" t="s">
        <v>64</v>
      </c>
      <c r="E16" s="25" t="s">
        <v>65</v>
      </c>
      <c r="F16" s="25" t="s">
        <v>66</v>
      </c>
      <c r="G16" s="25" t="s">
        <v>67</v>
      </c>
      <c r="H16" s="26">
        <v>52.487578809939649</v>
      </c>
      <c r="I16" s="26">
        <v>28.953848245970136</v>
      </c>
      <c r="J16" s="27">
        <v>81.441427055909784</v>
      </c>
      <c r="K16" s="26">
        <v>25.24822346887003</v>
      </c>
      <c r="L16" s="26">
        <v>0.47907749386000048</v>
      </c>
      <c r="M16" s="27">
        <v>25.72730096273003</v>
      </c>
      <c r="N16" s="26">
        <v>57.360179894429685</v>
      </c>
      <c r="O16" s="26">
        <v>49.797628702790071</v>
      </c>
      <c r="P16" s="26">
        <v>8.1689388677100592</v>
      </c>
      <c r="Q16" s="26">
        <v>5.4997526664100391</v>
      </c>
      <c r="R16" s="26">
        <v>10.094548380760003</v>
      </c>
      <c r="S16" s="26">
        <v>29.767388202930032</v>
      </c>
      <c r="T16" s="26">
        <v>48.826346565060099</v>
      </c>
      <c r="U16" s="26">
        <v>4.8835145939299798</v>
      </c>
      <c r="V16" s="27">
        <v>214.39829787401996</v>
      </c>
      <c r="W16" s="27">
        <v>321.56702589266047</v>
      </c>
      <c r="X16" s="26">
        <v>32.318105059194615</v>
      </c>
      <c r="Y16" s="28">
        <v>353.88513095185476</v>
      </c>
      <c r="Z16" s="17" t="str">
        <f>SUBSTITUTE(SUBSTITUTE(SUBSTITUTE(SUBSTITUTE(IF(E16="","",VLOOKUP(E16,[1]Esquemas_NORM!$A$2:$H$126,8,FALSE)),"PROVINCIA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6" s="17" t="str">
        <f>IF($E16="","",INDEX([1]Esquemas_NORM!$H$2:$K$126,MATCH($E16,[1]Esquemas_NORM!$A$2:$A$126,0),MATCH(AA$4,[1]Esquemas_NORM!$H$1:$K$1,0)))</f>
        <v>Región de Planeación y Gestión del Bajo Cauca</v>
      </c>
      <c r="AB16" s="17" t="str">
        <f>IF($E16="","",INDEX([1]Esquemas_NORM!$H$2:$K$126,MATCH($E16,[1]Esquemas_NORM!$A$2:$A$126,0),MATCH(AB$4,[1]Esquemas_NORM!$H$1:$K$1,0)))</f>
        <v>A la fecha no ha conformado un EAT Área Metropolitana</v>
      </c>
      <c r="AC16" s="17" t="str">
        <f>IF($E16="","",INDEX([1]Esquemas_NORM!$H$2:$K$126,MATCH($E16,[1]Esquemas_NORM!$A$2:$A$126,0),MATCH(AC$4,[1]Esquemas_NORM!$H$1:$K$1,0)))</f>
        <v>A la fecha no ha conformado un EAT asociación - unión</v>
      </c>
      <c r="AD16" s="23"/>
    </row>
    <row r="17" spans="1:30" x14ac:dyDescent="0.25">
      <c r="A17" s="24">
        <v>2015</v>
      </c>
      <c r="B17" s="25" t="s">
        <v>36</v>
      </c>
      <c r="C17" s="25" t="s">
        <v>63</v>
      </c>
      <c r="D17" s="25" t="s">
        <v>64</v>
      </c>
      <c r="E17" s="25" t="s">
        <v>68</v>
      </c>
      <c r="F17" s="25" t="s">
        <v>66</v>
      </c>
      <c r="G17" s="25" t="s">
        <v>69</v>
      </c>
      <c r="H17" s="26">
        <v>57.881442087549608</v>
      </c>
      <c r="I17" s="26">
        <v>28.867271410230135</v>
      </c>
      <c r="J17" s="27">
        <v>86.748713497779747</v>
      </c>
      <c r="K17" s="26">
        <v>45.186787312950059</v>
      </c>
      <c r="L17" s="26">
        <v>27.461945148210027</v>
      </c>
      <c r="M17" s="27">
        <v>72.64873246116008</v>
      </c>
      <c r="N17" s="26">
        <v>35.032310558569812</v>
      </c>
      <c r="O17" s="26">
        <v>336.76758542982043</v>
      </c>
      <c r="P17" s="26">
        <v>22.44473471489016</v>
      </c>
      <c r="Q17" s="26">
        <v>22.100292423080159</v>
      </c>
      <c r="R17" s="26">
        <v>39.375805555140005</v>
      </c>
      <c r="S17" s="26">
        <v>87.377964243170084</v>
      </c>
      <c r="T17" s="26">
        <v>124.86530980530024</v>
      </c>
      <c r="U17" s="26">
        <v>13.211297481389943</v>
      </c>
      <c r="V17" s="27">
        <v>681.17530021136076</v>
      </c>
      <c r="W17" s="27">
        <v>840.57274617030123</v>
      </c>
      <c r="X17" s="26">
        <v>84.479178937019583</v>
      </c>
      <c r="Y17" s="28">
        <v>925.05192510732024</v>
      </c>
      <c r="Z17" s="17" t="str">
        <f>SUBSTITUTE(SUBSTITUTE(SUBSTITUTE(SUBSTITUTE(IF(E17="","",VLOOKUP(E17,[1]Esquemas_NORM!$A$2:$H$126,8,FALSE)),"PROVINCIA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7" s="17" t="str">
        <f>IF($E17="","",INDEX([1]Esquemas_NORM!$H$2:$K$126,MATCH($E17,[1]Esquemas_NORM!$A$2:$A$126,0),MATCH(AA$4,[1]Esquemas_NORM!$H$1:$K$1,0)))</f>
        <v>Región de Planeación y Gestión del Bajo Cauca</v>
      </c>
      <c r="AB17" s="17" t="str">
        <f>IF($E17="","",INDEX([1]Esquemas_NORM!$H$2:$K$126,MATCH($E17,[1]Esquemas_NORM!$A$2:$A$126,0),MATCH(AB$4,[1]Esquemas_NORM!$H$1:$K$1,0)))</f>
        <v>A la fecha no ha conformado un EAT Área Metropolitana</v>
      </c>
      <c r="AC17" s="17" t="str">
        <f>IF($E17="","",INDEX([1]Esquemas_NORM!$H$2:$K$126,MATCH($E17,[1]Esquemas_NORM!$A$2:$A$126,0),MATCH(AC$4,[1]Esquemas_NORM!$H$1:$K$1,0)))</f>
        <v>A la fecha no ha conformado un EAT asociación - unión</v>
      </c>
      <c r="AD17" s="23"/>
    </row>
    <row r="18" spans="1:30" x14ac:dyDescent="0.25">
      <c r="A18" s="24">
        <v>2015</v>
      </c>
      <c r="B18" s="25" t="s">
        <v>36</v>
      </c>
      <c r="C18" s="25" t="s">
        <v>63</v>
      </c>
      <c r="D18" s="25" t="s">
        <v>64</v>
      </c>
      <c r="E18" s="25" t="s">
        <v>70</v>
      </c>
      <c r="F18" s="25" t="s">
        <v>66</v>
      </c>
      <c r="G18" s="25" t="s">
        <v>71</v>
      </c>
      <c r="H18" s="26">
        <v>19.489068018329867</v>
      </c>
      <c r="I18" s="26">
        <v>467.2277204288622</v>
      </c>
      <c r="J18" s="27">
        <v>486.71678844719207</v>
      </c>
      <c r="K18" s="26">
        <v>21.353065183960023</v>
      </c>
      <c r="L18" s="26">
        <v>10.631631304610011</v>
      </c>
      <c r="M18" s="27">
        <v>31.984696488570034</v>
      </c>
      <c r="N18" s="26">
        <v>17.369159582139904</v>
      </c>
      <c r="O18" s="26">
        <v>101.05031003276012</v>
      </c>
      <c r="P18" s="26">
        <v>13.291204177070096</v>
      </c>
      <c r="Q18" s="26">
        <v>10.302751619880073</v>
      </c>
      <c r="R18" s="26">
        <v>17.462047225250004</v>
      </c>
      <c r="S18" s="26">
        <v>65.571914833740067</v>
      </c>
      <c r="T18" s="26">
        <v>70.985398066490148</v>
      </c>
      <c r="U18" s="26">
        <v>7.7966407820699679</v>
      </c>
      <c r="V18" s="27">
        <v>303.8294263194004</v>
      </c>
      <c r="W18" s="27">
        <v>822.53091125516107</v>
      </c>
      <c r="X18" s="26">
        <v>82.665939800713105</v>
      </c>
      <c r="Y18" s="28">
        <v>905.19685105587359</v>
      </c>
      <c r="Z18" s="17" t="str">
        <f>SUBSTITUTE(SUBSTITUTE(SUBSTITUTE(SUBSTITUTE(IF(E18="","",VLOOKUP(E18,[1]Esquemas_NORM!$A$2:$H$126,8,FALSE)),"PROVINCIA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8" s="17" t="str">
        <f>IF($E18="","",INDEX([1]Esquemas_NORM!$H$2:$K$126,MATCH($E18,[1]Esquemas_NORM!$A$2:$A$126,0),MATCH(AA$4,[1]Esquemas_NORM!$H$1:$K$1,0)))</f>
        <v>Región de Planeación y Gestión del Bajo Cauca</v>
      </c>
      <c r="AB18" s="17" t="str">
        <f>IF($E18="","",INDEX([1]Esquemas_NORM!$H$2:$K$126,MATCH($E18,[1]Esquemas_NORM!$A$2:$A$126,0),MATCH(AB$4,[1]Esquemas_NORM!$H$1:$K$1,0)))</f>
        <v>A la fecha no ha conformado un EAT Área Metropolitana</v>
      </c>
      <c r="AC18" s="17" t="str">
        <f>IF($E18="","",INDEX([1]Esquemas_NORM!$H$2:$K$126,MATCH($E18,[1]Esquemas_NORM!$A$2:$A$126,0),MATCH(AC$4,[1]Esquemas_NORM!$H$1:$K$1,0)))</f>
        <v>A la fecha no ha conformado un EAT asociación - unión</v>
      </c>
      <c r="AD18" s="23"/>
    </row>
    <row r="19" spans="1:30" x14ac:dyDescent="0.25">
      <c r="A19" s="24">
        <v>2015</v>
      </c>
      <c r="B19" s="25" t="s">
        <v>36</v>
      </c>
      <c r="C19" s="25" t="s">
        <v>63</v>
      </c>
      <c r="D19" s="25" t="s">
        <v>64</v>
      </c>
      <c r="E19" s="25" t="s">
        <v>72</v>
      </c>
      <c r="F19" s="25" t="s">
        <v>66</v>
      </c>
      <c r="G19" s="25" t="s">
        <v>73</v>
      </c>
      <c r="H19" s="26">
        <v>19.47331170152987</v>
      </c>
      <c r="I19" s="26">
        <v>28.636711056490135</v>
      </c>
      <c r="J19" s="27">
        <v>48.110022758020008</v>
      </c>
      <c r="K19" s="26">
        <v>6.420702812470009</v>
      </c>
      <c r="L19" s="26">
        <v>9.6462048568200114</v>
      </c>
      <c r="M19" s="27">
        <v>16.066907669290021</v>
      </c>
      <c r="N19" s="26">
        <v>9.5601104943699475</v>
      </c>
      <c r="O19" s="26">
        <v>37.703722436810047</v>
      </c>
      <c r="P19" s="26">
        <v>5.4544385481600388</v>
      </c>
      <c r="Q19" s="26">
        <v>4.4371150082900312</v>
      </c>
      <c r="R19" s="26">
        <v>8.7990868231600015</v>
      </c>
      <c r="S19" s="26">
        <v>19.555538194650023</v>
      </c>
      <c r="T19" s="26">
        <v>42.592584744630088</v>
      </c>
      <c r="U19" s="26">
        <v>3.9954794578499833</v>
      </c>
      <c r="V19" s="27">
        <v>132.09807570792017</v>
      </c>
      <c r="W19" s="27">
        <v>196.27500613523031</v>
      </c>
      <c r="X19" s="26">
        <v>19.726015909629709</v>
      </c>
      <c r="Y19" s="28">
        <v>216.00102204485984</v>
      </c>
      <c r="Z19" s="17" t="str">
        <f>SUBSTITUTE(SUBSTITUTE(SUBSTITUTE(SUBSTITUTE(IF(E19="","",VLOOKUP(E19,[1]Esquemas_NORM!$A$2:$H$126,8,FALSE)),"PROVINCIA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9" s="17" t="str">
        <f>IF($E19="","",INDEX([1]Esquemas_NORM!$H$2:$K$126,MATCH($E19,[1]Esquemas_NORM!$A$2:$A$126,0),MATCH(AA$4,[1]Esquemas_NORM!$H$1:$K$1,0)))</f>
        <v>Región de Planeación y Gestión del Bajo Cauca</v>
      </c>
      <c r="AB19" s="17" t="str">
        <f>IF($E19="","",INDEX([1]Esquemas_NORM!$H$2:$K$126,MATCH($E19,[1]Esquemas_NORM!$A$2:$A$126,0),MATCH(AB$4,[1]Esquemas_NORM!$H$1:$K$1,0)))</f>
        <v>A la fecha no ha conformado un EAT Área Metropolitana</v>
      </c>
      <c r="AC19" s="17" t="str">
        <f>IF($E19="","",INDEX([1]Esquemas_NORM!$H$2:$K$126,MATCH($E19,[1]Esquemas_NORM!$A$2:$A$126,0),MATCH(AC$4,[1]Esquemas_NORM!$H$1:$K$1,0)))</f>
        <v>A la fecha no ha conformado un EAT asociación - unión</v>
      </c>
      <c r="AD19" s="23"/>
    </row>
    <row r="20" spans="1:30" x14ac:dyDescent="0.25">
      <c r="A20" s="24">
        <v>2015</v>
      </c>
      <c r="B20" s="25" t="s">
        <v>36</v>
      </c>
      <c r="C20" s="25" t="s">
        <v>63</v>
      </c>
      <c r="D20" s="25" t="s">
        <v>64</v>
      </c>
      <c r="E20" s="25" t="s">
        <v>74</v>
      </c>
      <c r="F20" s="25" t="s">
        <v>66</v>
      </c>
      <c r="G20" s="25" t="s">
        <v>75</v>
      </c>
      <c r="H20" s="26">
        <v>19.941827995629865</v>
      </c>
      <c r="I20" s="26">
        <v>52.418814481350246</v>
      </c>
      <c r="J20" s="27">
        <v>72.360642476980104</v>
      </c>
      <c r="K20" s="26">
        <v>1.9023903547200025</v>
      </c>
      <c r="L20" s="26">
        <v>16.993010705210018</v>
      </c>
      <c r="M20" s="27">
        <v>18.89540105993002</v>
      </c>
      <c r="N20" s="26">
        <v>10.887460004889938</v>
      </c>
      <c r="O20" s="26">
        <v>45.989747664000063</v>
      </c>
      <c r="P20" s="26">
        <v>8.858570555500064</v>
      </c>
      <c r="Q20" s="26">
        <v>7.4115164983100525</v>
      </c>
      <c r="R20" s="26">
        <v>13.445073089830002</v>
      </c>
      <c r="S20" s="26">
        <v>27.417204062890033</v>
      </c>
      <c r="T20" s="26">
        <v>54.867889358310109</v>
      </c>
      <c r="U20" s="26">
        <v>5.0515263967199795</v>
      </c>
      <c r="V20" s="27">
        <v>173.92898763045025</v>
      </c>
      <c r="W20" s="27">
        <v>265.18503116736036</v>
      </c>
      <c r="X20" s="26">
        <v>26.651606064392411</v>
      </c>
      <c r="Y20" s="28">
        <v>291.83663723175255</v>
      </c>
      <c r="Z20" s="17" t="str">
        <f>SUBSTITUTE(SUBSTITUTE(SUBSTITUTE(SUBSTITUTE(IF(E20="","",VLOOKUP(E20,[1]Esquemas_NORM!$A$2:$H$126,8,FALSE)),"PROVINCIA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0" s="17" t="str">
        <f>IF($E20="","",INDEX([1]Esquemas_NORM!$H$2:$K$126,MATCH($E20,[1]Esquemas_NORM!$A$2:$A$126,0),MATCH(AA$4,[1]Esquemas_NORM!$H$1:$K$1,0)))</f>
        <v>Región de Planeación y Gestión del Bajo Cauca</v>
      </c>
      <c r="AB20" s="17" t="str">
        <f>IF($E20="","",INDEX([1]Esquemas_NORM!$H$2:$K$126,MATCH($E20,[1]Esquemas_NORM!$A$2:$A$126,0),MATCH(AB$4,[1]Esquemas_NORM!$H$1:$K$1,0)))</f>
        <v>A la fecha no ha conformado un EAT Área Metropolitana</v>
      </c>
      <c r="AC20" s="17" t="str">
        <f>IF($E20="","",INDEX([1]Esquemas_NORM!$H$2:$K$126,MATCH($E20,[1]Esquemas_NORM!$A$2:$A$126,0),MATCH(AC$4,[1]Esquemas_NORM!$H$1:$K$1,0)))</f>
        <v>A la fecha no ha conformado un EAT asociación - unión</v>
      </c>
      <c r="AD20" s="23"/>
    </row>
    <row r="21" spans="1:30" x14ac:dyDescent="0.25">
      <c r="A21" s="24">
        <v>2015</v>
      </c>
      <c r="B21" s="25" t="s">
        <v>36</v>
      </c>
      <c r="C21" s="25" t="s">
        <v>63</v>
      </c>
      <c r="D21" s="25" t="s">
        <v>64</v>
      </c>
      <c r="E21" s="25" t="s">
        <v>76</v>
      </c>
      <c r="F21" s="25" t="s">
        <v>66</v>
      </c>
      <c r="G21" s="25" t="s">
        <v>77</v>
      </c>
      <c r="H21" s="26">
        <v>14.923342727749901</v>
      </c>
      <c r="I21" s="26">
        <v>258.36567928884119</v>
      </c>
      <c r="J21" s="27">
        <v>273.2890220165911</v>
      </c>
      <c r="K21" s="26">
        <v>3.6700572388100046</v>
      </c>
      <c r="L21" s="26">
        <v>13.362356931410014</v>
      </c>
      <c r="M21" s="27">
        <v>17.032414170220019</v>
      </c>
      <c r="N21" s="26">
        <v>19.353529566939894</v>
      </c>
      <c r="O21" s="26">
        <v>42.601826525340059</v>
      </c>
      <c r="P21" s="26">
        <v>4.4899077163900323</v>
      </c>
      <c r="Q21" s="26">
        <v>3.3238542172900236</v>
      </c>
      <c r="R21" s="26">
        <v>8.6266337604800025</v>
      </c>
      <c r="S21" s="26">
        <v>31.256224433370033</v>
      </c>
      <c r="T21" s="26">
        <v>35.617687526810073</v>
      </c>
      <c r="U21" s="26">
        <v>3.5934048497899851</v>
      </c>
      <c r="V21" s="27">
        <v>148.8630685964101</v>
      </c>
      <c r="W21" s="27">
        <v>439.18450478322075</v>
      </c>
      <c r="X21" s="26">
        <v>44.138888079488531</v>
      </c>
      <c r="Y21" s="28">
        <v>483.32339286270894</v>
      </c>
      <c r="Z21" s="17" t="str">
        <f>SUBSTITUTE(SUBSTITUTE(SUBSTITUTE(SUBSTITUTE(IF(E21="","",VLOOKUP(E21,[1]Esquemas_NORM!$A$2:$H$126,8,FALSE)),"PROVINCIA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1" s="17" t="str">
        <f>IF($E21="","",INDEX([1]Esquemas_NORM!$H$2:$K$126,MATCH($E21,[1]Esquemas_NORM!$A$2:$A$126,0),MATCH(AA$4,[1]Esquemas_NORM!$H$1:$K$1,0)))</f>
        <v>Región de Planeación y Gestión del Bajo Cauca</v>
      </c>
      <c r="AB21" s="17" t="str">
        <f>IF($E21="","",INDEX([1]Esquemas_NORM!$H$2:$K$126,MATCH($E21,[1]Esquemas_NORM!$A$2:$A$126,0),MATCH(AB$4,[1]Esquemas_NORM!$H$1:$K$1,0)))</f>
        <v>A la fecha no ha conformado un EAT Área Metropolitana</v>
      </c>
      <c r="AC21" s="17" t="str">
        <f>IF($E21="","",INDEX([1]Esquemas_NORM!$H$2:$K$126,MATCH($E21,[1]Esquemas_NORM!$A$2:$A$126,0),MATCH(AC$4,[1]Esquemas_NORM!$H$1:$K$1,0)))</f>
        <v>A la fecha no ha conformado un EAT asociación - unión</v>
      </c>
      <c r="AD21" s="23"/>
    </row>
    <row r="22" spans="1:30" x14ac:dyDescent="0.25">
      <c r="A22" s="24">
        <v>2015</v>
      </c>
      <c r="B22" s="25" t="s">
        <v>36</v>
      </c>
      <c r="C22" s="25" t="s">
        <v>78</v>
      </c>
      <c r="D22" s="25" t="s">
        <v>79</v>
      </c>
      <c r="E22" s="25" t="s">
        <v>80</v>
      </c>
      <c r="F22" s="25" t="s">
        <v>81</v>
      </c>
      <c r="G22" s="25" t="s">
        <v>82</v>
      </c>
      <c r="H22" s="26">
        <v>8.1111992685299441</v>
      </c>
      <c r="I22" s="26">
        <v>3.0014010317300142</v>
      </c>
      <c r="J22" s="27">
        <v>11.112600300259958</v>
      </c>
      <c r="K22" s="26">
        <v>2.7520314750400034</v>
      </c>
      <c r="L22" s="26">
        <v>1.3611481592100017</v>
      </c>
      <c r="M22" s="27">
        <v>4.1131796342500051</v>
      </c>
      <c r="N22" s="26">
        <v>3.1260787524699833</v>
      </c>
      <c r="O22" s="26">
        <v>7.4127801621800096</v>
      </c>
      <c r="P22" s="26">
        <v>1.5443048096000109</v>
      </c>
      <c r="Q22" s="26">
        <v>1.2393777601400089</v>
      </c>
      <c r="R22" s="26">
        <v>3.8785067787400007</v>
      </c>
      <c r="S22" s="26">
        <v>4.9863129036900053</v>
      </c>
      <c r="T22" s="26">
        <v>9.1154536754900199</v>
      </c>
      <c r="U22" s="26">
        <v>1.6611162231399932</v>
      </c>
      <c r="V22" s="27">
        <v>32.963931065450033</v>
      </c>
      <c r="W22" s="27">
        <v>48.189710999960077</v>
      </c>
      <c r="X22" s="26">
        <v>4.8431587117701351</v>
      </c>
      <c r="Y22" s="28">
        <v>53.032869711730157</v>
      </c>
      <c r="Z22" s="17" t="str">
        <f>SUBSTITUTE(SUBSTITUTE(SUBSTITUTE(SUBSTITUTE(IF(E22="","",VLOOKUP(E22,[1]Esquemas_NORM!$A$2:$H$126,8,FALSE)),"PROVINCIA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2" s="17" t="str">
        <f>IF($E22="","",INDEX([1]Esquemas_NORM!$H$2:$K$126,MATCH($E22,[1]Esquemas_NORM!$A$2:$A$126,0),MATCH(AA$4,[1]Esquemas_NORM!$H$1:$K$1,0)))</f>
        <v>A la fecha no ha conformado un EAT Región</v>
      </c>
      <c r="AB22" s="17" t="str">
        <f>IF($E22="","",INDEX([1]Esquemas_NORM!$H$2:$K$126,MATCH($E22,[1]Esquemas_NORM!$A$2:$A$126,0),MATCH(AB$4,[1]Esquemas_NORM!$H$1:$K$1,0)))</f>
        <v>A la fecha no ha conformado un EAT Área Metropolitana</v>
      </c>
      <c r="AC22" s="17" t="str">
        <f>IF($E22="","",INDEX([1]Esquemas_NORM!$H$2:$K$126,MATCH($E22,[1]Esquemas_NORM!$A$2:$A$126,0),MATCH(AC$4,[1]Esquemas_NORM!$H$1:$K$1,0)))</f>
        <v>ASOCIACIÓN DE MUNICIPIOS DEL MAGDALENA MEDIO ANTIOQUEÑO - AMMA</v>
      </c>
      <c r="AD22" s="23"/>
    </row>
    <row r="23" spans="1:30" x14ac:dyDescent="0.25">
      <c r="A23" s="24">
        <v>2015</v>
      </c>
      <c r="B23" s="25" t="s">
        <v>36</v>
      </c>
      <c r="C23" s="25" t="s">
        <v>78</v>
      </c>
      <c r="D23" s="25" t="s">
        <v>79</v>
      </c>
      <c r="E23" s="25" t="s">
        <v>83</v>
      </c>
      <c r="F23" s="25" t="s">
        <v>81</v>
      </c>
      <c r="G23" s="25" t="s">
        <v>84</v>
      </c>
      <c r="H23" s="26">
        <v>13.365206005479909</v>
      </c>
      <c r="I23" s="26">
        <v>2.6203208563800122</v>
      </c>
      <c r="J23" s="27">
        <v>15.98552686185992</v>
      </c>
      <c r="K23" s="26">
        <v>4.2414308695600056</v>
      </c>
      <c r="L23" s="26">
        <v>3.1000189752900029</v>
      </c>
      <c r="M23" s="27">
        <v>7.3414498448500085</v>
      </c>
      <c r="N23" s="26">
        <v>3.1178926110499825</v>
      </c>
      <c r="O23" s="26">
        <v>16.012449629650021</v>
      </c>
      <c r="P23" s="26">
        <v>2.5726633993900183</v>
      </c>
      <c r="Q23" s="26">
        <v>1.9816460812500141</v>
      </c>
      <c r="R23" s="26">
        <v>6.9687764459000006</v>
      </c>
      <c r="S23" s="26">
        <v>7.3361989220800083</v>
      </c>
      <c r="T23" s="26">
        <v>13.457476657940028</v>
      </c>
      <c r="U23" s="26">
        <v>2.3088373725899904</v>
      </c>
      <c r="V23" s="27">
        <v>53.755941119850057</v>
      </c>
      <c r="W23" s="27">
        <v>77.082917826560106</v>
      </c>
      <c r="X23" s="26">
        <v>7.7469816119151513</v>
      </c>
      <c r="Y23" s="28">
        <v>84.829899438475195</v>
      </c>
      <c r="Z23" s="17" t="str">
        <f>SUBSTITUTE(SUBSTITUTE(SUBSTITUTE(SUBSTITUTE(IF(E23="","",VLOOKUP(E23,[1]Esquemas_NORM!$A$2:$H$126,8,FALSE)),"PROVINCIA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3" s="17" t="str">
        <f>IF($E23="","",INDEX([1]Esquemas_NORM!$H$2:$K$126,MATCH($E23,[1]Esquemas_NORM!$A$2:$A$126,0),MATCH(AA$4,[1]Esquemas_NORM!$H$1:$K$1,0)))</f>
        <v>A la fecha no ha conformado un EAT Región</v>
      </c>
      <c r="AB23" s="17" t="str">
        <f>IF($E23="","",INDEX([1]Esquemas_NORM!$H$2:$K$126,MATCH($E23,[1]Esquemas_NORM!$A$2:$A$126,0),MATCH(AB$4,[1]Esquemas_NORM!$H$1:$K$1,0)))</f>
        <v>A la fecha no ha conformado un EAT Área Metropolitana</v>
      </c>
      <c r="AC23" s="17" t="str">
        <f>IF($E23="","",INDEX([1]Esquemas_NORM!$H$2:$K$126,MATCH($E23,[1]Esquemas_NORM!$A$2:$A$126,0),MATCH(AC$4,[1]Esquemas_NORM!$H$1:$K$1,0)))</f>
        <v>ASOCIACIÓN DE MUNICIPIOS DEL MAGDALENA MEDIO ANTIOQUEÑO - AMMA</v>
      </c>
      <c r="AD23" s="23"/>
    </row>
    <row r="24" spans="1:30" x14ac:dyDescent="0.25">
      <c r="A24" s="24">
        <v>2015</v>
      </c>
      <c r="B24" s="25" t="s">
        <v>36</v>
      </c>
      <c r="C24" s="25" t="s">
        <v>78</v>
      </c>
      <c r="D24" s="25" t="s">
        <v>85</v>
      </c>
      <c r="E24" s="25" t="s">
        <v>86</v>
      </c>
      <c r="F24" s="25" t="s">
        <v>81</v>
      </c>
      <c r="G24" s="25" t="s">
        <v>87</v>
      </c>
      <c r="H24" s="26">
        <v>25.017001030189832</v>
      </c>
      <c r="I24" s="26">
        <v>4.3191365905700208</v>
      </c>
      <c r="J24" s="27">
        <v>29.336137620759853</v>
      </c>
      <c r="K24" s="26">
        <v>40.86567789698006</v>
      </c>
      <c r="L24" s="26">
        <v>12.322602407600014</v>
      </c>
      <c r="M24" s="27">
        <v>53.188280304580076</v>
      </c>
      <c r="N24" s="26">
        <v>34.116174795649805</v>
      </c>
      <c r="O24" s="26">
        <v>140.29352003669021</v>
      </c>
      <c r="P24" s="26">
        <v>14.793951907830106</v>
      </c>
      <c r="Q24" s="26">
        <v>15.61119332979011</v>
      </c>
      <c r="R24" s="26">
        <v>35.276850686040007</v>
      </c>
      <c r="S24" s="26">
        <v>50.350199372620054</v>
      </c>
      <c r="T24" s="26">
        <v>68.019840524970135</v>
      </c>
      <c r="U24" s="26">
        <v>12.365892036439948</v>
      </c>
      <c r="V24" s="27">
        <v>370.82762269003035</v>
      </c>
      <c r="W24" s="27">
        <v>453.35204061537075</v>
      </c>
      <c r="X24" s="26">
        <v>45.562752700585271</v>
      </c>
      <c r="Y24" s="28">
        <v>498.91479331595559</v>
      </c>
      <c r="Z24" s="17" t="str">
        <f>SUBSTITUTE(SUBSTITUTE(SUBSTITUTE(SUBSTITUTE(IF(E24="","",VLOOKUP(E24,[1]Esquemas_NORM!$A$2:$H$126,8,FALSE)),"PROVINCIA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4" s="17" t="str">
        <f>IF($E24="","",INDEX([1]Esquemas_NORM!$H$2:$K$126,MATCH($E24,[1]Esquemas_NORM!$A$2:$A$126,0),MATCH(AA$4,[1]Esquemas_NORM!$H$1:$K$1,0)))</f>
        <v>A la fecha no ha conformado un EAT Región</v>
      </c>
      <c r="AB24" s="17" t="str">
        <f>IF($E24="","",INDEX([1]Esquemas_NORM!$H$2:$K$126,MATCH($E24,[1]Esquemas_NORM!$A$2:$A$126,0),MATCH(AB$4,[1]Esquemas_NORM!$H$1:$K$1,0)))</f>
        <v>A la fecha no ha conformado un EAT Área Metropolitana</v>
      </c>
      <c r="AC24" s="17" t="str">
        <f>IF($E24="","",INDEX([1]Esquemas_NORM!$H$2:$K$126,MATCH($E24,[1]Esquemas_NORM!$A$2:$A$126,0),MATCH(AC$4,[1]Esquemas_NORM!$H$1:$K$1,0)))</f>
        <v>ASOCIACIÓN DE MUNICIPIOS DEL MAGDALENA MEDIO ANTIOQUEÑO - AMMA</v>
      </c>
      <c r="AD24" s="23"/>
    </row>
    <row r="25" spans="1:30" x14ac:dyDescent="0.25">
      <c r="A25" s="24">
        <v>2015</v>
      </c>
      <c r="B25" s="25" t="s">
        <v>36</v>
      </c>
      <c r="C25" s="25" t="s">
        <v>78</v>
      </c>
      <c r="D25" s="25" t="s">
        <v>85</v>
      </c>
      <c r="E25" s="25" t="s">
        <v>88</v>
      </c>
      <c r="F25" s="25" t="s">
        <v>81</v>
      </c>
      <c r="G25" s="25" t="s">
        <v>89</v>
      </c>
      <c r="H25" s="26">
        <v>11.65205934293992</v>
      </c>
      <c r="I25" s="26">
        <v>105.33912051118048</v>
      </c>
      <c r="J25" s="27">
        <v>116.9911798541204</v>
      </c>
      <c r="K25" s="26">
        <v>51.512792675860069</v>
      </c>
      <c r="L25" s="26">
        <v>3.5055983917100035</v>
      </c>
      <c r="M25" s="27">
        <v>55.018391067570072</v>
      </c>
      <c r="N25" s="26">
        <v>85.773681936299511</v>
      </c>
      <c r="O25" s="26">
        <v>22.845917187730031</v>
      </c>
      <c r="P25" s="26">
        <v>5.0941219991900368</v>
      </c>
      <c r="Q25" s="26">
        <v>3.6271789106300258</v>
      </c>
      <c r="R25" s="26">
        <v>11.154816724220002</v>
      </c>
      <c r="S25" s="26">
        <v>33.365241542510034</v>
      </c>
      <c r="T25" s="26">
        <v>33.121720013650062</v>
      </c>
      <c r="U25" s="26">
        <v>3.3763223675299856</v>
      </c>
      <c r="V25" s="27">
        <v>198.35900068175968</v>
      </c>
      <c r="W25" s="27">
        <v>370.36857160345056</v>
      </c>
      <c r="X25" s="26">
        <v>37.222754337040172</v>
      </c>
      <c r="Y25" s="28">
        <v>407.59132594049044</v>
      </c>
      <c r="Z25" s="17" t="str">
        <f>SUBSTITUTE(SUBSTITUTE(SUBSTITUTE(SUBSTITUTE(IF(E25="","",VLOOKUP(E25,[1]Esquemas_NORM!$A$2:$H$126,8,FALSE)),"PROVINCIA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" s="17" t="str">
        <f>IF($E25="","",INDEX([1]Esquemas_NORM!$H$2:$K$126,MATCH($E25,[1]Esquemas_NORM!$A$2:$A$126,0),MATCH(AA$4,[1]Esquemas_NORM!$H$1:$K$1,0)))</f>
        <v>A la fecha no ha conformado un EAT Región</v>
      </c>
      <c r="AB25" s="17" t="str">
        <f>IF($E25="","",INDEX([1]Esquemas_NORM!$H$2:$K$126,MATCH($E25,[1]Esquemas_NORM!$A$2:$A$126,0),MATCH(AB$4,[1]Esquemas_NORM!$H$1:$K$1,0)))</f>
        <v>A la fecha no ha conformado un EAT Área Metropolitana</v>
      </c>
      <c r="AC25" s="17" t="str">
        <f>IF($E25="","",INDEX([1]Esquemas_NORM!$H$2:$K$126,MATCH($E25,[1]Esquemas_NORM!$A$2:$A$126,0),MATCH(AC$4,[1]Esquemas_NORM!$H$1:$K$1,0)))</f>
        <v>ASOCIACIÓN DE MUNICIPIOS DEL MAGDALENA MEDIO ANTIOQUEÑO - AMMA</v>
      </c>
      <c r="AD25" s="23"/>
    </row>
    <row r="26" spans="1:30" x14ac:dyDescent="0.25">
      <c r="A26" s="24">
        <v>2015</v>
      </c>
      <c r="B26" s="25" t="s">
        <v>36</v>
      </c>
      <c r="C26" s="25" t="s">
        <v>78</v>
      </c>
      <c r="D26" s="25" t="s">
        <v>85</v>
      </c>
      <c r="E26" s="25" t="s">
        <v>90</v>
      </c>
      <c r="F26" s="25" t="s">
        <v>81</v>
      </c>
      <c r="G26" s="25" t="s">
        <v>91</v>
      </c>
      <c r="H26" s="26">
        <v>13.679443193509908</v>
      </c>
      <c r="I26" s="26">
        <v>20.581601880410098</v>
      </c>
      <c r="J26" s="27">
        <v>34.261045073920002</v>
      </c>
      <c r="K26" s="26">
        <v>5.3697334942300072</v>
      </c>
      <c r="L26" s="26">
        <v>6.2036997931700064</v>
      </c>
      <c r="M26" s="27">
        <v>11.573433287400015</v>
      </c>
      <c r="N26" s="26">
        <v>10.270071610499944</v>
      </c>
      <c r="O26" s="26">
        <v>43.088969538780056</v>
      </c>
      <c r="P26" s="26">
        <v>4.2361495931100306</v>
      </c>
      <c r="Q26" s="26">
        <v>2.3169990302900163</v>
      </c>
      <c r="R26" s="26">
        <v>12.374071486940002</v>
      </c>
      <c r="S26" s="26">
        <v>13.499006507940015</v>
      </c>
      <c r="T26" s="26">
        <v>17.283269820010034</v>
      </c>
      <c r="U26" s="26">
        <v>2.6877885478099883</v>
      </c>
      <c r="V26" s="27">
        <v>105.75632613538008</v>
      </c>
      <c r="W26" s="27">
        <v>151.59080449670023</v>
      </c>
      <c r="X26" s="26">
        <v>15.235167636146354</v>
      </c>
      <c r="Y26" s="28">
        <v>166.82597213284646</v>
      </c>
      <c r="Z26" s="17" t="str">
        <f>SUBSTITUTE(SUBSTITUTE(SUBSTITUTE(SUBSTITUTE(IF(E26="","",VLOOKUP(E26,[1]Esquemas_NORM!$A$2:$H$126,8,FALSE)),"PROVINCIA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" s="17" t="str">
        <f>IF($E26="","",INDEX([1]Esquemas_NORM!$H$2:$K$126,MATCH($E26,[1]Esquemas_NORM!$A$2:$A$126,0),MATCH(AA$4,[1]Esquemas_NORM!$H$1:$K$1,0)))</f>
        <v>A la fecha no ha conformado un EAT Región</v>
      </c>
      <c r="AB26" s="17" t="str">
        <f>IF($E26="","",INDEX([1]Esquemas_NORM!$H$2:$K$126,MATCH($E26,[1]Esquemas_NORM!$A$2:$A$126,0),MATCH(AB$4,[1]Esquemas_NORM!$H$1:$K$1,0)))</f>
        <v>A la fecha no ha conformado un EAT Área Metropolitana</v>
      </c>
      <c r="AC26" s="17" t="str">
        <f>IF($E26="","",INDEX([1]Esquemas_NORM!$H$2:$K$126,MATCH($E26,[1]Esquemas_NORM!$A$2:$A$126,0),MATCH(AC$4,[1]Esquemas_NORM!$H$1:$K$1,0)))</f>
        <v>ASOCIACIÓN DE MUNICIPIOS DEL MAGDALENA MEDIO ANTIOQUEÑO - AMMA</v>
      </c>
      <c r="AD26" s="23"/>
    </row>
    <row r="27" spans="1:30" x14ac:dyDescent="0.25">
      <c r="A27" s="24">
        <v>2015</v>
      </c>
      <c r="B27" s="25" t="s">
        <v>36</v>
      </c>
      <c r="C27" s="25" t="s">
        <v>78</v>
      </c>
      <c r="D27" s="25" t="s">
        <v>85</v>
      </c>
      <c r="E27" s="25" t="s">
        <v>92</v>
      </c>
      <c r="F27" s="25" t="s">
        <v>81</v>
      </c>
      <c r="G27" s="25" t="s">
        <v>93</v>
      </c>
      <c r="H27" s="26">
        <v>51.424388643489642</v>
      </c>
      <c r="I27" s="26">
        <v>772.47394798662367</v>
      </c>
      <c r="J27" s="27">
        <v>823.89833663011336</v>
      </c>
      <c r="K27" s="26">
        <v>0.70737760981000086</v>
      </c>
      <c r="L27" s="26">
        <v>13.055181406680012</v>
      </c>
      <c r="M27" s="27">
        <v>13.762559016490012</v>
      </c>
      <c r="N27" s="26">
        <v>6.7636372669199627</v>
      </c>
      <c r="O27" s="26">
        <v>14.58084879667002</v>
      </c>
      <c r="P27" s="26">
        <v>3.7117381280700266</v>
      </c>
      <c r="Q27" s="26">
        <v>2.1707722769800157</v>
      </c>
      <c r="R27" s="26">
        <v>8.6293867240300024</v>
      </c>
      <c r="S27" s="26">
        <v>51.652007989790057</v>
      </c>
      <c r="T27" s="26">
        <v>17.949323313550035</v>
      </c>
      <c r="U27" s="26">
        <v>3.2846826924899863</v>
      </c>
      <c r="V27" s="27">
        <v>108.74239718850011</v>
      </c>
      <c r="W27" s="27">
        <v>946.40329283510141</v>
      </c>
      <c r="X27" s="26">
        <v>95.115352580801201</v>
      </c>
      <c r="Y27" s="28">
        <v>1041.5186454159018</v>
      </c>
      <c r="Z27" s="17" t="str">
        <f>SUBSTITUTE(SUBSTITUTE(SUBSTITUTE(SUBSTITUTE(IF(E27="","",VLOOKUP(E27,[1]Esquemas_NORM!$A$2:$H$126,8,FALSE)),"PROVINCIA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" s="17" t="str">
        <f>IF($E27="","",INDEX([1]Esquemas_NORM!$H$2:$K$126,MATCH($E27,[1]Esquemas_NORM!$A$2:$A$126,0),MATCH(AA$4,[1]Esquemas_NORM!$H$1:$K$1,0)))</f>
        <v>A la fecha no ha conformado un EAT Región</v>
      </c>
      <c r="AB27" s="17" t="str">
        <f>IF($E27="","",INDEX([1]Esquemas_NORM!$H$2:$K$126,MATCH($E27,[1]Esquemas_NORM!$A$2:$A$126,0),MATCH(AB$4,[1]Esquemas_NORM!$H$1:$K$1,0)))</f>
        <v>A la fecha no ha conformado un EAT Área Metropolitana</v>
      </c>
      <c r="AC27" s="17" t="str">
        <f>IF($E27="","",INDEX([1]Esquemas_NORM!$H$2:$K$126,MATCH($E27,[1]Esquemas_NORM!$A$2:$A$126,0),MATCH(AC$4,[1]Esquemas_NORM!$H$1:$K$1,0)))</f>
        <v>ASOCIACIÓN DE MUNICIPIOS DEL MAGDALENA MEDIO ANTIOQUEÑO - AMMA</v>
      </c>
      <c r="AD27" s="23"/>
    </row>
    <row r="28" spans="1:30" x14ac:dyDescent="0.25">
      <c r="A28" s="24">
        <v>2015</v>
      </c>
      <c r="B28" s="25" t="s">
        <v>36</v>
      </c>
      <c r="C28" s="25" t="s">
        <v>94</v>
      </c>
      <c r="D28" s="25" t="s">
        <v>95</v>
      </c>
      <c r="E28" s="25" t="s">
        <v>96</v>
      </c>
      <c r="F28" s="25" t="s">
        <v>97</v>
      </c>
      <c r="G28" s="25" t="s">
        <v>98</v>
      </c>
      <c r="H28" s="26">
        <v>25.308722766589828</v>
      </c>
      <c r="I28" s="26">
        <v>27.574133489970126</v>
      </c>
      <c r="J28" s="27">
        <v>52.882856256559954</v>
      </c>
      <c r="K28" s="26">
        <v>17.49006621564002</v>
      </c>
      <c r="L28" s="26">
        <v>28.693878050850032</v>
      </c>
      <c r="M28" s="27">
        <v>46.183944266490052</v>
      </c>
      <c r="N28" s="26">
        <v>223.68131113427876</v>
      </c>
      <c r="O28" s="26">
        <v>55.923197473170077</v>
      </c>
      <c r="P28" s="26">
        <v>11.352888041970081</v>
      </c>
      <c r="Q28" s="26">
        <v>10.521872315420074</v>
      </c>
      <c r="R28" s="26">
        <v>26.892793822960009</v>
      </c>
      <c r="S28" s="26">
        <v>55.400004475050054</v>
      </c>
      <c r="T28" s="26">
        <v>58.251023639480124</v>
      </c>
      <c r="U28" s="26">
        <v>10.217454920439957</v>
      </c>
      <c r="V28" s="27">
        <v>452.24054582276915</v>
      </c>
      <c r="W28" s="27">
        <v>551.30734634582086</v>
      </c>
      <c r="X28" s="26">
        <v>55.407449472313793</v>
      </c>
      <c r="Y28" s="28">
        <v>606.71479581813423</v>
      </c>
      <c r="Z28" s="17" t="str">
        <f>SUBSTITUTE(SUBSTITUTE(SUBSTITUTE(SUBSTITUTE(IF(E28="","",VLOOKUP(E28,[1]Esquemas_NORM!$A$2:$H$126,8,FALSE)),"PROVINCIA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28" s="17" t="str">
        <f>IF($E28="","",INDEX([1]Esquemas_NORM!$H$2:$K$126,MATCH($E28,[1]Esquemas_NORM!$A$2:$A$126,0),MATCH(AA$4,[1]Esquemas_NORM!$H$1:$K$1,0)))</f>
        <v>A la fecha no ha conformado un EAT Región</v>
      </c>
      <c r="AB28" s="17" t="str">
        <f>IF($E28="","",INDEX([1]Esquemas_NORM!$H$2:$K$126,MATCH($E28,[1]Esquemas_NORM!$A$2:$A$126,0),MATCH(AB$4,[1]Esquemas_NORM!$H$1:$K$1,0)))</f>
        <v>A la fecha no ha conformado un EAT Área Metropolitana</v>
      </c>
      <c r="AC28" s="17" t="str">
        <f>IF($E28="","",INDEX([1]Esquemas_NORM!$H$2:$K$126,MATCH($E28,[1]Esquemas_NORM!$A$2:$A$126,0),MATCH(AC$4,[1]Esquemas_NORM!$H$1:$K$1,0)))</f>
        <v>A la fecha no ha conformado un EAT asociación - unión</v>
      </c>
      <c r="AD28" s="23"/>
    </row>
    <row r="29" spans="1:30" x14ac:dyDescent="0.25">
      <c r="A29" s="24">
        <v>2015</v>
      </c>
      <c r="B29" s="25" t="s">
        <v>36</v>
      </c>
      <c r="C29" s="25" t="s">
        <v>94</v>
      </c>
      <c r="D29" s="25" t="s">
        <v>99</v>
      </c>
      <c r="E29" s="25" t="s">
        <v>100</v>
      </c>
      <c r="F29" s="25" t="s">
        <v>97</v>
      </c>
      <c r="G29" s="25" t="s">
        <v>101</v>
      </c>
      <c r="H29" s="26">
        <v>12.871475370569911</v>
      </c>
      <c r="I29" s="26">
        <v>39.414311307220181</v>
      </c>
      <c r="J29" s="27">
        <v>52.285786677790092</v>
      </c>
      <c r="K29" s="26">
        <v>2.4785801820100031</v>
      </c>
      <c r="L29" s="26">
        <v>7.0899522289000068</v>
      </c>
      <c r="M29" s="27">
        <v>9.5685324109100094</v>
      </c>
      <c r="N29" s="26">
        <v>67.618023179999611</v>
      </c>
      <c r="O29" s="26">
        <v>4.8093729740600066</v>
      </c>
      <c r="P29" s="26">
        <v>0.95347268845000677</v>
      </c>
      <c r="Q29" s="26">
        <v>0.73113340264000515</v>
      </c>
      <c r="R29" s="26">
        <v>1.9723983782100005</v>
      </c>
      <c r="S29" s="26">
        <v>7.5959824838100083</v>
      </c>
      <c r="T29" s="26">
        <v>7.6434464668200164</v>
      </c>
      <c r="U29" s="26">
        <v>0.95127325477999602</v>
      </c>
      <c r="V29" s="27">
        <v>92.275102828769647</v>
      </c>
      <c r="W29" s="27">
        <v>154.12942191747021</v>
      </c>
      <c r="X29" s="26">
        <v>15.490303573293881</v>
      </c>
      <c r="Y29" s="28">
        <v>169.61972549076395</v>
      </c>
      <c r="Z29" s="17" t="str">
        <f>SUBSTITUTE(SUBSTITUTE(SUBSTITUTE(SUBSTITUTE(IF(E29="","",VLOOKUP(E29,[1]Esquemas_NORM!$A$2:$H$126,8,FALSE)),"PROVINCIA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29" s="17" t="str">
        <f>IF($E29="","",INDEX([1]Esquemas_NORM!$H$2:$K$126,MATCH($E29,[1]Esquemas_NORM!$A$2:$A$126,0),MATCH(AA$4,[1]Esquemas_NORM!$H$1:$K$1,0)))</f>
        <v>A la fecha no ha conformado un EAT Región</v>
      </c>
      <c r="AB29" s="17" t="str">
        <f>IF($E29="","",INDEX([1]Esquemas_NORM!$H$2:$K$126,MATCH($E29,[1]Esquemas_NORM!$A$2:$A$126,0),MATCH(AB$4,[1]Esquemas_NORM!$H$1:$K$1,0)))</f>
        <v>A la fecha no ha conformado un EAT Área Metropolitana</v>
      </c>
      <c r="AC29" s="17" t="str">
        <f>IF($E29="","",INDEX([1]Esquemas_NORM!$H$2:$K$126,MATCH($E29,[1]Esquemas_NORM!$A$2:$A$126,0),MATCH(AC$4,[1]Esquemas_NORM!$H$1:$K$1,0)))</f>
        <v>A la fecha no ha conformado un EAT asociación - unión</v>
      </c>
      <c r="AD29" s="23"/>
    </row>
    <row r="30" spans="1:30" x14ac:dyDescent="0.25">
      <c r="A30" s="24">
        <v>2015</v>
      </c>
      <c r="B30" s="25" t="s">
        <v>36</v>
      </c>
      <c r="C30" s="25" t="s">
        <v>94</v>
      </c>
      <c r="D30" s="25" t="s">
        <v>79</v>
      </c>
      <c r="E30" s="25" t="s">
        <v>102</v>
      </c>
      <c r="F30" s="25" t="s">
        <v>97</v>
      </c>
      <c r="G30" s="25" t="s">
        <v>103</v>
      </c>
      <c r="H30" s="26">
        <v>3.8850610643999737</v>
      </c>
      <c r="I30" s="26">
        <v>0.31595161584000148</v>
      </c>
      <c r="J30" s="27">
        <v>4.201012680239975</v>
      </c>
      <c r="K30" s="26">
        <v>7.0846677336600088</v>
      </c>
      <c r="L30" s="26">
        <v>3.4891954415600042</v>
      </c>
      <c r="M30" s="27">
        <v>10.573863175220012</v>
      </c>
      <c r="N30" s="26">
        <v>7.6221249950899574</v>
      </c>
      <c r="O30" s="26">
        <v>22.541143872100033</v>
      </c>
      <c r="P30" s="26">
        <v>4.8305907758800348</v>
      </c>
      <c r="Q30" s="26">
        <v>3.4919473522100248</v>
      </c>
      <c r="R30" s="26">
        <v>12.327630608300002</v>
      </c>
      <c r="S30" s="26">
        <v>11.045836966940012</v>
      </c>
      <c r="T30" s="26">
        <v>17.679382827410034</v>
      </c>
      <c r="U30" s="26">
        <v>2.7282130503099888</v>
      </c>
      <c r="V30" s="27">
        <v>82.266870448240098</v>
      </c>
      <c r="W30" s="27">
        <v>97.041746303700137</v>
      </c>
      <c r="X30" s="26">
        <v>9.7528822909169897</v>
      </c>
      <c r="Y30" s="28">
        <v>106.79462859461705</v>
      </c>
      <c r="Z30" s="17" t="str">
        <f>SUBSTITUTE(SUBSTITUTE(SUBSTITUTE(SUBSTITUTE(IF(E30="","",VLOOKUP(E30,[1]Esquemas_NORM!$A$2:$H$126,8,FALSE)),"PROVINCIA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0" s="17" t="str">
        <f>IF($E30="","",INDEX([1]Esquemas_NORM!$H$2:$K$126,MATCH($E30,[1]Esquemas_NORM!$A$2:$A$126,0),MATCH(AA$4,[1]Esquemas_NORM!$H$1:$K$1,0)))</f>
        <v>A la fecha no ha conformado un EAT Región</v>
      </c>
      <c r="AB30" s="17" t="str">
        <f>IF($E30="","",INDEX([1]Esquemas_NORM!$H$2:$K$126,MATCH($E30,[1]Esquemas_NORM!$A$2:$A$126,0),MATCH(AB$4,[1]Esquemas_NORM!$H$1:$K$1,0)))</f>
        <v>A la fecha no ha conformado un EAT Área Metropolitana</v>
      </c>
      <c r="AC30" s="17" t="str">
        <f>IF($E30="","",INDEX([1]Esquemas_NORM!$H$2:$K$126,MATCH($E30,[1]Esquemas_NORM!$A$2:$A$126,0),MATCH(AC$4,[1]Esquemas_NORM!$H$1:$K$1,0)))</f>
        <v>A la fecha no ha conformado un EAT asociación - unión</v>
      </c>
      <c r="AD30" s="23"/>
    </row>
    <row r="31" spans="1:30" x14ac:dyDescent="0.25">
      <c r="A31" s="24">
        <v>2015</v>
      </c>
      <c r="B31" s="25" t="s">
        <v>36</v>
      </c>
      <c r="C31" s="25" t="s">
        <v>94</v>
      </c>
      <c r="D31" s="25" t="s">
        <v>104</v>
      </c>
      <c r="E31" s="25" t="s">
        <v>105</v>
      </c>
      <c r="F31" s="25" t="s">
        <v>97</v>
      </c>
      <c r="G31" s="25" t="s">
        <v>106</v>
      </c>
      <c r="H31" s="26">
        <v>33.996564432029764</v>
      </c>
      <c r="I31" s="26">
        <v>131.65147314464059</v>
      </c>
      <c r="J31" s="27">
        <v>165.64803757667036</v>
      </c>
      <c r="K31" s="26">
        <v>15.389568485140021</v>
      </c>
      <c r="L31" s="26">
        <v>1.866818146820002</v>
      </c>
      <c r="M31" s="27">
        <v>17.256386631960023</v>
      </c>
      <c r="N31" s="26">
        <v>8.9501869503499503</v>
      </c>
      <c r="O31" s="26">
        <v>51.547954043500063</v>
      </c>
      <c r="P31" s="26">
        <v>6.482288067270046</v>
      </c>
      <c r="Q31" s="26">
        <v>4.0175054377200281</v>
      </c>
      <c r="R31" s="26">
        <v>14.943307626850004</v>
      </c>
      <c r="S31" s="26">
        <v>24.054769328210028</v>
      </c>
      <c r="T31" s="26">
        <v>29.962214579010059</v>
      </c>
      <c r="U31" s="26">
        <v>4.9290176907599799</v>
      </c>
      <c r="V31" s="27">
        <v>144.88724372367017</v>
      </c>
      <c r="W31" s="27">
        <v>327.79166793230053</v>
      </c>
      <c r="X31" s="26">
        <v>32.943693565428873</v>
      </c>
      <c r="Y31" s="28">
        <v>360.73536149772912</v>
      </c>
      <c r="Z31" s="17" t="str">
        <f>SUBSTITUTE(SUBSTITUTE(SUBSTITUTE(SUBSTITUTE(IF(E31="","",VLOOKUP(E31,[1]Esquemas_NORM!$A$2:$H$126,8,FALSE)),"PROVINCIA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31" s="17" t="str">
        <f>IF($E31="","",INDEX([1]Esquemas_NORM!$H$2:$K$126,MATCH($E31,[1]Esquemas_NORM!$A$2:$A$126,0),MATCH(AA$4,[1]Esquemas_NORM!$H$1:$K$1,0)))</f>
        <v>A la fecha no ha conformado un EAT Región</v>
      </c>
      <c r="AB31" s="17" t="str">
        <f>IF($E31="","",INDEX([1]Esquemas_NORM!$H$2:$K$126,MATCH($E31,[1]Esquemas_NORM!$A$2:$A$126,0),MATCH(AB$4,[1]Esquemas_NORM!$H$1:$K$1,0)))</f>
        <v>A la fecha no ha conformado un EAT Área Metropolitana</v>
      </c>
      <c r="AC31" s="17" t="str">
        <f>IF($E31="","",INDEX([1]Esquemas_NORM!$H$2:$K$126,MATCH($E31,[1]Esquemas_NORM!$A$2:$A$126,0),MATCH(AC$4,[1]Esquemas_NORM!$H$1:$K$1,0)))</f>
        <v>A la fecha no ha conformado un EAT asociación - unión</v>
      </c>
      <c r="AD31" s="23"/>
    </row>
    <row r="32" spans="1:30" x14ac:dyDescent="0.25">
      <c r="A32" s="24">
        <v>2015</v>
      </c>
      <c r="B32" s="25" t="s">
        <v>36</v>
      </c>
      <c r="C32" s="25" t="s">
        <v>94</v>
      </c>
      <c r="D32" s="25" t="s">
        <v>79</v>
      </c>
      <c r="E32" s="25" t="s">
        <v>107</v>
      </c>
      <c r="F32" s="25" t="s">
        <v>97</v>
      </c>
      <c r="G32" s="25" t="s">
        <v>108</v>
      </c>
      <c r="H32" s="26">
        <v>21.717585984229853</v>
      </c>
      <c r="I32" s="26">
        <v>0</v>
      </c>
      <c r="J32" s="27">
        <v>21.717585984229853</v>
      </c>
      <c r="K32" s="26">
        <v>4.9095428715500056</v>
      </c>
      <c r="L32" s="26">
        <v>14.490025522670015</v>
      </c>
      <c r="M32" s="27">
        <v>19.399568394220019</v>
      </c>
      <c r="N32" s="26">
        <v>7.6565515632299572</v>
      </c>
      <c r="O32" s="26">
        <v>22.736803968400032</v>
      </c>
      <c r="P32" s="26">
        <v>8.1821089730300578</v>
      </c>
      <c r="Q32" s="26">
        <v>5.708019031330041</v>
      </c>
      <c r="R32" s="26">
        <v>15.982739511250003</v>
      </c>
      <c r="S32" s="26">
        <v>16.514739572510017</v>
      </c>
      <c r="T32" s="26">
        <v>32.706187720490064</v>
      </c>
      <c r="U32" s="26">
        <v>6.4018688693799737</v>
      </c>
      <c r="V32" s="27">
        <v>115.88901920962014</v>
      </c>
      <c r="W32" s="27">
        <v>157.00617358807023</v>
      </c>
      <c r="X32" s="26">
        <v>15.779422653417535</v>
      </c>
      <c r="Y32" s="28">
        <v>172.78559624148764</v>
      </c>
      <c r="Z32" s="17" t="str">
        <f>SUBSTITUTE(SUBSTITUTE(SUBSTITUTE(SUBSTITUTE(IF(E32="","",VLOOKUP(E32,[1]Esquemas_NORM!$A$2:$H$126,8,FALSE)),"PROVINCIA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2" s="17" t="str">
        <f>IF($E32="","",INDEX([1]Esquemas_NORM!$H$2:$K$126,MATCH($E32,[1]Esquemas_NORM!$A$2:$A$126,0),MATCH(AA$4,[1]Esquemas_NORM!$H$1:$K$1,0)))</f>
        <v>A la fecha no ha conformado un EAT Región</v>
      </c>
      <c r="AB32" s="17" t="str">
        <f>IF($E32="","",INDEX([1]Esquemas_NORM!$H$2:$K$126,MATCH($E32,[1]Esquemas_NORM!$A$2:$A$126,0),MATCH(AB$4,[1]Esquemas_NORM!$H$1:$K$1,0)))</f>
        <v>A la fecha no ha conformado un EAT Área Metropolitana</v>
      </c>
      <c r="AC32" s="17" t="str">
        <f>IF($E32="","",INDEX([1]Esquemas_NORM!$H$2:$K$126,MATCH($E32,[1]Esquemas_NORM!$A$2:$A$126,0),MATCH(AC$4,[1]Esquemas_NORM!$H$1:$K$1,0)))</f>
        <v>A la fecha no ha conformado un EAT asociación - unión</v>
      </c>
      <c r="AD32" s="23"/>
    </row>
    <row r="33" spans="1:30" x14ac:dyDescent="0.25">
      <c r="A33" s="24">
        <v>2015</v>
      </c>
      <c r="B33" s="25" t="s">
        <v>36</v>
      </c>
      <c r="C33" s="25" t="s">
        <v>94</v>
      </c>
      <c r="D33" s="25" t="s">
        <v>79</v>
      </c>
      <c r="E33" s="25" t="s">
        <v>109</v>
      </c>
      <c r="F33" s="25" t="s">
        <v>97</v>
      </c>
      <c r="G33" s="25" t="s">
        <v>110</v>
      </c>
      <c r="H33" s="26">
        <v>54.245987899469625</v>
      </c>
      <c r="I33" s="26">
        <v>0.39669745289000191</v>
      </c>
      <c r="J33" s="27">
        <v>54.642685352359628</v>
      </c>
      <c r="K33" s="26">
        <v>4.6446704988200063</v>
      </c>
      <c r="L33" s="26">
        <v>10.514730200530012</v>
      </c>
      <c r="M33" s="27">
        <v>15.159400699350019</v>
      </c>
      <c r="N33" s="26">
        <v>4.4005724898999752</v>
      </c>
      <c r="O33" s="26">
        <v>21.426281911780027</v>
      </c>
      <c r="P33" s="26">
        <v>3.382781547280024</v>
      </c>
      <c r="Q33" s="26">
        <v>2.4439281529700172</v>
      </c>
      <c r="R33" s="26">
        <v>10.327734262590003</v>
      </c>
      <c r="S33" s="26">
        <v>11.521712944440013</v>
      </c>
      <c r="T33" s="26">
        <v>18.408730720300039</v>
      </c>
      <c r="U33" s="26">
        <v>3.4314650768699853</v>
      </c>
      <c r="V33" s="27">
        <v>75.34320710613008</v>
      </c>
      <c r="W33" s="27">
        <v>145.14529315784023</v>
      </c>
      <c r="X33" s="26">
        <v>14.587381340185262</v>
      </c>
      <c r="Y33" s="28">
        <v>159.73267449802537</v>
      </c>
      <c r="Z33" s="17" t="str">
        <f>SUBSTITUTE(SUBSTITUTE(SUBSTITUTE(SUBSTITUTE(IF(E33="","",VLOOKUP(E33,[1]Esquemas_NORM!$A$2:$H$126,8,FALSE)),"PROVINCIA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3" s="17" t="str">
        <f>IF($E33="","",INDEX([1]Esquemas_NORM!$H$2:$K$126,MATCH($E33,[1]Esquemas_NORM!$A$2:$A$126,0),MATCH(AA$4,[1]Esquemas_NORM!$H$1:$K$1,0)))</f>
        <v>A la fecha no ha conformado un EAT Región</v>
      </c>
      <c r="AB33" s="17" t="str">
        <f>IF($E33="","",INDEX([1]Esquemas_NORM!$H$2:$K$126,MATCH($E33,[1]Esquemas_NORM!$A$2:$A$126,0),MATCH(AB$4,[1]Esquemas_NORM!$H$1:$K$1,0)))</f>
        <v>A la fecha no ha conformado un EAT Área Metropolitana</v>
      </c>
      <c r="AC33" s="17" t="str">
        <f>IF($E33="","",INDEX([1]Esquemas_NORM!$H$2:$K$126,MATCH($E33,[1]Esquemas_NORM!$A$2:$A$126,0),MATCH(AC$4,[1]Esquemas_NORM!$H$1:$K$1,0)))</f>
        <v>A la fecha no ha conformado un EAT asociación - unión</v>
      </c>
      <c r="AD33" s="23"/>
    </row>
    <row r="34" spans="1:30" x14ac:dyDescent="0.25">
      <c r="A34" s="24">
        <v>2015</v>
      </c>
      <c r="B34" s="25" t="s">
        <v>36</v>
      </c>
      <c r="C34" s="25" t="s">
        <v>94</v>
      </c>
      <c r="D34" s="25" t="s">
        <v>104</v>
      </c>
      <c r="E34" s="25" t="s">
        <v>111</v>
      </c>
      <c r="F34" s="25" t="s">
        <v>97</v>
      </c>
      <c r="G34" s="25" t="s">
        <v>112</v>
      </c>
      <c r="H34" s="26">
        <v>8.5110883805199418</v>
      </c>
      <c r="I34" s="26">
        <v>226.15616156640104</v>
      </c>
      <c r="J34" s="27">
        <v>234.66724994692098</v>
      </c>
      <c r="K34" s="26">
        <v>16.64885289653002</v>
      </c>
      <c r="L34" s="26">
        <v>10.802924214990011</v>
      </c>
      <c r="M34" s="27">
        <v>27.45177711152003</v>
      </c>
      <c r="N34" s="26">
        <v>22.429682833619871</v>
      </c>
      <c r="O34" s="26">
        <v>79.126828032570103</v>
      </c>
      <c r="P34" s="26">
        <v>10.336856672880073</v>
      </c>
      <c r="Q34" s="26">
        <v>7.5119475576500534</v>
      </c>
      <c r="R34" s="26">
        <v>34.170623969590004</v>
      </c>
      <c r="S34" s="26">
        <v>42.40730666893004</v>
      </c>
      <c r="T34" s="26">
        <v>43.48949020702009</v>
      </c>
      <c r="U34" s="26">
        <v>8.7060698198399642</v>
      </c>
      <c r="V34" s="27">
        <v>248.17880576210018</v>
      </c>
      <c r="W34" s="27">
        <v>510.29783282054075</v>
      </c>
      <c r="X34" s="26">
        <v>51.2859144272416</v>
      </c>
      <c r="Y34" s="28">
        <v>561.58374724778196</v>
      </c>
      <c r="Z34" s="17" t="str">
        <f>SUBSTITUTE(SUBSTITUTE(SUBSTITUTE(SUBSTITUTE(IF(E34="","",VLOOKUP(E34,[1]Esquemas_NORM!$A$2:$H$126,8,FALSE)),"PROVINCIA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34" s="17" t="str">
        <f>IF($E34="","",INDEX([1]Esquemas_NORM!$H$2:$K$126,MATCH($E34,[1]Esquemas_NORM!$A$2:$A$126,0),MATCH(AA$4,[1]Esquemas_NORM!$H$1:$K$1,0)))</f>
        <v>A la fecha no ha conformado un EAT Región</v>
      </c>
      <c r="AB34" s="17" t="str">
        <f>IF($E34="","",INDEX([1]Esquemas_NORM!$H$2:$K$126,MATCH($E34,[1]Esquemas_NORM!$A$2:$A$126,0),MATCH(AB$4,[1]Esquemas_NORM!$H$1:$K$1,0)))</f>
        <v>A la fecha no ha conformado un EAT Área Metropolitana</v>
      </c>
      <c r="AC34" s="17" t="str">
        <f>IF($E34="","",INDEX([1]Esquemas_NORM!$H$2:$K$126,MATCH($E34,[1]Esquemas_NORM!$A$2:$A$126,0),MATCH(AC$4,[1]Esquemas_NORM!$H$1:$K$1,0)))</f>
        <v>A la fecha no ha conformado un EAT asociación - unión</v>
      </c>
      <c r="AD34" s="23"/>
    </row>
    <row r="35" spans="1:30" x14ac:dyDescent="0.25">
      <c r="A35" s="24">
        <v>2015</v>
      </c>
      <c r="B35" s="25" t="s">
        <v>36</v>
      </c>
      <c r="C35" s="25" t="s">
        <v>94</v>
      </c>
      <c r="D35" s="25" t="s">
        <v>95</v>
      </c>
      <c r="E35" s="25" t="s">
        <v>113</v>
      </c>
      <c r="F35" s="25" t="s">
        <v>97</v>
      </c>
      <c r="G35" s="25" t="s">
        <v>114</v>
      </c>
      <c r="H35" s="26">
        <v>17.761107809039878</v>
      </c>
      <c r="I35" s="26">
        <v>17.676075334750085</v>
      </c>
      <c r="J35" s="27">
        <v>35.437183143789966</v>
      </c>
      <c r="K35" s="26">
        <v>1.526972376350002</v>
      </c>
      <c r="L35" s="26">
        <v>9.5406303934300087</v>
      </c>
      <c r="M35" s="27">
        <v>11.067602769780011</v>
      </c>
      <c r="N35" s="26">
        <v>4.9852010011799726</v>
      </c>
      <c r="O35" s="26">
        <v>23.347601049950033</v>
      </c>
      <c r="P35" s="26">
        <v>3.9557161555800282</v>
      </c>
      <c r="Q35" s="26">
        <v>2.965798399020021</v>
      </c>
      <c r="R35" s="26">
        <v>6.2761802311700006</v>
      </c>
      <c r="S35" s="26">
        <v>11.621124145250013</v>
      </c>
      <c r="T35" s="26">
        <v>19.478262307660039</v>
      </c>
      <c r="U35" s="26">
        <v>2.5558976705399887</v>
      </c>
      <c r="V35" s="27">
        <v>75.185780960350115</v>
      </c>
      <c r="W35" s="27">
        <v>121.69056687392018</v>
      </c>
      <c r="X35" s="26">
        <v>12.230136202634567</v>
      </c>
      <c r="Y35" s="28">
        <v>133.92070307655464</v>
      </c>
      <c r="Z35" s="17" t="str">
        <f>SUBSTITUTE(SUBSTITUTE(SUBSTITUTE(SUBSTITUTE(IF(E35="","",VLOOKUP(E35,[1]Esquemas_NORM!$A$2:$H$126,8,FALSE)),"PROVINCIA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35" s="17" t="str">
        <f>IF($E35="","",INDEX([1]Esquemas_NORM!$H$2:$K$126,MATCH($E35,[1]Esquemas_NORM!$A$2:$A$126,0),MATCH(AA$4,[1]Esquemas_NORM!$H$1:$K$1,0)))</f>
        <v>A la fecha no ha conformado un EAT Región</v>
      </c>
      <c r="AB35" s="17" t="str">
        <f>IF($E35="","",INDEX([1]Esquemas_NORM!$H$2:$K$126,MATCH($E35,[1]Esquemas_NORM!$A$2:$A$126,0),MATCH(AB$4,[1]Esquemas_NORM!$H$1:$K$1,0)))</f>
        <v>A la fecha no ha conformado un EAT Área Metropolitana</v>
      </c>
      <c r="AC35" s="17" t="str">
        <f>IF($E35="","",INDEX([1]Esquemas_NORM!$H$2:$K$126,MATCH($E35,[1]Esquemas_NORM!$A$2:$A$126,0),MATCH(AC$4,[1]Esquemas_NORM!$H$1:$K$1,0)))</f>
        <v>A la fecha no ha conformado un EAT asociación - unión</v>
      </c>
      <c r="AD35" s="23"/>
    </row>
    <row r="36" spans="1:30" x14ac:dyDescent="0.25">
      <c r="A36" s="24">
        <v>2015</v>
      </c>
      <c r="B36" s="25" t="s">
        <v>36</v>
      </c>
      <c r="C36" s="25" t="s">
        <v>94</v>
      </c>
      <c r="D36" s="25" t="s">
        <v>95</v>
      </c>
      <c r="E36" s="25" t="s">
        <v>115</v>
      </c>
      <c r="F36" s="25" t="s">
        <v>97</v>
      </c>
      <c r="G36" s="25" t="s">
        <v>116</v>
      </c>
      <c r="H36" s="26">
        <v>10.426041174919929</v>
      </c>
      <c r="I36" s="26">
        <v>0.61682913488000291</v>
      </c>
      <c r="J36" s="27">
        <v>11.042870309799932</v>
      </c>
      <c r="K36" s="26">
        <v>2.7302577071500034</v>
      </c>
      <c r="L36" s="26">
        <v>2.2171811620100028</v>
      </c>
      <c r="M36" s="27">
        <v>4.9474388691600062</v>
      </c>
      <c r="N36" s="26">
        <v>1.8454594150799899</v>
      </c>
      <c r="O36" s="26">
        <v>12.158519385370017</v>
      </c>
      <c r="P36" s="26">
        <v>2.2508637884100158</v>
      </c>
      <c r="Q36" s="26">
        <v>1.4448248235600103</v>
      </c>
      <c r="R36" s="26">
        <v>4.0688326164700008</v>
      </c>
      <c r="S36" s="26">
        <v>6.2345601380300062</v>
      </c>
      <c r="T36" s="26">
        <v>11.756911330180024</v>
      </c>
      <c r="U36" s="26">
        <v>2.099695738649991</v>
      </c>
      <c r="V36" s="27">
        <v>41.859667235750059</v>
      </c>
      <c r="W36" s="27">
        <v>57.849976414710092</v>
      </c>
      <c r="X36" s="26">
        <v>5.8140339801725762</v>
      </c>
      <c r="Y36" s="28">
        <v>63.664010394882609</v>
      </c>
      <c r="Z36" s="17" t="str">
        <f>SUBSTITUTE(SUBSTITUTE(SUBSTITUTE(SUBSTITUTE(IF(E36="","",VLOOKUP(E36,[1]Esquemas_NORM!$A$2:$H$126,8,FALSE)),"PROVINCIA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36" s="17" t="str">
        <f>IF($E36="","",INDEX([1]Esquemas_NORM!$H$2:$K$126,MATCH($E36,[1]Esquemas_NORM!$A$2:$A$126,0),MATCH(AA$4,[1]Esquemas_NORM!$H$1:$K$1,0)))</f>
        <v>A la fecha no ha conformado un EAT Región</v>
      </c>
      <c r="AB36" s="17" t="str">
        <f>IF($E36="","",INDEX([1]Esquemas_NORM!$H$2:$K$126,MATCH($E36,[1]Esquemas_NORM!$A$2:$A$126,0),MATCH(AB$4,[1]Esquemas_NORM!$H$1:$K$1,0)))</f>
        <v>A la fecha no ha conformado un EAT Área Metropolitana</v>
      </c>
      <c r="AC36" s="17" t="str">
        <f>IF($E36="","",INDEX([1]Esquemas_NORM!$H$2:$K$126,MATCH($E36,[1]Esquemas_NORM!$A$2:$A$126,0),MATCH(AC$4,[1]Esquemas_NORM!$H$1:$K$1,0)))</f>
        <v>A la fecha no ha conformado un EAT asociación - unión</v>
      </c>
      <c r="AD36" s="23"/>
    </row>
    <row r="37" spans="1:30" x14ac:dyDescent="0.25">
      <c r="A37" s="24">
        <v>2015</v>
      </c>
      <c r="B37" s="25" t="s">
        <v>36</v>
      </c>
      <c r="C37" s="25" t="s">
        <v>94</v>
      </c>
      <c r="D37" s="25" t="s">
        <v>95</v>
      </c>
      <c r="E37" s="25" t="s">
        <v>117</v>
      </c>
      <c r="F37" s="25" t="s">
        <v>97</v>
      </c>
      <c r="G37" s="25" t="s">
        <v>118</v>
      </c>
      <c r="H37" s="26">
        <v>30.817145461379795</v>
      </c>
      <c r="I37" s="26">
        <v>0.47095881953000224</v>
      </c>
      <c r="J37" s="27">
        <v>31.288104280909796</v>
      </c>
      <c r="K37" s="26">
        <v>7.1495214836900098</v>
      </c>
      <c r="L37" s="26">
        <v>17.163735502840019</v>
      </c>
      <c r="M37" s="27">
        <v>24.313256986530028</v>
      </c>
      <c r="N37" s="26">
        <v>3.4537160206299808</v>
      </c>
      <c r="O37" s="26">
        <v>39.868097274490054</v>
      </c>
      <c r="P37" s="26">
        <v>5.1513878649000375</v>
      </c>
      <c r="Q37" s="26">
        <v>3.8533197199800275</v>
      </c>
      <c r="R37" s="26">
        <v>10.465093176250004</v>
      </c>
      <c r="S37" s="26">
        <v>17.487458335820019</v>
      </c>
      <c r="T37" s="26">
        <v>39.702234741970081</v>
      </c>
      <c r="U37" s="26">
        <v>3.9343428610899838</v>
      </c>
      <c r="V37" s="27">
        <v>123.9156499951302</v>
      </c>
      <c r="W37" s="27">
        <v>179.51701126257029</v>
      </c>
      <c r="X37" s="26">
        <v>18.041805168902755</v>
      </c>
      <c r="Y37" s="28">
        <v>197.55881643147291</v>
      </c>
      <c r="Z37" s="17" t="str">
        <f>SUBSTITUTE(SUBSTITUTE(SUBSTITUTE(SUBSTITUTE(IF(E37="","",VLOOKUP(E37,[1]Esquemas_NORM!$A$2:$H$126,8,FALSE)),"PROVINCIA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37" s="17" t="str">
        <f>IF($E37="","",INDEX([1]Esquemas_NORM!$H$2:$K$126,MATCH($E37,[1]Esquemas_NORM!$A$2:$A$126,0),MATCH(AA$4,[1]Esquemas_NORM!$H$1:$K$1,0)))</f>
        <v>A la fecha no ha conformado un EAT Región</v>
      </c>
      <c r="AB37" s="17" t="str">
        <f>IF($E37="","",INDEX([1]Esquemas_NORM!$H$2:$K$126,MATCH($E37,[1]Esquemas_NORM!$A$2:$A$126,0),MATCH(AB$4,[1]Esquemas_NORM!$H$1:$K$1,0)))</f>
        <v>A la fecha no ha conformado un EAT Área Metropolitana</v>
      </c>
      <c r="AC37" s="17" t="str">
        <f>IF($E37="","",INDEX([1]Esquemas_NORM!$H$2:$K$126,MATCH($E37,[1]Esquemas_NORM!$A$2:$A$126,0),MATCH(AC$4,[1]Esquemas_NORM!$H$1:$K$1,0)))</f>
        <v>A la fecha no ha conformado un EAT asociación - unión</v>
      </c>
      <c r="AD37" s="23"/>
    </row>
    <row r="38" spans="1:30" x14ac:dyDescent="0.25">
      <c r="A38" s="24">
        <v>2015</v>
      </c>
      <c r="B38" s="25" t="s">
        <v>36</v>
      </c>
      <c r="C38" s="25" t="s">
        <v>119</v>
      </c>
      <c r="D38" s="25" t="s">
        <v>120</v>
      </c>
      <c r="E38" s="25" t="s">
        <v>121</v>
      </c>
      <c r="F38" s="25" t="s">
        <v>122</v>
      </c>
      <c r="G38" s="25" t="s">
        <v>123</v>
      </c>
      <c r="H38" s="26">
        <v>26.736430991089815</v>
      </c>
      <c r="I38" s="26">
        <v>0</v>
      </c>
      <c r="J38" s="27">
        <v>26.736430991089815</v>
      </c>
      <c r="K38" s="26">
        <v>6.9440480326100085</v>
      </c>
      <c r="L38" s="26">
        <v>16.573576058260016</v>
      </c>
      <c r="M38" s="27">
        <v>23.517624090870026</v>
      </c>
      <c r="N38" s="26">
        <v>3.8995280286499785</v>
      </c>
      <c r="O38" s="26">
        <v>17.143156327560021</v>
      </c>
      <c r="P38" s="26">
        <v>3.1480556263300228</v>
      </c>
      <c r="Q38" s="26">
        <v>2.709331324650019</v>
      </c>
      <c r="R38" s="26">
        <v>7.0683713629800016</v>
      </c>
      <c r="S38" s="26">
        <v>9.8740172300800104</v>
      </c>
      <c r="T38" s="26">
        <v>19.476664258150038</v>
      </c>
      <c r="U38" s="26">
        <v>2.7939434756799879</v>
      </c>
      <c r="V38" s="27">
        <v>66.113067634080068</v>
      </c>
      <c r="W38" s="27">
        <v>116.36712271604019</v>
      </c>
      <c r="X38" s="26">
        <v>11.695119818129998</v>
      </c>
      <c r="Y38" s="28">
        <v>128.06224253417008</v>
      </c>
      <c r="Z38" s="17" t="str">
        <f>SUBSTITUTE(SUBSTITUTE(SUBSTITUTE(SUBSTITUTE(IF(E38="","",VLOOKUP(E38,[1]Esquemas_NORM!$A$2:$H$126,8,FALSE)),"PROVINCIA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38" s="17" t="str">
        <f>IF($E38="","",INDEX([1]Esquemas_NORM!$H$2:$K$126,MATCH($E38,[1]Esquemas_NORM!$A$2:$A$126,0),MATCH(AA$4,[1]Esquemas_NORM!$H$1:$K$1,0)))</f>
        <v>A la fecha no ha conformado un EAT Región</v>
      </c>
      <c r="AB38" s="17" t="str">
        <f>IF($E38="","",INDEX([1]Esquemas_NORM!$H$2:$K$126,MATCH($E38,[1]Esquemas_NORM!$A$2:$A$126,0),MATCH(AB$4,[1]Esquemas_NORM!$H$1:$K$1,0)))</f>
        <v>A la fecha no ha conformado un EAT Área Metropolitana</v>
      </c>
      <c r="AC38" s="17" t="str">
        <f>IF($E38="","",INDEX([1]Esquemas_NORM!$H$2:$K$126,MATCH($E38,[1]Esquemas_NORM!$A$2:$A$126,0),MATCH(AC$4,[1]Esquemas_NORM!$H$1:$K$1,0)))</f>
        <v>ASOCIACION DE MUNICIPIOS DEL NORTE ANTIOQUEÑO - AMUNORTE</v>
      </c>
      <c r="AD38" s="23"/>
    </row>
    <row r="39" spans="1:30" x14ac:dyDescent="0.25">
      <c r="A39" s="24">
        <v>2015</v>
      </c>
      <c r="B39" s="25" t="s">
        <v>36</v>
      </c>
      <c r="C39" s="25" t="s">
        <v>119</v>
      </c>
      <c r="D39" s="25" t="s">
        <v>124</v>
      </c>
      <c r="E39" s="25" t="s">
        <v>125</v>
      </c>
      <c r="F39" s="25" t="s">
        <v>122</v>
      </c>
      <c r="G39" s="25" t="s">
        <v>126</v>
      </c>
      <c r="H39" s="26">
        <v>14.613103649649901</v>
      </c>
      <c r="I39" s="26">
        <v>0</v>
      </c>
      <c r="J39" s="27">
        <v>14.613103649649901</v>
      </c>
      <c r="K39" s="26">
        <v>4.0028727352100058</v>
      </c>
      <c r="L39" s="26">
        <v>1.129771075800001</v>
      </c>
      <c r="M39" s="27">
        <v>5.1326438110100066</v>
      </c>
      <c r="N39" s="26">
        <v>2.4193256542799868</v>
      </c>
      <c r="O39" s="26">
        <v>9.9870651910200134</v>
      </c>
      <c r="P39" s="26">
        <v>1.7831399555600127</v>
      </c>
      <c r="Q39" s="26">
        <v>1.1529813441200083</v>
      </c>
      <c r="R39" s="26">
        <v>6.4102471500400009</v>
      </c>
      <c r="S39" s="26">
        <v>5.4173756984100052</v>
      </c>
      <c r="T39" s="26">
        <v>9.6319997963400201</v>
      </c>
      <c r="U39" s="26">
        <v>1.5880113756099934</v>
      </c>
      <c r="V39" s="27">
        <v>38.390146165380038</v>
      </c>
      <c r="W39" s="27">
        <v>58.135893626040087</v>
      </c>
      <c r="X39" s="26">
        <v>5.8427692102506947</v>
      </c>
      <c r="Y39" s="28">
        <v>63.978662836290731</v>
      </c>
      <c r="Z39" s="17" t="str">
        <f>SUBSTITUTE(SUBSTITUTE(SUBSTITUTE(SUBSTITUTE(IF(E39="","",VLOOKUP(E39,[1]Esquemas_NORM!$A$2:$H$126,8,FALSE)),"PROVINCIA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39" s="17" t="str">
        <f>IF($E39="","",INDEX([1]Esquemas_NORM!$H$2:$K$126,MATCH($E39,[1]Esquemas_NORM!$A$2:$A$126,0),MATCH(AA$4,[1]Esquemas_NORM!$H$1:$K$1,0)))</f>
        <v>A la fecha no ha conformado un EAT Región</v>
      </c>
      <c r="AB39" s="17" t="str">
        <f>IF($E39="","",INDEX([1]Esquemas_NORM!$H$2:$K$126,MATCH($E39,[1]Esquemas_NORM!$A$2:$A$126,0),MATCH(AB$4,[1]Esquemas_NORM!$H$1:$K$1,0)))</f>
        <v>A la fecha no ha conformado un EAT Área Metropolitana</v>
      </c>
      <c r="AC39" s="17" t="str">
        <f>IF($E39="","",INDEX([1]Esquemas_NORM!$H$2:$K$126,MATCH($E39,[1]Esquemas_NORM!$A$2:$A$126,0),MATCH(AC$4,[1]Esquemas_NORM!$H$1:$K$1,0)))</f>
        <v>A la fecha no ha conformado un EAT asociación - unión</v>
      </c>
      <c r="AD39" s="23"/>
    </row>
    <row r="40" spans="1:30" x14ac:dyDescent="0.25">
      <c r="A40" s="24">
        <v>2015</v>
      </c>
      <c r="B40" s="25" t="s">
        <v>36</v>
      </c>
      <c r="C40" s="25" t="s">
        <v>119</v>
      </c>
      <c r="D40" s="25" t="s">
        <v>120</v>
      </c>
      <c r="E40" s="25" t="s">
        <v>127</v>
      </c>
      <c r="F40" s="25" t="s">
        <v>122</v>
      </c>
      <c r="G40" s="25" t="s">
        <v>128</v>
      </c>
      <c r="H40" s="26">
        <v>11.376384235919923</v>
      </c>
      <c r="I40" s="26">
        <v>4.0075138210000187E-2</v>
      </c>
      <c r="J40" s="27">
        <v>11.416459374129923</v>
      </c>
      <c r="K40" s="26">
        <v>0.45631581569000057</v>
      </c>
      <c r="L40" s="26">
        <v>4.7388888052000055</v>
      </c>
      <c r="M40" s="27">
        <v>5.1952046208900065</v>
      </c>
      <c r="N40" s="26">
        <v>1.0330134493699943</v>
      </c>
      <c r="O40" s="26">
        <v>6.6791476744200091</v>
      </c>
      <c r="P40" s="26">
        <v>2.344415160720017</v>
      </c>
      <c r="Q40" s="26">
        <v>1.8551820906000134</v>
      </c>
      <c r="R40" s="26">
        <v>4.2487917500200005</v>
      </c>
      <c r="S40" s="26">
        <v>6.6882438224400067</v>
      </c>
      <c r="T40" s="26">
        <v>16.722888159910035</v>
      </c>
      <c r="U40" s="26">
        <v>2.35611177248999</v>
      </c>
      <c r="V40" s="27">
        <v>41.927793879970068</v>
      </c>
      <c r="W40" s="27">
        <v>58.539457874990099</v>
      </c>
      <c r="X40" s="26">
        <v>5.8833281940565989</v>
      </c>
      <c r="Y40" s="28">
        <v>64.422786069046637</v>
      </c>
      <c r="Z40" s="17" t="str">
        <f>SUBSTITUTE(SUBSTITUTE(SUBSTITUTE(SUBSTITUTE(IF(E40="","",VLOOKUP(E40,[1]Esquemas_NORM!$A$2:$H$126,8,FALSE)),"PROVINCIA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0" s="17" t="str">
        <f>IF($E40="","",INDEX([1]Esquemas_NORM!$H$2:$K$126,MATCH($E40,[1]Esquemas_NORM!$A$2:$A$126,0),MATCH(AA$4,[1]Esquemas_NORM!$H$1:$K$1,0)))</f>
        <v>A la fecha no ha conformado un EAT Región</v>
      </c>
      <c r="AB40" s="17" t="str">
        <f>IF($E40="","",INDEX([1]Esquemas_NORM!$H$2:$K$126,MATCH($E40,[1]Esquemas_NORM!$A$2:$A$126,0),MATCH(AB$4,[1]Esquemas_NORM!$H$1:$K$1,0)))</f>
        <v>A la fecha no ha conformado un EAT Área Metropolitana</v>
      </c>
      <c r="AC40" s="17" t="str">
        <f>IF($E40="","",INDEX([1]Esquemas_NORM!$H$2:$K$126,MATCH($E40,[1]Esquemas_NORM!$A$2:$A$126,0),MATCH(AC$4,[1]Esquemas_NORM!$H$1:$K$1,0)))</f>
        <v>ASOCIACION DE MUNICIPIOS DEL NORTE ANTIOQUEÑO - AMUNORTE</v>
      </c>
      <c r="AD40" s="23"/>
    </row>
    <row r="41" spans="1:30" x14ac:dyDescent="0.25">
      <c r="A41" s="24">
        <v>2015</v>
      </c>
      <c r="B41" s="25" t="s">
        <v>36</v>
      </c>
      <c r="C41" s="25" t="s">
        <v>119</v>
      </c>
      <c r="D41" s="25" t="s">
        <v>120</v>
      </c>
      <c r="E41" s="25" t="s">
        <v>129</v>
      </c>
      <c r="F41" s="25" t="s">
        <v>122</v>
      </c>
      <c r="G41" s="25" t="s">
        <v>130</v>
      </c>
      <c r="H41" s="26">
        <v>4.1320853436199716</v>
      </c>
      <c r="I41" s="26">
        <v>0</v>
      </c>
      <c r="J41" s="27">
        <v>4.1320853436199716</v>
      </c>
      <c r="K41" s="26">
        <v>5.0114810185800067</v>
      </c>
      <c r="L41" s="26">
        <v>0.80776890216000086</v>
      </c>
      <c r="M41" s="27">
        <v>5.8192499207400079</v>
      </c>
      <c r="N41" s="26">
        <v>3.0147822423399835</v>
      </c>
      <c r="O41" s="26">
        <v>9.9245984533000122</v>
      </c>
      <c r="P41" s="26">
        <v>2.4364729894500172</v>
      </c>
      <c r="Q41" s="26">
        <v>1.9741594814500141</v>
      </c>
      <c r="R41" s="26">
        <v>4.4532236141700006</v>
      </c>
      <c r="S41" s="26">
        <v>6.974436087570008</v>
      </c>
      <c r="T41" s="26">
        <v>15.499494629780029</v>
      </c>
      <c r="U41" s="26">
        <v>1.904598380489992</v>
      </c>
      <c r="V41" s="27">
        <v>46.18176587855006</v>
      </c>
      <c r="W41" s="27">
        <v>56.133101142910078</v>
      </c>
      <c r="X41" s="26">
        <v>5.6414847106891859</v>
      </c>
      <c r="Y41" s="28">
        <v>61.77458585359922</v>
      </c>
      <c r="Z41" s="17" t="str">
        <f>SUBSTITUTE(SUBSTITUTE(SUBSTITUTE(SUBSTITUTE(IF(E41="","",VLOOKUP(E41,[1]Esquemas_NORM!$A$2:$H$126,8,FALSE)),"PROVINCIA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1" s="17" t="str">
        <f>IF($E41="","",INDEX([1]Esquemas_NORM!$H$2:$K$126,MATCH($E41,[1]Esquemas_NORM!$A$2:$A$126,0),MATCH(AA$4,[1]Esquemas_NORM!$H$1:$K$1,0)))</f>
        <v>A la fecha no ha conformado un EAT Región</v>
      </c>
      <c r="AB41" s="17" t="str">
        <f>IF($E41="","",INDEX([1]Esquemas_NORM!$H$2:$K$126,MATCH($E41,[1]Esquemas_NORM!$A$2:$A$126,0),MATCH(AB$4,[1]Esquemas_NORM!$H$1:$K$1,0)))</f>
        <v>A la fecha no ha conformado un EAT Área Metropolitana</v>
      </c>
      <c r="AC41" s="17" t="str">
        <f>IF($E41="","",INDEX([1]Esquemas_NORM!$H$2:$K$126,MATCH($E41,[1]Esquemas_NORM!$A$2:$A$126,0),MATCH(AC$4,[1]Esquemas_NORM!$H$1:$K$1,0)))</f>
        <v>ASOCIACION DE MUNICIPIOS DEL NORTE ANTIOQUEÑO - AMUNORTE</v>
      </c>
      <c r="AD41" s="23"/>
    </row>
    <row r="42" spans="1:30" x14ac:dyDescent="0.25">
      <c r="A42" s="24">
        <v>2015</v>
      </c>
      <c r="B42" s="25" t="s">
        <v>36</v>
      </c>
      <c r="C42" s="25" t="s">
        <v>119</v>
      </c>
      <c r="D42" s="25" t="s">
        <v>99</v>
      </c>
      <c r="E42" s="25" t="s">
        <v>131</v>
      </c>
      <c r="F42" s="25" t="s">
        <v>122</v>
      </c>
      <c r="G42" s="25" t="s">
        <v>132</v>
      </c>
      <c r="H42" s="26">
        <v>4.9779141317899667</v>
      </c>
      <c r="I42" s="26">
        <v>0</v>
      </c>
      <c r="J42" s="27">
        <v>4.9779141317899667</v>
      </c>
      <c r="K42" s="26">
        <v>0.36657634558000046</v>
      </c>
      <c r="L42" s="26">
        <v>2.6863117709100033</v>
      </c>
      <c r="M42" s="27">
        <v>3.0528881164900037</v>
      </c>
      <c r="N42" s="26">
        <v>12.64304193483993</v>
      </c>
      <c r="O42" s="26">
        <v>2.4990961428800031</v>
      </c>
      <c r="P42" s="26">
        <v>0.86231961162000625</v>
      </c>
      <c r="Q42" s="26">
        <v>0.49421256483000348</v>
      </c>
      <c r="R42" s="26">
        <v>1.9393995331800005</v>
      </c>
      <c r="S42" s="26">
        <v>2.759525782500003</v>
      </c>
      <c r="T42" s="26">
        <v>4.51369533244001</v>
      </c>
      <c r="U42" s="26">
        <v>0.82457995362999648</v>
      </c>
      <c r="V42" s="27">
        <v>26.535870855919956</v>
      </c>
      <c r="W42" s="27">
        <v>34.566673104200049</v>
      </c>
      <c r="X42" s="26">
        <v>3.4740171814181457</v>
      </c>
      <c r="Y42" s="28">
        <v>38.040690285618169</v>
      </c>
      <c r="Z42" s="17" t="str">
        <f>SUBSTITUTE(SUBSTITUTE(SUBSTITUTE(SUBSTITUTE(IF(E42="","",VLOOKUP(E42,[1]Esquemas_NORM!$A$2:$H$126,8,FALSE)),"PROVINCIA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2" s="17" t="str">
        <f>IF($E42="","",INDEX([1]Esquemas_NORM!$H$2:$K$126,MATCH($E42,[1]Esquemas_NORM!$A$2:$A$126,0),MATCH(AA$4,[1]Esquemas_NORM!$H$1:$K$1,0)))</f>
        <v>A la fecha no ha conformado un EAT Región</v>
      </c>
      <c r="AB42" s="17" t="str">
        <f>IF($E42="","",INDEX([1]Esquemas_NORM!$H$2:$K$126,MATCH($E42,[1]Esquemas_NORM!$A$2:$A$126,0),MATCH(AB$4,[1]Esquemas_NORM!$H$1:$K$1,0)))</f>
        <v>A la fecha no ha conformado un EAT Área Metropolitana</v>
      </c>
      <c r="AC42" s="17" t="str">
        <f>IF($E42="","",INDEX([1]Esquemas_NORM!$H$2:$K$126,MATCH($E42,[1]Esquemas_NORM!$A$2:$A$126,0),MATCH(AC$4,[1]Esquemas_NORM!$H$1:$K$1,0)))</f>
        <v>A la fecha no ha conformado un EAT asociación - unión</v>
      </c>
      <c r="AD42" s="23"/>
    </row>
    <row r="43" spans="1:30" x14ac:dyDescent="0.25">
      <c r="A43" s="24">
        <v>2015</v>
      </c>
      <c r="B43" s="25" t="s">
        <v>36</v>
      </c>
      <c r="C43" s="25" t="s">
        <v>119</v>
      </c>
      <c r="D43" s="25" t="s">
        <v>124</v>
      </c>
      <c r="E43" s="25" t="s">
        <v>133</v>
      </c>
      <c r="F43" s="25" t="s">
        <v>122</v>
      </c>
      <c r="G43" s="25" t="s">
        <v>134</v>
      </c>
      <c r="H43" s="26">
        <v>115.60857112387922</v>
      </c>
      <c r="I43" s="26">
        <v>1.0145063160000047E-2</v>
      </c>
      <c r="J43" s="27">
        <v>115.61871618703921</v>
      </c>
      <c r="K43" s="26">
        <v>34.889564773110045</v>
      </c>
      <c r="L43" s="26">
        <v>5.2825326296000057</v>
      </c>
      <c r="M43" s="27">
        <v>40.172097402710051</v>
      </c>
      <c r="N43" s="26">
        <v>2.5948102490599858</v>
      </c>
      <c r="O43" s="26">
        <v>47.001723606080063</v>
      </c>
      <c r="P43" s="26">
        <v>9.60666949057007</v>
      </c>
      <c r="Q43" s="26">
        <v>10.236770981360072</v>
      </c>
      <c r="R43" s="26">
        <v>21.582686814510009</v>
      </c>
      <c r="S43" s="26">
        <v>25.243367762930024</v>
      </c>
      <c r="T43" s="26">
        <v>27.660000488750054</v>
      </c>
      <c r="U43" s="26">
        <v>7.2447008204199701</v>
      </c>
      <c r="V43" s="27">
        <v>151.17073021368026</v>
      </c>
      <c r="W43" s="27">
        <v>306.96154380343046</v>
      </c>
      <c r="X43" s="26">
        <v>30.850225996397608</v>
      </c>
      <c r="Y43" s="28">
        <v>337.8117697998278</v>
      </c>
      <c r="Z43" s="17" t="str">
        <f>SUBSTITUTE(SUBSTITUTE(SUBSTITUTE(SUBSTITUTE(IF(E43="","",VLOOKUP(E43,[1]Esquemas_NORM!$A$2:$H$126,8,FALSE)),"PROVINCIA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43" s="17" t="str">
        <f>IF($E43="","",INDEX([1]Esquemas_NORM!$H$2:$K$126,MATCH($E43,[1]Esquemas_NORM!$A$2:$A$126,0),MATCH(AA$4,[1]Esquemas_NORM!$H$1:$K$1,0)))</f>
        <v>A la fecha no ha conformado un EAT Región</v>
      </c>
      <c r="AB43" s="17" t="str">
        <f>IF($E43="","",INDEX([1]Esquemas_NORM!$H$2:$K$126,MATCH($E43,[1]Esquemas_NORM!$A$2:$A$126,0),MATCH(AB$4,[1]Esquemas_NORM!$H$1:$K$1,0)))</f>
        <v>A la fecha no ha conformado un EAT Área Metropolitana</v>
      </c>
      <c r="AC43" s="17" t="str">
        <f>IF($E43="","",INDEX([1]Esquemas_NORM!$H$2:$K$126,MATCH($E43,[1]Esquemas_NORM!$A$2:$A$126,0),MATCH(AC$4,[1]Esquemas_NORM!$H$1:$K$1,0)))</f>
        <v>ASOCIACION DE MUNICIPIOS DEL NORTE ANTIOQUEÑO - AMUNORTE</v>
      </c>
      <c r="AD43" s="23"/>
    </row>
    <row r="44" spans="1:30" x14ac:dyDescent="0.25">
      <c r="A44" s="24">
        <v>2015</v>
      </c>
      <c r="B44" s="25" t="s">
        <v>36</v>
      </c>
      <c r="C44" s="25" t="s">
        <v>119</v>
      </c>
      <c r="D44" s="25" t="s">
        <v>124</v>
      </c>
      <c r="E44" s="25" t="s">
        <v>135</v>
      </c>
      <c r="F44" s="25" t="s">
        <v>122</v>
      </c>
      <c r="G44" s="25" t="s">
        <v>136</v>
      </c>
      <c r="H44" s="26">
        <v>44.793161587789697</v>
      </c>
      <c r="I44" s="26">
        <v>0</v>
      </c>
      <c r="J44" s="27">
        <v>44.793161587789697</v>
      </c>
      <c r="K44" s="26">
        <v>114.37928447699014</v>
      </c>
      <c r="L44" s="26">
        <v>41.591482941850053</v>
      </c>
      <c r="M44" s="27">
        <v>155.97076741884018</v>
      </c>
      <c r="N44" s="26">
        <v>5.7280041533399686</v>
      </c>
      <c r="O44" s="26">
        <v>30.132987211020044</v>
      </c>
      <c r="P44" s="26">
        <v>3.1462939183900223</v>
      </c>
      <c r="Q44" s="26">
        <v>3.4363277377200245</v>
      </c>
      <c r="R44" s="26">
        <v>8.7817341613600011</v>
      </c>
      <c r="S44" s="26">
        <v>18.541083798130021</v>
      </c>
      <c r="T44" s="26">
        <v>10.650421255510022</v>
      </c>
      <c r="U44" s="26">
        <v>3.6921465844599846</v>
      </c>
      <c r="V44" s="27">
        <v>84.108998819930093</v>
      </c>
      <c r="W44" s="27">
        <v>284.87292782656044</v>
      </c>
      <c r="X44" s="26">
        <v>28.63027757421634</v>
      </c>
      <c r="Y44" s="28">
        <v>313.50320540077661</v>
      </c>
      <c r="Z44" s="17" t="str">
        <f>SUBSTITUTE(SUBSTITUTE(SUBSTITUTE(SUBSTITUTE(IF(E44="","",VLOOKUP(E44,[1]Esquemas_NORM!$A$2:$H$126,8,FALSE)),"PROVINCIA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44" s="17" t="str">
        <f>IF($E44="","",INDEX([1]Esquemas_NORM!$H$2:$K$126,MATCH($E44,[1]Esquemas_NORM!$A$2:$A$126,0),MATCH(AA$4,[1]Esquemas_NORM!$H$1:$K$1,0)))</f>
        <v>A la fecha no ha conformado un EAT Región</v>
      </c>
      <c r="AB44" s="17" t="str">
        <f>IF($E44="","",INDEX([1]Esquemas_NORM!$H$2:$K$126,MATCH($E44,[1]Esquemas_NORM!$A$2:$A$126,0),MATCH(AB$4,[1]Esquemas_NORM!$H$1:$K$1,0)))</f>
        <v>A la fecha no ha conformado un EAT Área Metropolitana</v>
      </c>
      <c r="AC44" s="17" t="str">
        <f>IF($E44="","",INDEX([1]Esquemas_NORM!$H$2:$K$126,MATCH($E44,[1]Esquemas_NORM!$A$2:$A$126,0),MATCH(AC$4,[1]Esquemas_NORM!$H$1:$K$1,0)))</f>
        <v>A la fecha no ha conformado un EAT asociación - unión</v>
      </c>
      <c r="AD44" s="23"/>
    </row>
    <row r="45" spans="1:30" x14ac:dyDescent="0.25">
      <c r="A45" s="24">
        <v>2015</v>
      </c>
      <c r="B45" s="25" t="s">
        <v>36</v>
      </c>
      <c r="C45" s="25" t="s">
        <v>119</v>
      </c>
      <c r="D45" s="25" t="s">
        <v>99</v>
      </c>
      <c r="E45" s="25" t="s">
        <v>137</v>
      </c>
      <c r="F45" s="25" t="s">
        <v>122</v>
      </c>
      <c r="G45" s="25" t="s">
        <v>138</v>
      </c>
      <c r="H45" s="26">
        <v>15.517621966779895</v>
      </c>
      <c r="I45" s="26">
        <v>0.79842902082000367</v>
      </c>
      <c r="J45" s="27">
        <v>16.316050987599898</v>
      </c>
      <c r="K45" s="26">
        <v>13.410895499160018</v>
      </c>
      <c r="L45" s="26">
        <v>8.2119921835600085</v>
      </c>
      <c r="M45" s="27">
        <v>21.622887682720027</v>
      </c>
      <c r="N45" s="26">
        <v>133.95077200564927</v>
      </c>
      <c r="O45" s="26">
        <v>15.19585682647002</v>
      </c>
      <c r="P45" s="26">
        <v>2.81636259795002</v>
      </c>
      <c r="Q45" s="26">
        <v>1.6488806137700116</v>
      </c>
      <c r="R45" s="26">
        <v>7.213470044550002</v>
      </c>
      <c r="S45" s="26">
        <v>18.020144271800021</v>
      </c>
      <c r="T45" s="26">
        <v>13.598981416680028</v>
      </c>
      <c r="U45" s="26">
        <v>2.864951160859988</v>
      </c>
      <c r="V45" s="27">
        <v>195.30941893772936</v>
      </c>
      <c r="W45" s="27">
        <v>233.24835760805036</v>
      </c>
      <c r="X45" s="26">
        <v>23.44190889951167</v>
      </c>
      <c r="Y45" s="28">
        <v>256.69026650756183</v>
      </c>
      <c r="Z45" s="17" t="str">
        <f>SUBSTITUTE(SUBSTITUTE(SUBSTITUTE(SUBSTITUTE(IF(E45="","",VLOOKUP(E45,[1]Esquemas_NORM!$A$2:$H$126,8,FALSE)),"PROVINCIA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5" s="17" t="str">
        <f>IF($E45="","",INDEX([1]Esquemas_NORM!$H$2:$K$126,MATCH($E45,[1]Esquemas_NORM!$A$2:$A$126,0),MATCH(AA$4,[1]Esquemas_NORM!$H$1:$K$1,0)))</f>
        <v>A la fecha no ha conformado un EAT Región</v>
      </c>
      <c r="AB45" s="17" t="str">
        <f>IF($E45="","",INDEX([1]Esquemas_NORM!$H$2:$K$126,MATCH($E45,[1]Esquemas_NORM!$A$2:$A$126,0),MATCH(AB$4,[1]Esquemas_NORM!$H$1:$K$1,0)))</f>
        <v>A la fecha no ha conformado un EAT Área Metropolitana</v>
      </c>
      <c r="AC45" s="17" t="str">
        <f>IF($E45="","",INDEX([1]Esquemas_NORM!$H$2:$K$126,MATCH($E45,[1]Esquemas_NORM!$A$2:$A$126,0),MATCH(AC$4,[1]Esquemas_NORM!$H$1:$K$1,0)))</f>
        <v>ASOCIACION DE MUNICIPIOS DEL NORTE ANTIOQUEÑO - AMUNORTE</v>
      </c>
      <c r="AD45" s="23"/>
    </row>
    <row r="46" spans="1:30" x14ac:dyDescent="0.25">
      <c r="A46" s="24">
        <v>2015</v>
      </c>
      <c r="B46" s="25" t="s">
        <v>36</v>
      </c>
      <c r="C46" s="25" t="s">
        <v>119</v>
      </c>
      <c r="D46" s="25" t="s">
        <v>99</v>
      </c>
      <c r="E46" s="25" t="s">
        <v>139</v>
      </c>
      <c r="F46" s="25" t="s">
        <v>122</v>
      </c>
      <c r="G46" s="25" t="s">
        <v>140</v>
      </c>
      <c r="H46" s="26">
        <v>5.6105048484699616</v>
      </c>
      <c r="I46" s="26">
        <v>0</v>
      </c>
      <c r="J46" s="27">
        <v>5.6105048484699616</v>
      </c>
      <c r="K46" s="26">
        <v>1.3640258157100018</v>
      </c>
      <c r="L46" s="26">
        <v>3.9544463090000042</v>
      </c>
      <c r="M46" s="27">
        <v>5.3184721247100057</v>
      </c>
      <c r="N46" s="26">
        <v>29.290034196889838</v>
      </c>
      <c r="O46" s="26">
        <v>1.6066243481500022</v>
      </c>
      <c r="P46" s="26">
        <v>0.53461262867000381</v>
      </c>
      <c r="Q46" s="26">
        <v>0.39497802611000282</v>
      </c>
      <c r="R46" s="26">
        <v>0.88702985017000024</v>
      </c>
      <c r="S46" s="26">
        <v>2.8456102401600032</v>
      </c>
      <c r="T46" s="26">
        <v>2.7319332600900053</v>
      </c>
      <c r="U46" s="26">
        <v>0.53104108316999776</v>
      </c>
      <c r="V46" s="27">
        <v>38.821863633409855</v>
      </c>
      <c r="W46" s="27">
        <v>49.750840606590081</v>
      </c>
      <c r="X46" s="26">
        <v>5.0000552421196778</v>
      </c>
      <c r="Y46" s="28">
        <v>54.750895848709717</v>
      </c>
      <c r="Z46" s="17" t="str">
        <f>SUBSTITUTE(SUBSTITUTE(SUBSTITUTE(SUBSTITUTE(IF(E46="","",VLOOKUP(E46,[1]Esquemas_NORM!$A$2:$H$126,8,FALSE)),"PROVINCIA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6" s="17" t="str">
        <f>IF($E46="","",INDEX([1]Esquemas_NORM!$H$2:$K$126,MATCH($E46,[1]Esquemas_NORM!$A$2:$A$126,0),MATCH(AA$4,[1]Esquemas_NORM!$H$1:$K$1,0)))</f>
        <v>A la fecha no ha conformado un EAT Región</v>
      </c>
      <c r="AB46" s="17" t="str">
        <f>IF($E46="","",INDEX([1]Esquemas_NORM!$H$2:$K$126,MATCH($E46,[1]Esquemas_NORM!$A$2:$A$126,0),MATCH(AB$4,[1]Esquemas_NORM!$H$1:$K$1,0)))</f>
        <v>A la fecha no ha conformado un EAT Área Metropolitana</v>
      </c>
      <c r="AC46" s="17" t="str">
        <f>IF($E46="","",INDEX([1]Esquemas_NORM!$H$2:$K$126,MATCH($E46,[1]Esquemas_NORM!$A$2:$A$126,0),MATCH(AC$4,[1]Esquemas_NORM!$H$1:$K$1,0)))</f>
        <v>A la fecha no ha conformado un EAT asociación - unión</v>
      </c>
      <c r="AD46" s="23"/>
    </row>
    <row r="47" spans="1:30" x14ac:dyDescent="0.25">
      <c r="A47" s="24">
        <v>2015</v>
      </c>
      <c r="B47" s="25" t="s">
        <v>36</v>
      </c>
      <c r="C47" s="25" t="s">
        <v>119</v>
      </c>
      <c r="D47" s="25" t="s">
        <v>141</v>
      </c>
      <c r="E47" s="25" t="s">
        <v>142</v>
      </c>
      <c r="F47" s="25" t="s">
        <v>122</v>
      </c>
      <c r="G47" s="25" t="s">
        <v>143</v>
      </c>
      <c r="H47" s="26">
        <v>34.188379440309767</v>
      </c>
      <c r="I47" s="26">
        <v>5.0834670759700229</v>
      </c>
      <c r="J47" s="27">
        <v>39.271846516279787</v>
      </c>
      <c r="K47" s="26">
        <v>6.9562891208900091</v>
      </c>
      <c r="L47" s="26">
        <v>9.5952393130300084</v>
      </c>
      <c r="M47" s="27">
        <v>16.551528433920019</v>
      </c>
      <c r="N47" s="26">
        <v>6.5713319766699634</v>
      </c>
      <c r="O47" s="26">
        <v>23.236991580100032</v>
      </c>
      <c r="P47" s="26">
        <v>9.4365090735100665</v>
      </c>
      <c r="Q47" s="26">
        <v>6.663711662440047</v>
      </c>
      <c r="R47" s="26">
        <v>16.969881692440005</v>
      </c>
      <c r="S47" s="26">
        <v>19.476146491560019</v>
      </c>
      <c r="T47" s="26">
        <v>47.046462030770094</v>
      </c>
      <c r="U47" s="26">
        <v>4.9339380975299791</v>
      </c>
      <c r="V47" s="27">
        <v>134.33497260502023</v>
      </c>
      <c r="W47" s="27">
        <v>190.1583475552203</v>
      </c>
      <c r="X47" s="26">
        <v>19.111279948912593</v>
      </c>
      <c r="Y47" s="28">
        <v>209.26962750413267</v>
      </c>
      <c r="Z47" s="17" t="str">
        <f>SUBSTITUTE(SUBSTITUTE(SUBSTITUTE(SUBSTITUTE(IF(E47="","",VLOOKUP(E47,[1]Esquemas_NORM!$A$2:$H$126,8,FALSE)),"PROVINCIA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7" s="17" t="str">
        <f>IF($E47="","",INDEX([1]Esquemas_NORM!$H$2:$K$126,MATCH($E47,[1]Esquemas_NORM!$A$2:$A$126,0),MATCH(AA$4,[1]Esquemas_NORM!$H$1:$K$1,0)))</f>
        <v>A la fecha no ha conformado un EAT Región</v>
      </c>
      <c r="AB47" s="17" t="str">
        <f>IF($E47="","",INDEX([1]Esquemas_NORM!$H$2:$K$126,MATCH($E47,[1]Esquemas_NORM!$A$2:$A$126,0),MATCH(AB$4,[1]Esquemas_NORM!$H$1:$K$1,0)))</f>
        <v>A la fecha no ha conformado un EAT Área Metropolitana</v>
      </c>
      <c r="AC47" s="17" t="str">
        <f>IF($E47="","",INDEX([1]Esquemas_NORM!$H$2:$K$126,MATCH($E47,[1]Esquemas_NORM!$A$2:$A$126,0),MATCH(AC$4,[1]Esquemas_NORM!$H$1:$K$1,0)))</f>
        <v>ASOCIACION DE MUNICIPIOS DEL NORTE ANTIOQUEÑO - AMUNORTE</v>
      </c>
      <c r="AD47" s="23"/>
    </row>
    <row r="48" spans="1:30" x14ac:dyDescent="0.25">
      <c r="A48" s="24">
        <v>2015</v>
      </c>
      <c r="B48" s="25" t="s">
        <v>36</v>
      </c>
      <c r="C48" s="25" t="s">
        <v>119</v>
      </c>
      <c r="D48" s="25" t="s">
        <v>141</v>
      </c>
      <c r="E48" s="25" t="s">
        <v>144</v>
      </c>
      <c r="F48" s="25" t="s">
        <v>122</v>
      </c>
      <c r="G48" s="25" t="s">
        <v>145</v>
      </c>
      <c r="H48" s="26">
        <v>12.848280873789914</v>
      </c>
      <c r="I48" s="26">
        <v>0</v>
      </c>
      <c r="J48" s="27">
        <v>12.848280873789914</v>
      </c>
      <c r="K48" s="26">
        <v>0.9378485939900012</v>
      </c>
      <c r="L48" s="26">
        <v>4.0303864499700044</v>
      </c>
      <c r="M48" s="27">
        <v>4.9682350439600054</v>
      </c>
      <c r="N48" s="26">
        <v>2.2271661588199874</v>
      </c>
      <c r="O48" s="26">
        <v>5.471241214750008</v>
      </c>
      <c r="P48" s="26">
        <v>2.2782849629800159</v>
      </c>
      <c r="Q48" s="26">
        <v>1.9080098428600136</v>
      </c>
      <c r="R48" s="26">
        <v>7.3964019601600013</v>
      </c>
      <c r="S48" s="26">
        <v>5.3409666999500054</v>
      </c>
      <c r="T48" s="26">
        <v>11.694688882810024</v>
      </c>
      <c r="U48" s="26">
        <v>2.4996470125499894</v>
      </c>
      <c r="V48" s="27">
        <v>38.816406734880054</v>
      </c>
      <c r="W48" s="27">
        <v>56.632922652630093</v>
      </c>
      <c r="X48" s="26">
        <v>5.6917177344802576</v>
      </c>
      <c r="Y48" s="28">
        <v>62.324640387110293</v>
      </c>
      <c r="Z48" s="17" t="str">
        <f>SUBSTITUTE(SUBSTITUTE(SUBSTITUTE(SUBSTITUTE(IF(E48="","",VLOOKUP(E48,[1]Esquemas_NORM!$A$2:$H$126,8,FALSE)),"PROVINCIA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8" s="17" t="str">
        <f>IF($E48="","",INDEX([1]Esquemas_NORM!$H$2:$K$126,MATCH($E48,[1]Esquemas_NORM!$A$2:$A$126,0),MATCH(AA$4,[1]Esquemas_NORM!$H$1:$K$1,0)))</f>
        <v>A la fecha no ha conformado un EAT Región</v>
      </c>
      <c r="AB48" s="17" t="str">
        <f>IF($E48="","",INDEX([1]Esquemas_NORM!$H$2:$K$126,MATCH($E48,[1]Esquemas_NORM!$A$2:$A$126,0),MATCH(AB$4,[1]Esquemas_NORM!$H$1:$K$1,0)))</f>
        <v>A la fecha no ha conformado un EAT Área Metropolitana</v>
      </c>
      <c r="AC48" s="17" t="str">
        <f>IF($E48="","",INDEX([1]Esquemas_NORM!$H$2:$K$126,MATCH($E48,[1]Esquemas_NORM!$A$2:$A$126,0),MATCH(AC$4,[1]Esquemas_NORM!$H$1:$K$1,0)))</f>
        <v>ASOCIACION DE MUNICIPIOS DEL NORTE ANTIOQUEÑO - AMUNORTE</v>
      </c>
      <c r="AD48" s="23"/>
    </row>
    <row r="49" spans="1:30" x14ac:dyDescent="0.25">
      <c r="A49" s="24">
        <v>2015</v>
      </c>
      <c r="B49" s="25" t="s">
        <v>36</v>
      </c>
      <c r="C49" s="25" t="s">
        <v>119</v>
      </c>
      <c r="D49" s="25" t="s">
        <v>124</v>
      </c>
      <c r="E49" s="25" t="s">
        <v>146</v>
      </c>
      <c r="F49" s="25" t="s">
        <v>122</v>
      </c>
      <c r="G49" s="25" t="s">
        <v>147</v>
      </c>
      <c r="H49" s="26">
        <v>3.6820038113899747</v>
      </c>
      <c r="I49" s="26">
        <v>0</v>
      </c>
      <c r="J49" s="27">
        <v>3.6820038113899747</v>
      </c>
      <c r="K49" s="26">
        <v>1.6089574177300019</v>
      </c>
      <c r="L49" s="26">
        <v>1.2094483784500014</v>
      </c>
      <c r="M49" s="27">
        <v>2.8184057961800031</v>
      </c>
      <c r="N49" s="26">
        <v>2.9822713866199835</v>
      </c>
      <c r="O49" s="26">
        <v>5.1502719069400067</v>
      </c>
      <c r="P49" s="26">
        <v>1.2053895826300087</v>
      </c>
      <c r="Q49" s="26">
        <v>0.88128795604000632</v>
      </c>
      <c r="R49" s="26">
        <v>2.7712704278900007</v>
      </c>
      <c r="S49" s="26">
        <v>3.0307659238100033</v>
      </c>
      <c r="T49" s="26">
        <v>5.0192937661600094</v>
      </c>
      <c r="U49" s="26">
        <v>1.0483457671699956</v>
      </c>
      <c r="V49" s="27">
        <v>22.088896717260017</v>
      </c>
      <c r="W49" s="27">
        <v>28.589306324830044</v>
      </c>
      <c r="X49" s="26">
        <v>2.8732803147676229</v>
      </c>
      <c r="Y49" s="28">
        <v>31.462586639597642</v>
      </c>
      <c r="Z49" s="17" t="str">
        <f>SUBSTITUTE(SUBSTITUTE(SUBSTITUTE(SUBSTITUTE(IF(E49="","",VLOOKUP(E49,[1]Esquemas_NORM!$A$2:$H$126,8,FALSE)),"PROVINCIA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9" s="17" t="str">
        <f>IF($E49="","",INDEX([1]Esquemas_NORM!$H$2:$K$126,MATCH($E49,[1]Esquemas_NORM!$A$2:$A$126,0),MATCH(AA$4,[1]Esquemas_NORM!$H$1:$K$1,0)))</f>
        <v>A la fecha no ha conformado un EAT Región</v>
      </c>
      <c r="AB49" s="17" t="str">
        <f>IF($E49="","",INDEX([1]Esquemas_NORM!$H$2:$K$126,MATCH($E49,[1]Esquemas_NORM!$A$2:$A$126,0),MATCH(AB$4,[1]Esquemas_NORM!$H$1:$K$1,0)))</f>
        <v>A la fecha no ha conformado un EAT Área Metropolitana</v>
      </c>
      <c r="AC49" s="17" t="str">
        <f>IF($E49="","",INDEX([1]Esquemas_NORM!$H$2:$K$126,MATCH($E49,[1]Esquemas_NORM!$A$2:$A$126,0),MATCH(AC$4,[1]Esquemas_NORM!$H$1:$K$1,0)))</f>
        <v>ASOCIACION DE MUNICIPIOS DEL NORTE ANTIOQUEÑO - AMUNORTE</v>
      </c>
      <c r="AD49" s="23"/>
    </row>
    <row r="50" spans="1:30" x14ac:dyDescent="0.25">
      <c r="A50" s="24">
        <v>2015</v>
      </c>
      <c r="B50" s="25" t="s">
        <v>36</v>
      </c>
      <c r="C50" s="25" t="s">
        <v>119</v>
      </c>
      <c r="D50" s="25" t="s">
        <v>124</v>
      </c>
      <c r="E50" s="25" t="s">
        <v>148</v>
      </c>
      <c r="F50" s="25" t="s">
        <v>122</v>
      </c>
      <c r="G50" s="25" t="s">
        <v>149</v>
      </c>
      <c r="H50" s="26">
        <v>102.8058314155293</v>
      </c>
      <c r="I50" s="26">
        <v>7.2805461700000337E-3</v>
      </c>
      <c r="J50" s="27">
        <v>102.81311196169929</v>
      </c>
      <c r="K50" s="26">
        <v>294.49228659261036</v>
      </c>
      <c r="L50" s="26">
        <v>49.83798507709006</v>
      </c>
      <c r="M50" s="27">
        <v>344.33027166970044</v>
      </c>
      <c r="N50" s="26">
        <v>3.3579676035099815</v>
      </c>
      <c r="O50" s="26">
        <v>64.12739305304008</v>
      </c>
      <c r="P50" s="26">
        <v>8.4961888095000599</v>
      </c>
      <c r="Q50" s="26">
        <v>9.3952620359600676</v>
      </c>
      <c r="R50" s="26">
        <v>25.514439680880002</v>
      </c>
      <c r="S50" s="26">
        <v>48.57571349514005</v>
      </c>
      <c r="T50" s="26">
        <v>31.431179699160065</v>
      </c>
      <c r="U50" s="26">
        <v>6.1412700787099741</v>
      </c>
      <c r="V50" s="27">
        <v>197.03941445590027</v>
      </c>
      <c r="W50" s="27">
        <v>644.18279808730097</v>
      </c>
      <c r="X50" s="26">
        <v>64.741611140404615</v>
      </c>
      <c r="Y50" s="28">
        <v>708.92440922770504</v>
      </c>
      <c r="Z50" s="17" t="str">
        <f>SUBSTITUTE(SUBSTITUTE(SUBSTITUTE(SUBSTITUTE(IF(E50="","",VLOOKUP(E50,[1]Esquemas_NORM!$A$2:$H$126,8,FALSE)),"PROVINCIA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50" s="17" t="str">
        <f>IF($E50="","",INDEX([1]Esquemas_NORM!$H$2:$K$126,MATCH($E50,[1]Esquemas_NORM!$A$2:$A$126,0),MATCH(AA$4,[1]Esquemas_NORM!$H$1:$K$1,0)))</f>
        <v>A la fecha no ha conformado un EAT Región</v>
      </c>
      <c r="AB50" s="17" t="str">
        <f>IF($E50="","",INDEX([1]Esquemas_NORM!$H$2:$K$126,MATCH($E50,[1]Esquemas_NORM!$A$2:$A$126,0),MATCH(AB$4,[1]Esquemas_NORM!$H$1:$K$1,0)))</f>
        <v>A la fecha no ha conformado un EAT Área Metropolitana</v>
      </c>
      <c r="AC50" s="17" t="str">
        <f>IF($E50="","",INDEX([1]Esquemas_NORM!$H$2:$K$126,MATCH($E50,[1]Esquemas_NORM!$A$2:$A$126,0),MATCH(AC$4,[1]Esquemas_NORM!$H$1:$K$1,0)))</f>
        <v>A la fecha no ha conformado un EAT asociación - unión</v>
      </c>
      <c r="AD50" s="23"/>
    </row>
    <row r="51" spans="1:30" x14ac:dyDescent="0.25">
      <c r="A51" s="24">
        <v>2015</v>
      </c>
      <c r="B51" s="25" t="s">
        <v>36</v>
      </c>
      <c r="C51" s="25" t="s">
        <v>119</v>
      </c>
      <c r="D51" s="25" t="s">
        <v>124</v>
      </c>
      <c r="E51" s="25" t="s">
        <v>150</v>
      </c>
      <c r="F51" s="25" t="s">
        <v>122</v>
      </c>
      <c r="G51" s="25" t="s">
        <v>151</v>
      </c>
      <c r="H51" s="26">
        <v>176.85828038840879</v>
      </c>
      <c r="I51" s="26">
        <v>0.46529746621000218</v>
      </c>
      <c r="J51" s="27">
        <v>177.32357785461878</v>
      </c>
      <c r="K51" s="26">
        <v>111.09622822532015</v>
      </c>
      <c r="L51" s="26">
        <v>28.319581243850028</v>
      </c>
      <c r="M51" s="27">
        <v>139.41580946917017</v>
      </c>
      <c r="N51" s="26">
        <v>31.276732507189827</v>
      </c>
      <c r="O51" s="26">
        <v>81.321953119130114</v>
      </c>
      <c r="P51" s="26">
        <v>10.806634374740076</v>
      </c>
      <c r="Q51" s="26">
        <v>10.311098558620072</v>
      </c>
      <c r="R51" s="26">
        <v>25.497480306410008</v>
      </c>
      <c r="S51" s="26">
        <v>48.82551016048005</v>
      </c>
      <c r="T51" s="26">
        <v>82.900317553370172</v>
      </c>
      <c r="U51" s="26">
        <v>8.4997208900399652</v>
      </c>
      <c r="V51" s="27">
        <v>299.43944746998022</v>
      </c>
      <c r="W51" s="27">
        <v>616.17883479377099</v>
      </c>
      <c r="X51" s="26">
        <v>61.927158926968765</v>
      </c>
      <c r="Y51" s="28">
        <v>678.10599372073921</v>
      </c>
      <c r="Z51" s="17" t="str">
        <f>SUBSTITUTE(SUBSTITUTE(SUBSTITUTE(SUBSTITUTE(IF(E51="","",VLOOKUP(E51,[1]Esquemas_NORM!$A$2:$H$126,8,FALSE)),"PROVINCIA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51" s="17" t="str">
        <f>IF($E51="","",INDEX([1]Esquemas_NORM!$H$2:$K$126,MATCH($E51,[1]Esquemas_NORM!$A$2:$A$126,0),MATCH(AA$4,[1]Esquemas_NORM!$H$1:$K$1,0)))</f>
        <v>A la fecha no ha conformado un EAT Región</v>
      </c>
      <c r="AB51" s="17" t="str">
        <f>IF($E51="","",INDEX([1]Esquemas_NORM!$H$2:$K$126,MATCH($E51,[1]Esquemas_NORM!$A$2:$A$126,0),MATCH(AB$4,[1]Esquemas_NORM!$H$1:$K$1,0)))</f>
        <v>A la fecha no ha conformado un EAT Área Metropolitana</v>
      </c>
      <c r="AC51" s="17" t="str">
        <f>IF($E51="","",INDEX([1]Esquemas_NORM!$H$2:$K$126,MATCH($E51,[1]Esquemas_NORM!$A$2:$A$126,0),MATCH(AC$4,[1]Esquemas_NORM!$H$1:$K$1,0)))</f>
        <v>A la fecha no ha conformado un EAT asociación - unión</v>
      </c>
      <c r="AD51" s="23"/>
    </row>
    <row r="52" spans="1:30" x14ac:dyDescent="0.25">
      <c r="A52" s="24">
        <v>2015</v>
      </c>
      <c r="B52" s="25" t="s">
        <v>36</v>
      </c>
      <c r="C52" s="25" t="s">
        <v>119</v>
      </c>
      <c r="D52" s="25" t="s">
        <v>141</v>
      </c>
      <c r="E52" s="25" t="s">
        <v>152</v>
      </c>
      <c r="F52" s="25" t="s">
        <v>122</v>
      </c>
      <c r="G52" s="25" t="s">
        <v>153</v>
      </c>
      <c r="H52" s="26">
        <v>8.2307411556999437</v>
      </c>
      <c r="I52" s="26">
        <v>0</v>
      </c>
      <c r="J52" s="27">
        <v>8.2307411556999437</v>
      </c>
      <c r="K52" s="26">
        <v>5.1764730319000059</v>
      </c>
      <c r="L52" s="26">
        <v>0.18590669215000019</v>
      </c>
      <c r="M52" s="27">
        <v>5.3623797240500064</v>
      </c>
      <c r="N52" s="26">
        <v>11.503634958519935</v>
      </c>
      <c r="O52" s="26">
        <v>11.788697406360017</v>
      </c>
      <c r="P52" s="26">
        <v>1.3799203674500098</v>
      </c>
      <c r="Q52" s="26">
        <v>1.2536323105800089</v>
      </c>
      <c r="R52" s="26">
        <v>3.6753637684800005</v>
      </c>
      <c r="S52" s="26">
        <v>5.7690948418900065</v>
      </c>
      <c r="T52" s="26">
        <v>8.3481986722100174</v>
      </c>
      <c r="U52" s="26">
        <v>1.7949013157599925</v>
      </c>
      <c r="V52" s="27">
        <v>45.513443641249992</v>
      </c>
      <c r="W52" s="27">
        <v>59.106564521000102</v>
      </c>
      <c r="X52" s="26">
        <v>5.9403235035559154</v>
      </c>
      <c r="Y52" s="28">
        <v>65.046888024555955</v>
      </c>
      <c r="Z52" s="17" t="str">
        <f>SUBSTITUTE(SUBSTITUTE(SUBSTITUTE(SUBSTITUTE(IF(E52="","",VLOOKUP(E52,[1]Esquemas_NORM!$A$2:$H$126,8,FALSE)),"PROVINCIA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2" s="17" t="str">
        <f>IF($E52="","",INDEX([1]Esquemas_NORM!$H$2:$K$126,MATCH($E52,[1]Esquemas_NORM!$A$2:$A$126,0),MATCH(AA$4,[1]Esquemas_NORM!$H$1:$K$1,0)))</f>
        <v>A la fecha no ha conformado un EAT Región</v>
      </c>
      <c r="AB52" s="17" t="str">
        <f>IF($E52="","",INDEX([1]Esquemas_NORM!$H$2:$K$126,MATCH($E52,[1]Esquemas_NORM!$A$2:$A$126,0),MATCH(AB$4,[1]Esquemas_NORM!$H$1:$K$1,0)))</f>
        <v>A la fecha no ha conformado un EAT Área Metropolitana</v>
      </c>
      <c r="AC52" s="17" t="str">
        <f>IF($E52="","",INDEX([1]Esquemas_NORM!$H$2:$K$126,MATCH($E52,[1]Esquemas_NORM!$A$2:$A$126,0),MATCH(AC$4,[1]Esquemas_NORM!$H$1:$K$1,0)))</f>
        <v>ASOCIACION DE MUNICIPIOS DEL NORTE ANTIOQUEÑO - AMUNORTE</v>
      </c>
      <c r="AD52" s="23"/>
    </row>
    <row r="53" spans="1:30" x14ac:dyDescent="0.25">
      <c r="A53" s="24">
        <v>2015</v>
      </c>
      <c r="B53" s="25" t="s">
        <v>36</v>
      </c>
      <c r="C53" s="25" t="s">
        <v>119</v>
      </c>
      <c r="D53" s="25" t="s">
        <v>120</v>
      </c>
      <c r="E53" s="25" t="s">
        <v>154</v>
      </c>
      <c r="F53" s="25" t="s">
        <v>122</v>
      </c>
      <c r="G53" s="25" t="s">
        <v>155</v>
      </c>
      <c r="H53" s="26">
        <v>10.428126974129929</v>
      </c>
      <c r="I53" s="26">
        <v>5.5055018884800262</v>
      </c>
      <c r="J53" s="27">
        <v>15.933628862609956</v>
      </c>
      <c r="K53" s="26">
        <v>4.1855994065400051</v>
      </c>
      <c r="L53" s="26">
        <v>5.2642060455100053</v>
      </c>
      <c r="M53" s="27">
        <v>9.4498054520500112</v>
      </c>
      <c r="N53" s="26">
        <v>4.1457297706799769</v>
      </c>
      <c r="O53" s="26">
        <v>34.530378379720048</v>
      </c>
      <c r="P53" s="26">
        <v>3.0281449821500215</v>
      </c>
      <c r="Q53" s="26">
        <v>2.6321050410100186</v>
      </c>
      <c r="R53" s="26">
        <v>6.254960510000001</v>
      </c>
      <c r="S53" s="26">
        <v>11.595694421630011</v>
      </c>
      <c r="T53" s="26">
        <v>20.880882675560041</v>
      </c>
      <c r="U53" s="26">
        <v>2.6582008047099883</v>
      </c>
      <c r="V53" s="27">
        <v>85.726096585460127</v>
      </c>
      <c r="W53" s="27">
        <v>111.10953090012018</v>
      </c>
      <c r="X53" s="26">
        <v>11.166721720733872</v>
      </c>
      <c r="Y53" s="28">
        <v>122.27625262085394</v>
      </c>
      <c r="Z53" s="17" t="str">
        <f>SUBSTITUTE(SUBSTITUTE(SUBSTITUTE(SUBSTITUTE(IF(E53="","",VLOOKUP(E53,[1]Esquemas_NORM!$A$2:$H$126,8,FALSE)),"PROVINCIA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3" s="17" t="str">
        <f>IF($E53="","",INDEX([1]Esquemas_NORM!$H$2:$K$126,MATCH($E53,[1]Esquemas_NORM!$A$2:$A$126,0),MATCH(AA$4,[1]Esquemas_NORM!$H$1:$K$1,0)))</f>
        <v>A la fecha no ha conformado un EAT Región</v>
      </c>
      <c r="AB53" s="17" t="str">
        <f>IF($E53="","",INDEX([1]Esquemas_NORM!$H$2:$K$126,MATCH($E53,[1]Esquemas_NORM!$A$2:$A$126,0),MATCH(AB$4,[1]Esquemas_NORM!$H$1:$K$1,0)))</f>
        <v>A la fecha no ha conformado un EAT Área Metropolitana</v>
      </c>
      <c r="AC53" s="17" t="str">
        <f>IF($E53="","",INDEX([1]Esquemas_NORM!$H$2:$K$126,MATCH($E53,[1]Esquemas_NORM!$A$2:$A$126,0),MATCH(AC$4,[1]Esquemas_NORM!$H$1:$K$1,0)))</f>
        <v>A la fecha no ha conformado un EAT asociación - unión</v>
      </c>
      <c r="AD53" s="23"/>
    </row>
    <row r="54" spans="1:30" x14ac:dyDescent="0.25">
      <c r="A54" s="24">
        <v>2015</v>
      </c>
      <c r="B54" s="25" t="s">
        <v>36</v>
      </c>
      <c r="C54" s="25" t="s">
        <v>119</v>
      </c>
      <c r="D54" s="25" t="s">
        <v>120</v>
      </c>
      <c r="E54" s="25" t="s">
        <v>156</v>
      </c>
      <c r="F54" s="25" t="s">
        <v>122</v>
      </c>
      <c r="G54" s="25" t="s">
        <v>157</v>
      </c>
      <c r="H54" s="26">
        <v>47.062074581579679</v>
      </c>
      <c r="I54" s="26">
        <v>6.9950359070000329E-2</v>
      </c>
      <c r="J54" s="27">
        <v>47.132024940649679</v>
      </c>
      <c r="K54" s="26">
        <v>75.063613777790096</v>
      </c>
      <c r="L54" s="26">
        <v>31.092151554190032</v>
      </c>
      <c r="M54" s="27">
        <v>106.15576533198012</v>
      </c>
      <c r="N54" s="26">
        <v>19.010237142429894</v>
      </c>
      <c r="O54" s="26">
        <v>104.52260032756014</v>
      </c>
      <c r="P54" s="26">
        <v>14.135589470040102</v>
      </c>
      <c r="Q54" s="26">
        <v>12.972551945850093</v>
      </c>
      <c r="R54" s="26">
        <v>29.921487966090009</v>
      </c>
      <c r="S54" s="26">
        <v>44.062298085730049</v>
      </c>
      <c r="T54" s="26">
        <v>71.707150583500137</v>
      </c>
      <c r="U54" s="26">
        <v>10.666334606519953</v>
      </c>
      <c r="V54" s="27">
        <v>306.99825012772038</v>
      </c>
      <c r="W54" s="27">
        <v>460.28604040035077</v>
      </c>
      <c r="X54" s="26">
        <v>46.259633025649357</v>
      </c>
      <c r="Y54" s="28">
        <v>506.54567342599967</v>
      </c>
      <c r="Z54" s="17" t="str">
        <f>SUBSTITUTE(SUBSTITUTE(SUBSTITUTE(SUBSTITUTE(IF(E54="","",VLOOKUP(E54,[1]Esquemas_NORM!$A$2:$H$126,8,FALSE)),"PROVINCIA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4" s="17" t="str">
        <f>IF($E54="","",INDEX([1]Esquemas_NORM!$H$2:$K$126,MATCH($E54,[1]Esquemas_NORM!$A$2:$A$126,0),MATCH(AA$4,[1]Esquemas_NORM!$H$1:$K$1,0)))</f>
        <v>A la fecha no ha conformado un EAT Región</v>
      </c>
      <c r="AB54" s="17" t="str">
        <f>IF($E54="","",INDEX([1]Esquemas_NORM!$H$2:$K$126,MATCH($E54,[1]Esquemas_NORM!$A$2:$A$126,0),MATCH(AB$4,[1]Esquemas_NORM!$H$1:$K$1,0)))</f>
        <v>A la fecha no ha conformado un EAT Área Metropolitana</v>
      </c>
      <c r="AC54" s="17" t="str">
        <f>IF($E54="","",INDEX([1]Esquemas_NORM!$H$2:$K$126,MATCH($E54,[1]Esquemas_NORM!$A$2:$A$126,0),MATCH(AC$4,[1]Esquemas_NORM!$H$1:$K$1,0)))</f>
        <v>A la fecha no ha conformado un EAT asociación - unión</v>
      </c>
      <c r="AD54" s="23"/>
    </row>
    <row r="55" spans="1:30" x14ac:dyDescent="0.25">
      <c r="A55" s="24">
        <v>2015</v>
      </c>
      <c r="B55" s="25" t="s">
        <v>36</v>
      </c>
      <c r="C55" s="25" t="s">
        <v>158</v>
      </c>
      <c r="D55" s="25" t="s">
        <v>159</v>
      </c>
      <c r="E55" s="25" t="s">
        <v>160</v>
      </c>
      <c r="F55" s="25" t="s">
        <v>161</v>
      </c>
      <c r="G55" s="25" t="s">
        <v>162</v>
      </c>
      <c r="H55" s="26">
        <v>2.6009783435599823</v>
      </c>
      <c r="I55" s="26">
        <v>0.67234802631000312</v>
      </c>
      <c r="J55" s="27">
        <v>3.2733263698699853</v>
      </c>
      <c r="K55" s="26">
        <v>0.62482408907000075</v>
      </c>
      <c r="L55" s="26">
        <v>1.0974008514900011</v>
      </c>
      <c r="M55" s="27">
        <v>1.7222249405600019</v>
      </c>
      <c r="N55" s="26">
        <v>0.9160697136499949</v>
      </c>
      <c r="O55" s="26">
        <v>1.8288122550500026</v>
      </c>
      <c r="P55" s="26">
        <v>0.53415436397000382</v>
      </c>
      <c r="Q55" s="26">
        <v>0.34535875387000242</v>
      </c>
      <c r="R55" s="26">
        <v>1.1653053761600003</v>
      </c>
      <c r="S55" s="26">
        <v>2.0346138617100022</v>
      </c>
      <c r="T55" s="26">
        <v>5.9335513593400124</v>
      </c>
      <c r="U55" s="26">
        <v>0.44361291076999809</v>
      </c>
      <c r="V55" s="27">
        <v>13.201478594520017</v>
      </c>
      <c r="W55" s="27">
        <v>18.197029904950025</v>
      </c>
      <c r="X55" s="26">
        <v>1.8288365313614656</v>
      </c>
      <c r="Y55" s="28">
        <v>20.025866436311475</v>
      </c>
      <c r="Z55" s="17" t="str">
        <f>SUBSTITUTE(SUBSTITUTE(SUBSTITUTE(SUBSTITUTE(IF(E55="","",VLOOKUP(E55,[1]Esquemas_NORM!$A$2:$H$126,8,FALSE)),"PROVINCIA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55" s="17" t="str">
        <f>IF($E55="","",INDEX([1]Esquemas_NORM!$H$2:$K$126,MATCH($E55,[1]Esquemas_NORM!$A$2:$A$126,0),MATCH(AA$4,[1]Esquemas_NORM!$H$1:$K$1,0)))</f>
        <v>Región de Planeación y Gestión de Occidente</v>
      </c>
      <c r="AB55" s="17" t="str">
        <f>IF($E55="","",INDEX([1]Esquemas_NORM!$H$2:$K$126,MATCH($E55,[1]Esquemas_NORM!$A$2:$A$126,0),MATCH(AB$4,[1]Esquemas_NORM!$H$1:$K$1,0)))</f>
        <v>A la fecha no ha conformado un EAT Área Metropolitana</v>
      </c>
      <c r="AC55" s="17" t="str">
        <f>IF($E55="","",INDEX([1]Esquemas_NORM!$H$2:$K$126,MATCH($E55,[1]Esquemas_NORM!$A$2:$A$126,0),MATCH(AC$4,[1]Esquemas_NORM!$H$1:$K$1,0)))</f>
        <v>ASOCIACION DE MUNICIPIOS DEL NORTE ANTIOQUEÑO - AMUNORTE</v>
      </c>
      <c r="AD55" s="23"/>
    </row>
    <row r="56" spans="1:30" x14ac:dyDescent="0.25">
      <c r="A56" s="24">
        <v>2015</v>
      </c>
      <c r="B56" s="25" t="s">
        <v>36</v>
      </c>
      <c r="C56" s="25" t="s">
        <v>158</v>
      </c>
      <c r="D56" s="25" t="s">
        <v>163</v>
      </c>
      <c r="E56" s="25" t="s">
        <v>164</v>
      </c>
      <c r="F56" s="25" t="s">
        <v>161</v>
      </c>
      <c r="G56" s="25" t="s">
        <v>165</v>
      </c>
      <c r="H56" s="26">
        <v>17.456241658449883</v>
      </c>
      <c r="I56" s="26">
        <v>0</v>
      </c>
      <c r="J56" s="27">
        <v>17.456241658449883</v>
      </c>
      <c r="K56" s="26">
        <v>1.2630519339300017</v>
      </c>
      <c r="L56" s="26">
        <v>4.972131574330005</v>
      </c>
      <c r="M56" s="27">
        <v>6.2351835082600067</v>
      </c>
      <c r="N56" s="26">
        <v>1.5672908388199913</v>
      </c>
      <c r="O56" s="26">
        <v>5.7622662160800076</v>
      </c>
      <c r="P56" s="26">
        <v>1.9971352274500143</v>
      </c>
      <c r="Q56" s="26">
        <v>1.9434429010500138</v>
      </c>
      <c r="R56" s="26">
        <v>4.9846942609899996</v>
      </c>
      <c r="S56" s="26">
        <v>6.6884901131900074</v>
      </c>
      <c r="T56" s="26">
        <v>13.230141667840025</v>
      </c>
      <c r="U56" s="26">
        <v>1.7653124351799927</v>
      </c>
      <c r="V56" s="27">
        <v>37.938773660600049</v>
      </c>
      <c r="W56" s="27">
        <v>61.630198827310089</v>
      </c>
      <c r="X56" s="26">
        <v>6.1939536088678544</v>
      </c>
      <c r="Y56" s="28">
        <v>67.824152436177883</v>
      </c>
      <c r="Z56" s="17" t="str">
        <f>SUBSTITUTE(SUBSTITUTE(SUBSTITUTE(SUBSTITUTE(IF(E56="","",VLOOKUP(E56,[1]Esquemas_NORM!$A$2:$H$126,8,FALSE)),"PROVINCIA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56" s="17" t="str">
        <f>IF($E56="","",INDEX([1]Esquemas_NORM!$H$2:$K$126,MATCH($E56,[1]Esquemas_NORM!$A$2:$A$126,0),MATCH(AA$4,[1]Esquemas_NORM!$H$1:$K$1,0)))</f>
        <v>A la fecha no ha conformado un EAT Región</v>
      </c>
      <c r="AB56" s="17" t="str">
        <f>IF($E56="","",INDEX([1]Esquemas_NORM!$H$2:$K$126,MATCH($E56,[1]Esquemas_NORM!$A$2:$A$126,0),MATCH(AB$4,[1]Esquemas_NORM!$H$1:$K$1,0)))</f>
        <v>A la fecha no ha conformado un EAT Área Metropolitana</v>
      </c>
      <c r="AC56" s="17" t="str">
        <f>IF($E56="","",INDEX([1]Esquemas_NORM!$H$2:$K$126,MATCH($E56,[1]Esquemas_NORM!$A$2:$A$126,0),MATCH(AC$4,[1]Esquemas_NORM!$H$1:$K$1,0)))</f>
        <v>ASOCIACION DE MUNICIPIOS DEL OCCIDENTE ANTIOQUEÑO - AMOCCIDENTE</v>
      </c>
      <c r="AD56" s="23"/>
    </row>
    <row r="57" spans="1:30" x14ac:dyDescent="0.25">
      <c r="A57" s="24">
        <v>2015</v>
      </c>
      <c r="B57" s="25" t="s">
        <v>36</v>
      </c>
      <c r="C57" s="25" t="s">
        <v>158</v>
      </c>
      <c r="D57" s="25" t="s">
        <v>163</v>
      </c>
      <c r="E57" s="25" t="s">
        <v>166</v>
      </c>
      <c r="F57" s="25" t="s">
        <v>161</v>
      </c>
      <c r="G57" s="25" t="s">
        <v>167</v>
      </c>
      <c r="H57" s="26">
        <v>11.084227467439925</v>
      </c>
      <c r="I57" s="26">
        <v>0</v>
      </c>
      <c r="J57" s="27">
        <v>11.084227467439925</v>
      </c>
      <c r="K57" s="26">
        <v>1.1096416992200013</v>
      </c>
      <c r="L57" s="26">
        <v>3.336750166530003</v>
      </c>
      <c r="M57" s="27">
        <v>4.4463918657500043</v>
      </c>
      <c r="N57" s="26">
        <v>1.7645321542599903</v>
      </c>
      <c r="O57" s="26">
        <v>5.9903995478300081</v>
      </c>
      <c r="P57" s="26">
        <v>1.946329639380014</v>
      </c>
      <c r="Q57" s="26">
        <v>1.850881954650013</v>
      </c>
      <c r="R57" s="26">
        <v>4.8092523908000011</v>
      </c>
      <c r="S57" s="26">
        <v>5.8381464236800058</v>
      </c>
      <c r="T57" s="26">
        <v>12.090070096760025</v>
      </c>
      <c r="U57" s="26">
        <v>2.158023320579991</v>
      </c>
      <c r="V57" s="27">
        <v>36.447635527940051</v>
      </c>
      <c r="W57" s="27">
        <v>51.97825486113009</v>
      </c>
      <c r="X57" s="26">
        <v>5.2239146620617118</v>
      </c>
      <c r="Y57" s="28">
        <v>57.202169523191749</v>
      </c>
      <c r="Z57" s="17" t="str">
        <f>SUBSTITUTE(SUBSTITUTE(SUBSTITUTE(SUBSTITUTE(IF(E57="","",VLOOKUP(E57,[1]Esquemas_NORM!$A$2:$H$126,8,FALSE)),"PROVINCIA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7" s="17" t="str">
        <f>IF($E57="","",INDEX([1]Esquemas_NORM!$H$2:$K$126,MATCH($E57,[1]Esquemas_NORM!$A$2:$A$126,0),MATCH(AA$4,[1]Esquemas_NORM!$H$1:$K$1,0)))</f>
        <v>Región de Planeación y Gestión de Occidente</v>
      </c>
      <c r="AB57" s="17" t="str">
        <f>IF($E57="","",INDEX([1]Esquemas_NORM!$H$2:$K$126,MATCH($E57,[1]Esquemas_NORM!$A$2:$A$126,0),MATCH(AB$4,[1]Esquemas_NORM!$H$1:$K$1,0)))</f>
        <v>A la fecha no ha conformado un EAT Área Metropolitana</v>
      </c>
      <c r="AC57" s="17" t="str">
        <f>IF($E57="","",INDEX([1]Esquemas_NORM!$H$2:$K$126,MATCH($E57,[1]Esquemas_NORM!$A$2:$A$126,0),MATCH(AC$4,[1]Esquemas_NORM!$H$1:$K$1,0)))</f>
        <v>ASOCIACION DE MUNICIPIOS DEL OCCIDENTE ANTIOQUEÑO - AMOCCIDENTE</v>
      </c>
      <c r="AD57" s="23"/>
    </row>
    <row r="58" spans="1:30" x14ac:dyDescent="0.25">
      <c r="A58" s="24">
        <v>2015</v>
      </c>
      <c r="B58" s="25" t="s">
        <v>36</v>
      </c>
      <c r="C58" s="25" t="s">
        <v>158</v>
      </c>
      <c r="D58" s="25" t="s">
        <v>163</v>
      </c>
      <c r="E58" s="25" t="s">
        <v>168</v>
      </c>
      <c r="F58" s="25" t="s">
        <v>161</v>
      </c>
      <c r="G58" s="25" t="s">
        <v>169</v>
      </c>
      <c r="H58" s="26">
        <v>6.4042739792899566</v>
      </c>
      <c r="I58" s="26">
        <v>12.532663017710059</v>
      </c>
      <c r="J58" s="27">
        <v>18.936936997000014</v>
      </c>
      <c r="K58" s="26">
        <v>3.7436084474500051</v>
      </c>
      <c r="L58" s="26">
        <v>1.2425694201000013</v>
      </c>
      <c r="M58" s="27">
        <v>4.9861778675500066</v>
      </c>
      <c r="N58" s="26">
        <v>5.7087074294899685</v>
      </c>
      <c r="O58" s="26">
        <v>5.6053162541500079</v>
      </c>
      <c r="P58" s="26">
        <v>2.7456507220400197</v>
      </c>
      <c r="Q58" s="26">
        <v>2.0407970159200146</v>
      </c>
      <c r="R58" s="26">
        <v>9.0151341527000017</v>
      </c>
      <c r="S58" s="26">
        <v>6.2729470696500069</v>
      </c>
      <c r="T58" s="26">
        <v>10.232708360710021</v>
      </c>
      <c r="U58" s="26">
        <v>2.8190264166099879</v>
      </c>
      <c r="V58" s="27">
        <v>44.440287421270028</v>
      </c>
      <c r="W58" s="27">
        <v>68.363402285820101</v>
      </c>
      <c r="X58" s="26">
        <v>6.8706535166139142</v>
      </c>
      <c r="Y58" s="28">
        <v>75.234055802433957</v>
      </c>
      <c r="Z58" s="17" t="str">
        <f>SUBSTITUTE(SUBSTITUTE(SUBSTITUTE(SUBSTITUTE(IF(E58="","",VLOOKUP(E58,[1]Esquemas_NORM!$A$2:$H$126,8,FALSE)),"PROVINCIA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58" s="17" t="str">
        <f>IF($E58="","",INDEX([1]Esquemas_NORM!$H$2:$K$126,MATCH($E58,[1]Esquemas_NORM!$A$2:$A$126,0),MATCH(AA$4,[1]Esquemas_NORM!$H$1:$K$1,0)))</f>
        <v>Región de Planeación y Gestión de Occidente</v>
      </c>
      <c r="AB58" s="17" t="str">
        <f>IF($E58="","",INDEX([1]Esquemas_NORM!$H$2:$K$126,MATCH($E58,[1]Esquemas_NORM!$A$2:$A$126,0),MATCH(AB$4,[1]Esquemas_NORM!$H$1:$K$1,0)))</f>
        <v>A la fecha no ha conformado un EAT Área Metropolitana</v>
      </c>
      <c r="AC58" s="17" t="str">
        <f>IF($E58="","",INDEX([1]Esquemas_NORM!$H$2:$K$126,MATCH($E58,[1]Esquemas_NORM!$A$2:$A$126,0),MATCH(AC$4,[1]Esquemas_NORM!$H$1:$K$1,0)))</f>
        <v>ASOCIACION DE MUNICIPIOS DEL OCCIDENTE ANTIOQUEÑO - AMOCCIDENTE</v>
      </c>
      <c r="AD58" s="23"/>
    </row>
    <row r="59" spans="1:30" x14ac:dyDescent="0.25">
      <c r="A59" s="24">
        <v>2015</v>
      </c>
      <c r="B59" s="25" t="s">
        <v>36</v>
      </c>
      <c r="C59" s="25" t="s">
        <v>158</v>
      </c>
      <c r="D59" s="25" t="s">
        <v>163</v>
      </c>
      <c r="E59" s="25" t="s">
        <v>170</v>
      </c>
      <c r="F59" s="25" t="s">
        <v>161</v>
      </c>
      <c r="G59" s="25" t="s">
        <v>171</v>
      </c>
      <c r="H59" s="26">
        <v>17.914359946349876</v>
      </c>
      <c r="I59" s="26">
        <v>1.459291538970007</v>
      </c>
      <c r="J59" s="27">
        <v>19.373651485319883</v>
      </c>
      <c r="K59" s="26">
        <v>2.4084520448500033</v>
      </c>
      <c r="L59" s="26">
        <v>3.7031066102900039</v>
      </c>
      <c r="M59" s="27">
        <v>6.1115586551400067</v>
      </c>
      <c r="N59" s="26">
        <v>1.7131266694899905</v>
      </c>
      <c r="O59" s="26">
        <v>9.4628164691200141</v>
      </c>
      <c r="P59" s="26">
        <v>2.3068577287200163</v>
      </c>
      <c r="Q59" s="26">
        <v>2.1676781607600155</v>
      </c>
      <c r="R59" s="26">
        <v>5.3316128963200011</v>
      </c>
      <c r="S59" s="26">
        <v>7.4376414788800078</v>
      </c>
      <c r="T59" s="26">
        <v>15.30575922761003</v>
      </c>
      <c r="U59" s="26">
        <v>1.9180114695499919</v>
      </c>
      <c r="V59" s="27">
        <v>45.643504100450073</v>
      </c>
      <c r="W59" s="27">
        <v>71.128714240910099</v>
      </c>
      <c r="X59" s="26">
        <v>7.1485726908180665</v>
      </c>
      <c r="Y59" s="28">
        <v>78.277286931728113</v>
      </c>
      <c r="Z59" s="17" t="str">
        <f>SUBSTITUTE(SUBSTITUTE(SUBSTITUTE(SUBSTITUTE(IF(E59="","",VLOOKUP(E59,[1]Esquemas_NORM!$A$2:$H$126,8,FALSE)),"PROVINCIA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59" s="17" t="str">
        <f>IF($E59="","",INDEX([1]Esquemas_NORM!$H$2:$K$126,MATCH($E59,[1]Esquemas_NORM!$A$2:$A$126,0),MATCH(AA$4,[1]Esquemas_NORM!$H$1:$K$1,0)))</f>
        <v>A la fecha no ha conformado un EAT Región</v>
      </c>
      <c r="AB59" s="17" t="str">
        <f>IF($E59="","",INDEX([1]Esquemas_NORM!$H$2:$K$126,MATCH($E59,[1]Esquemas_NORM!$A$2:$A$126,0),MATCH(AB$4,[1]Esquemas_NORM!$H$1:$K$1,0)))</f>
        <v>A la fecha no ha conformado un EAT Área Metropolitana</v>
      </c>
      <c r="AC59" s="17" t="str">
        <f>IF($E59="","",INDEX([1]Esquemas_NORM!$H$2:$K$126,MATCH($E59,[1]Esquemas_NORM!$A$2:$A$126,0),MATCH(AC$4,[1]Esquemas_NORM!$H$1:$K$1,0)))</f>
        <v>ASOCIACION DE MUNICIPIOS DEL OCCIDENTE ANTIOQUEÑO - AMOCCIDENTE</v>
      </c>
      <c r="AD59" s="23"/>
    </row>
    <row r="60" spans="1:30" x14ac:dyDescent="0.25">
      <c r="A60" s="24">
        <v>2015</v>
      </c>
      <c r="B60" s="25" t="s">
        <v>36</v>
      </c>
      <c r="C60" s="25" t="s">
        <v>158</v>
      </c>
      <c r="D60" s="25" t="s">
        <v>159</v>
      </c>
      <c r="E60" s="25" t="s">
        <v>172</v>
      </c>
      <c r="F60" s="25" t="s">
        <v>161</v>
      </c>
      <c r="G60" s="25" t="s">
        <v>173</v>
      </c>
      <c r="H60" s="26">
        <v>21.750605868539854</v>
      </c>
      <c r="I60" s="26">
        <v>0.12416596316000057</v>
      </c>
      <c r="J60" s="27">
        <v>21.874771831699853</v>
      </c>
      <c r="K60" s="26">
        <v>1.3084695835600015</v>
      </c>
      <c r="L60" s="26">
        <v>8.4661025697300083</v>
      </c>
      <c r="M60" s="27">
        <v>9.7745721532900092</v>
      </c>
      <c r="N60" s="26">
        <v>13.328009871779926</v>
      </c>
      <c r="O60" s="26">
        <v>18.355834482110026</v>
      </c>
      <c r="P60" s="26">
        <v>3.5149017525700255</v>
      </c>
      <c r="Q60" s="26">
        <v>2.6379407418700187</v>
      </c>
      <c r="R60" s="26">
        <v>9.1157168966700013</v>
      </c>
      <c r="S60" s="26">
        <v>9.0803473754500104</v>
      </c>
      <c r="T60" s="26">
        <v>19.973094944320039</v>
      </c>
      <c r="U60" s="26">
        <v>2.5818896969099887</v>
      </c>
      <c r="V60" s="27">
        <v>78.587735761680037</v>
      </c>
      <c r="W60" s="27">
        <v>110.23707974667015</v>
      </c>
      <c r="X60" s="26">
        <v>11.07903870051131</v>
      </c>
      <c r="Y60" s="28">
        <v>121.31611844718138</v>
      </c>
      <c r="Z60" s="17" t="str">
        <f>SUBSTITUTE(SUBSTITUTE(SUBSTITUTE(SUBSTITUTE(IF(E60="","",VLOOKUP(E60,[1]Esquemas_NORM!$A$2:$H$126,8,FALSE)),"PROVINCIA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60" s="17" t="str">
        <f>IF($E60="","",INDEX([1]Esquemas_NORM!$H$2:$K$126,MATCH($E60,[1]Esquemas_NORM!$A$2:$A$126,0),MATCH(AA$4,[1]Esquemas_NORM!$H$1:$K$1,0)))</f>
        <v>Región de Planeación y Gestión de Occidente</v>
      </c>
      <c r="AB60" s="17" t="str">
        <f>IF($E60="","",INDEX([1]Esquemas_NORM!$H$2:$K$126,MATCH($E60,[1]Esquemas_NORM!$A$2:$A$126,0),MATCH(AB$4,[1]Esquemas_NORM!$H$1:$K$1,0)))</f>
        <v>A la fecha no ha conformado un EAT Área Metropolitana</v>
      </c>
      <c r="AC60" s="17" t="str">
        <f>IF($E60="","",INDEX([1]Esquemas_NORM!$H$2:$K$126,MATCH($E60,[1]Esquemas_NORM!$A$2:$A$126,0),MATCH(AC$4,[1]Esquemas_NORM!$H$1:$K$1,0)))</f>
        <v>ASOCIACION DE MUNICIPIOS DEL OCCIDENTE ANTIOQUEÑO - AMOCCIDENTE</v>
      </c>
      <c r="AD60" s="23"/>
    </row>
    <row r="61" spans="1:30" x14ac:dyDescent="0.25">
      <c r="A61" s="24">
        <v>2015</v>
      </c>
      <c r="B61" s="25" t="s">
        <v>36</v>
      </c>
      <c r="C61" s="25" t="s">
        <v>158</v>
      </c>
      <c r="D61" s="25" t="s">
        <v>159</v>
      </c>
      <c r="E61" s="25" t="s">
        <v>174</v>
      </c>
      <c r="F61" s="25" t="s">
        <v>161</v>
      </c>
      <c r="G61" s="25" t="s">
        <v>175</v>
      </c>
      <c r="H61" s="26">
        <v>85.76232625249942</v>
      </c>
      <c r="I61" s="26">
        <v>1.2059123264300056</v>
      </c>
      <c r="J61" s="27">
        <v>86.96823857892943</v>
      </c>
      <c r="K61" s="26">
        <v>4.9358920868400062</v>
      </c>
      <c r="L61" s="26">
        <v>15.961056039550018</v>
      </c>
      <c r="M61" s="27">
        <v>20.896948126390022</v>
      </c>
      <c r="N61" s="26">
        <v>6.4304415683099645</v>
      </c>
      <c r="O61" s="26">
        <v>36.376162721120046</v>
      </c>
      <c r="P61" s="26">
        <v>7.1259250821900508</v>
      </c>
      <c r="Q61" s="26">
        <v>5.805755631250042</v>
      </c>
      <c r="R61" s="26">
        <v>13.754406528260004</v>
      </c>
      <c r="S61" s="26">
        <v>20.54160253404002</v>
      </c>
      <c r="T61" s="26">
        <v>32.891958060100073</v>
      </c>
      <c r="U61" s="26">
        <v>5.5304251000499765</v>
      </c>
      <c r="V61" s="27">
        <v>128.45667722532016</v>
      </c>
      <c r="W61" s="27">
        <v>236.32186393064032</v>
      </c>
      <c r="X61" s="26">
        <v>23.750802200871831</v>
      </c>
      <c r="Y61" s="28">
        <v>260.07266613151194</v>
      </c>
      <c r="Z61" s="17" t="str">
        <f>SUBSTITUTE(SUBSTITUTE(SUBSTITUTE(SUBSTITUTE(IF(E61="","",VLOOKUP(E61,[1]Esquemas_NORM!$A$2:$H$126,8,FALSE)),"PROVINCIA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61" s="17" t="str">
        <f>IF($E61="","",INDEX([1]Esquemas_NORM!$H$2:$K$126,MATCH($E61,[1]Esquemas_NORM!$A$2:$A$126,0),MATCH(AA$4,[1]Esquemas_NORM!$H$1:$K$1,0)))</f>
        <v>Región de Planeación y Gestión de Occidente</v>
      </c>
      <c r="AB61" s="17" t="str">
        <f>IF($E61="","",INDEX([1]Esquemas_NORM!$H$2:$K$126,MATCH($E61,[1]Esquemas_NORM!$A$2:$A$126,0),MATCH(AB$4,[1]Esquemas_NORM!$H$1:$K$1,0)))</f>
        <v>A la fecha no ha conformado un EAT Área Metropolitana</v>
      </c>
      <c r="AC61" s="17" t="str">
        <f>IF($E61="","",INDEX([1]Esquemas_NORM!$H$2:$K$126,MATCH($E61,[1]Esquemas_NORM!$A$2:$A$126,0),MATCH(AC$4,[1]Esquemas_NORM!$H$1:$K$1,0)))</f>
        <v>ASOCIACION DE MUNICIPIOS DEL OCCIDENTE ANTIOQUEÑO - AMOCCIDENTE</v>
      </c>
      <c r="AD61" s="23"/>
    </row>
    <row r="62" spans="1:30" x14ac:dyDescent="0.25">
      <c r="A62" s="24">
        <v>2015</v>
      </c>
      <c r="B62" s="25" t="s">
        <v>36</v>
      </c>
      <c r="C62" s="25" t="s">
        <v>158</v>
      </c>
      <c r="D62" s="25" t="s">
        <v>163</v>
      </c>
      <c r="E62" s="25" t="s">
        <v>176</v>
      </c>
      <c r="F62" s="25" t="s">
        <v>161</v>
      </c>
      <c r="G62" s="25" t="s">
        <v>177</v>
      </c>
      <c r="H62" s="26">
        <v>21.330630415219854</v>
      </c>
      <c r="I62" s="26">
        <v>2.9841354680000143E-2</v>
      </c>
      <c r="J62" s="27">
        <v>21.360471769899853</v>
      </c>
      <c r="K62" s="26">
        <v>5.7082633454200078</v>
      </c>
      <c r="L62" s="26">
        <v>5.4500573780200057</v>
      </c>
      <c r="M62" s="27">
        <v>11.158320723440013</v>
      </c>
      <c r="N62" s="26">
        <v>2.6322983637899853</v>
      </c>
      <c r="O62" s="26">
        <v>14.487106304280019</v>
      </c>
      <c r="P62" s="26">
        <v>4.4735043332900322</v>
      </c>
      <c r="Q62" s="26">
        <v>3.1243119645900221</v>
      </c>
      <c r="R62" s="26">
        <v>11.411549096470003</v>
      </c>
      <c r="S62" s="26">
        <v>11.442630367190013</v>
      </c>
      <c r="T62" s="26">
        <v>20.920098495630043</v>
      </c>
      <c r="U62" s="26">
        <v>4.96521658645998</v>
      </c>
      <c r="V62" s="27">
        <v>73.456715511700082</v>
      </c>
      <c r="W62" s="27">
        <v>105.97550800504017</v>
      </c>
      <c r="X62" s="26">
        <v>10.650742537742552</v>
      </c>
      <c r="Y62" s="28">
        <v>116.6262505427826</v>
      </c>
      <c r="Z62" s="17" t="str">
        <f>SUBSTITUTE(SUBSTITUTE(SUBSTITUTE(SUBSTITUTE(IF(E62="","",VLOOKUP(E62,[1]Esquemas_NORM!$A$2:$H$126,8,FALSE)),"PROVINCIA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2" s="17" t="str">
        <f>IF($E62="","",INDEX([1]Esquemas_NORM!$H$2:$K$126,MATCH($E62,[1]Esquemas_NORM!$A$2:$A$126,0),MATCH(AA$4,[1]Esquemas_NORM!$H$1:$K$1,0)))</f>
        <v>A la fecha no ha conformado un EAT Región</v>
      </c>
      <c r="AB62" s="17" t="str">
        <f>IF($E62="","",INDEX([1]Esquemas_NORM!$H$2:$K$126,MATCH($E62,[1]Esquemas_NORM!$A$2:$A$126,0),MATCH(AB$4,[1]Esquemas_NORM!$H$1:$K$1,0)))</f>
        <v>A la fecha no ha conformado un EAT Área Metropolitana</v>
      </c>
      <c r="AC62" s="17" t="str">
        <f>IF($E62="","",INDEX([1]Esquemas_NORM!$H$2:$K$126,MATCH($E62,[1]Esquemas_NORM!$A$2:$A$126,0),MATCH(AC$4,[1]Esquemas_NORM!$H$1:$K$1,0)))</f>
        <v>ASOCIACION DE MUNICIPIOS DEL OCCIDENTE ANTIOQUEÑO - AMOCCIDENTE</v>
      </c>
      <c r="AD62" s="23"/>
    </row>
    <row r="63" spans="1:30" x14ac:dyDescent="0.25">
      <c r="A63" s="24">
        <v>2015</v>
      </c>
      <c r="B63" s="25" t="s">
        <v>36</v>
      </c>
      <c r="C63" s="25" t="s">
        <v>158</v>
      </c>
      <c r="D63" s="25" t="s">
        <v>159</v>
      </c>
      <c r="E63" s="25" t="s">
        <v>178</v>
      </c>
      <c r="F63" s="25" t="s">
        <v>161</v>
      </c>
      <c r="G63" s="25" t="s">
        <v>179</v>
      </c>
      <c r="H63" s="26">
        <v>21.593615931279853</v>
      </c>
      <c r="I63" s="26">
        <v>6.897803166010033</v>
      </c>
      <c r="J63" s="27">
        <v>28.491419097289885</v>
      </c>
      <c r="K63" s="26">
        <v>1.7435961373400022</v>
      </c>
      <c r="L63" s="26">
        <v>16.843844429300017</v>
      </c>
      <c r="M63" s="27">
        <v>18.587440566640019</v>
      </c>
      <c r="N63" s="26">
        <v>11.560774108169934</v>
      </c>
      <c r="O63" s="26">
        <v>25.998690154280034</v>
      </c>
      <c r="P63" s="26">
        <v>7.0999717003300518</v>
      </c>
      <c r="Q63" s="26">
        <v>6.2070043954300438</v>
      </c>
      <c r="R63" s="26">
        <v>11.762786019720004</v>
      </c>
      <c r="S63" s="26">
        <v>16.379886527560018</v>
      </c>
      <c r="T63" s="26">
        <v>32.622812346030067</v>
      </c>
      <c r="U63" s="26">
        <v>6.0904202042899742</v>
      </c>
      <c r="V63" s="27">
        <v>117.7223454558101</v>
      </c>
      <c r="W63" s="27">
        <v>164.80120511974022</v>
      </c>
      <c r="X63" s="26">
        <v>16.562838326343385</v>
      </c>
      <c r="Y63" s="28">
        <v>181.36404344608349</v>
      </c>
      <c r="Z63" s="17" t="str">
        <f>SUBSTITUTE(SUBSTITUTE(SUBSTITUTE(SUBSTITUTE(IF(E63="","",VLOOKUP(E63,[1]Esquemas_NORM!$A$2:$H$126,8,FALSE)),"PROVINCIA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63" s="17" t="str">
        <f>IF($E63="","",INDEX([1]Esquemas_NORM!$H$2:$K$126,MATCH($E63,[1]Esquemas_NORM!$A$2:$A$126,0),MATCH(AA$4,[1]Esquemas_NORM!$H$1:$K$1,0)))</f>
        <v>Región de Planeación y Gestión de Occidente</v>
      </c>
      <c r="AB63" s="17" t="str">
        <f>IF($E63="","",INDEX([1]Esquemas_NORM!$H$2:$K$126,MATCH($E63,[1]Esquemas_NORM!$A$2:$A$126,0),MATCH(AB$4,[1]Esquemas_NORM!$H$1:$K$1,0)))</f>
        <v>A la fecha no ha conformado un EAT Área Metropolitana</v>
      </c>
      <c r="AC63" s="17" t="str">
        <f>IF($E63="","",INDEX([1]Esquemas_NORM!$H$2:$K$126,MATCH($E63,[1]Esquemas_NORM!$A$2:$A$126,0),MATCH(AC$4,[1]Esquemas_NORM!$H$1:$K$1,0)))</f>
        <v>ASOCIACION DE MUNICIPIOS DEL OCCIDENTE ANTIOQUEÑO - AMOCCIDENTE</v>
      </c>
      <c r="AD63" s="23"/>
    </row>
    <row r="64" spans="1:30" x14ac:dyDescent="0.25">
      <c r="A64" s="24">
        <v>2015</v>
      </c>
      <c r="B64" s="25" t="s">
        <v>36</v>
      </c>
      <c r="C64" s="25" t="s">
        <v>158</v>
      </c>
      <c r="D64" s="25" t="s">
        <v>163</v>
      </c>
      <c r="E64" s="25" t="s">
        <v>180</v>
      </c>
      <c r="F64" s="25" t="s">
        <v>161</v>
      </c>
      <c r="G64" s="25" t="s">
        <v>181</v>
      </c>
      <c r="H64" s="26">
        <v>5.3653661013499638</v>
      </c>
      <c r="I64" s="26">
        <v>0</v>
      </c>
      <c r="J64" s="27">
        <v>5.3653661013499638</v>
      </c>
      <c r="K64" s="26">
        <v>0.81393356043000109</v>
      </c>
      <c r="L64" s="26">
        <v>2.2670216641200027</v>
      </c>
      <c r="M64" s="27">
        <v>3.0809552245500038</v>
      </c>
      <c r="N64" s="26">
        <v>1.7969319718899901</v>
      </c>
      <c r="O64" s="26">
        <v>8.8205340115700128</v>
      </c>
      <c r="P64" s="26">
        <v>1.1624687745400082</v>
      </c>
      <c r="Q64" s="26">
        <v>0.76977194928000547</v>
      </c>
      <c r="R64" s="26">
        <v>3.4386174201100004</v>
      </c>
      <c r="S64" s="26">
        <v>3.8803863888900039</v>
      </c>
      <c r="T64" s="26">
        <v>7.4664673403700164</v>
      </c>
      <c r="U64" s="26">
        <v>1.0435552506999957</v>
      </c>
      <c r="V64" s="27">
        <v>28.378733107350033</v>
      </c>
      <c r="W64" s="27">
        <v>36.825054433250052</v>
      </c>
      <c r="X64" s="26">
        <v>3.7009888519547371</v>
      </c>
      <c r="Y64" s="28">
        <v>40.526043285204757</v>
      </c>
      <c r="Z64" s="17" t="str">
        <f>SUBSTITUTE(SUBSTITUTE(SUBSTITUTE(SUBSTITUTE(IF(E64="","",VLOOKUP(E64,[1]Esquemas_NORM!$A$2:$H$126,8,FALSE)),"PROVINCIA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4" s="17" t="str">
        <f>IF($E64="","",INDEX([1]Esquemas_NORM!$H$2:$K$126,MATCH($E64,[1]Esquemas_NORM!$A$2:$A$126,0),MATCH(AA$4,[1]Esquemas_NORM!$H$1:$K$1,0)))</f>
        <v>A la fecha no ha conformado un EAT Región</v>
      </c>
      <c r="AB64" s="17" t="str">
        <f>IF($E64="","",INDEX([1]Esquemas_NORM!$H$2:$K$126,MATCH($E64,[1]Esquemas_NORM!$A$2:$A$126,0),MATCH(AB$4,[1]Esquemas_NORM!$H$1:$K$1,0)))</f>
        <v>A la fecha no ha conformado un EAT Área Metropolitana</v>
      </c>
      <c r="AC64" s="17" t="str">
        <f>IF($E64="","",INDEX([1]Esquemas_NORM!$H$2:$K$126,MATCH($E64,[1]Esquemas_NORM!$A$2:$A$126,0),MATCH(AC$4,[1]Esquemas_NORM!$H$1:$K$1,0)))</f>
        <v>ASOCIACION DE MUNICIPIOS DEL OCCIDENTE ANTIOQUEÑO - AMOCCIDENTE</v>
      </c>
      <c r="AD64" s="23"/>
    </row>
    <row r="65" spans="1:30" x14ac:dyDescent="0.25">
      <c r="A65" s="24">
        <v>2015</v>
      </c>
      <c r="B65" s="25" t="s">
        <v>36</v>
      </c>
      <c r="C65" s="25" t="s">
        <v>158</v>
      </c>
      <c r="D65" s="25" t="s">
        <v>163</v>
      </c>
      <c r="E65" s="25" t="s">
        <v>182</v>
      </c>
      <c r="F65" s="25" t="s">
        <v>161</v>
      </c>
      <c r="G65" s="25" t="s">
        <v>183</v>
      </c>
      <c r="H65" s="26">
        <v>20.24982607040986</v>
      </c>
      <c r="I65" s="26">
        <v>0.3833673456800018</v>
      </c>
      <c r="J65" s="27">
        <v>20.633193416089863</v>
      </c>
      <c r="K65" s="26">
        <v>1.9623152761900025</v>
      </c>
      <c r="L65" s="26">
        <v>3.5707968320100036</v>
      </c>
      <c r="M65" s="27">
        <v>5.5331121082000063</v>
      </c>
      <c r="N65" s="26">
        <v>1.8367971138899899</v>
      </c>
      <c r="O65" s="26">
        <v>5.1656504600700073</v>
      </c>
      <c r="P65" s="26">
        <v>2.153265629900015</v>
      </c>
      <c r="Q65" s="26">
        <v>1.7576726880800124</v>
      </c>
      <c r="R65" s="26">
        <v>5.6570928490100005</v>
      </c>
      <c r="S65" s="26">
        <v>6.5448997658000074</v>
      </c>
      <c r="T65" s="26">
        <v>12.379568590800027</v>
      </c>
      <c r="U65" s="26">
        <v>2.2711704051899901</v>
      </c>
      <c r="V65" s="27">
        <v>37.766117502740045</v>
      </c>
      <c r="W65" s="27">
        <v>63.932423027030097</v>
      </c>
      <c r="X65" s="26">
        <v>6.4253315722949411</v>
      </c>
      <c r="Y65" s="28">
        <v>70.357754599324977</v>
      </c>
      <c r="Z65" s="17" t="str">
        <f>SUBSTITUTE(SUBSTITUTE(SUBSTITUTE(SUBSTITUTE(IF(E65="","",VLOOKUP(E65,[1]Esquemas_NORM!$A$2:$H$126,8,FALSE)),"PROVINCIA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5" s="17" t="str">
        <f>IF($E65="","",INDEX([1]Esquemas_NORM!$H$2:$K$126,MATCH($E65,[1]Esquemas_NORM!$A$2:$A$126,0),MATCH(AA$4,[1]Esquemas_NORM!$H$1:$K$1,0)))</f>
        <v>Región de Planeación y Gestión de Occidente</v>
      </c>
      <c r="AB65" s="17" t="str">
        <f>IF($E65="","",INDEX([1]Esquemas_NORM!$H$2:$K$126,MATCH($E65,[1]Esquemas_NORM!$A$2:$A$126,0),MATCH(AB$4,[1]Esquemas_NORM!$H$1:$K$1,0)))</f>
        <v>A la fecha no ha conformado un EAT Área Metropolitana</v>
      </c>
      <c r="AC65" s="17" t="str">
        <f>IF($E65="","",INDEX([1]Esquemas_NORM!$H$2:$K$126,MATCH($E65,[1]Esquemas_NORM!$A$2:$A$126,0),MATCH(AC$4,[1]Esquemas_NORM!$H$1:$K$1,0)))</f>
        <v>ASOCIACION DE MUNICIPIOS DEL OCCIDENTE ANTIOQUEÑO - AMOCCIDENTE</v>
      </c>
      <c r="AD65" s="23"/>
    </row>
    <row r="66" spans="1:30" x14ac:dyDescent="0.25">
      <c r="A66" s="24">
        <v>2015</v>
      </c>
      <c r="B66" s="25" t="s">
        <v>36</v>
      </c>
      <c r="C66" s="25" t="s">
        <v>158</v>
      </c>
      <c r="D66" s="25" t="s">
        <v>163</v>
      </c>
      <c r="E66" s="25" t="s">
        <v>184</v>
      </c>
      <c r="F66" s="25" t="s">
        <v>161</v>
      </c>
      <c r="G66" s="25" t="s">
        <v>185</v>
      </c>
      <c r="H66" s="26">
        <v>16.294800177939891</v>
      </c>
      <c r="I66" s="26">
        <v>2.6447129750000121E-2</v>
      </c>
      <c r="J66" s="27">
        <v>16.321247307689891</v>
      </c>
      <c r="K66" s="26">
        <v>1.0099942000500013</v>
      </c>
      <c r="L66" s="26">
        <v>6.1688423648100059</v>
      </c>
      <c r="M66" s="27">
        <v>7.1788365648600072</v>
      </c>
      <c r="N66" s="26">
        <v>2.1763842841399881</v>
      </c>
      <c r="O66" s="26">
        <v>9.8189983455200149</v>
      </c>
      <c r="P66" s="26">
        <v>3.604848887420026</v>
      </c>
      <c r="Q66" s="26">
        <v>2.9095256855600202</v>
      </c>
      <c r="R66" s="26">
        <v>6.0990752774600017</v>
      </c>
      <c r="S66" s="26">
        <v>8.6741322805400092</v>
      </c>
      <c r="T66" s="26">
        <v>19.702566237450039</v>
      </c>
      <c r="U66" s="26">
        <v>2.8876465841799881</v>
      </c>
      <c r="V66" s="27">
        <v>55.873177582270088</v>
      </c>
      <c r="W66" s="27">
        <v>79.37326145482011</v>
      </c>
      <c r="X66" s="26">
        <v>7.9771655550431033</v>
      </c>
      <c r="Y66" s="28">
        <v>87.350427009863154</v>
      </c>
      <c r="Z66" s="17" t="str">
        <f>SUBSTITUTE(SUBSTITUTE(SUBSTITUTE(SUBSTITUTE(IF(E66="","",VLOOKUP(E66,[1]Esquemas_NORM!$A$2:$H$126,8,FALSE)),"PROVINCIA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6" s="17" t="str">
        <f>IF($E66="","",INDEX([1]Esquemas_NORM!$H$2:$K$126,MATCH($E66,[1]Esquemas_NORM!$A$2:$A$126,0),MATCH(AA$4,[1]Esquemas_NORM!$H$1:$K$1,0)))</f>
        <v>Región de Planeación y Gestión de Occidente</v>
      </c>
      <c r="AB66" s="17" t="str">
        <f>IF($E66="","",INDEX([1]Esquemas_NORM!$H$2:$K$126,MATCH($E66,[1]Esquemas_NORM!$A$2:$A$126,0),MATCH(AB$4,[1]Esquemas_NORM!$H$1:$K$1,0)))</f>
        <v>A la fecha no ha conformado un EAT Área Metropolitana</v>
      </c>
      <c r="AC66" s="17" t="str">
        <f>IF($E66="","",INDEX([1]Esquemas_NORM!$H$2:$K$126,MATCH($E66,[1]Esquemas_NORM!$A$2:$A$126,0),MATCH(AC$4,[1]Esquemas_NORM!$H$1:$K$1,0)))</f>
        <v>ASOCIACION DE MUNICIPIOS DEL OCCIDENTE ANTIOQUEÑO - AMOCCIDENTE</v>
      </c>
      <c r="AD66" s="23"/>
    </row>
    <row r="67" spans="1:30" x14ac:dyDescent="0.25">
      <c r="A67" s="24">
        <v>2015</v>
      </c>
      <c r="B67" s="25" t="s">
        <v>36</v>
      </c>
      <c r="C67" s="25" t="s">
        <v>158</v>
      </c>
      <c r="D67" s="25" t="s">
        <v>163</v>
      </c>
      <c r="E67" s="25" t="s">
        <v>186</v>
      </c>
      <c r="F67" s="25" t="s">
        <v>161</v>
      </c>
      <c r="G67" s="25" t="s">
        <v>187</v>
      </c>
      <c r="H67" s="26">
        <v>4.1638870518099713</v>
      </c>
      <c r="I67" s="26">
        <v>0</v>
      </c>
      <c r="J67" s="27">
        <v>4.1638870518099713</v>
      </c>
      <c r="K67" s="26">
        <v>0.67651053932000083</v>
      </c>
      <c r="L67" s="26">
        <v>1.782625521430002</v>
      </c>
      <c r="M67" s="27">
        <v>2.4591360607500028</v>
      </c>
      <c r="N67" s="26">
        <v>3.5095879622599804</v>
      </c>
      <c r="O67" s="26">
        <v>5.3209597219600075</v>
      </c>
      <c r="P67" s="26">
        <v>1.0295024843400074</v>
      </c>
      <c r="Q67" s="26">
        <v>0.49083323355000347</v>
      </c>
      <c r="R67" s="26">
        <v>2.6917004330700003</v>
      </c>
      <c r="S67" s="26">
        <v>2.9496110925500036</v>
      </c>
      <c r="T67" s="26">
        <v>5.078358298070011</v>
      </c>
      <c r="U67" s="26">
        <v>0.73257240982999694</v>
      </c>
      <c r="V67" s="27">
        <v>21.80312563563001</v>
      </c>
      <c r="W67" s="27">
        <v>28.426148748190045</v>
      </c>
      <c r="X67" s="26">
        <v>2.8568826642677223</v>
      </c>
      <c r="Y67" s="28">
        <v>31.283031412457742</v>
      </c>
      <c r="Z67" s="17" t="str">
        <f>SUBSTITUTE(SUBSTITUTE(SUBSTITUTE(SUBSTITUTE(IF(E67="","",VLOOKUP(E67,[1]Esquemas_NORM!$A$2:$H$126,8,FALSE)),"PROVINCIA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7" s="17" t="str">
        <f>IF($E67="","",INDEX([1]Esquemas_NORM!$H$2:$K$126,MATCH($E67,[1]Esquemas_NORM!$A$2:$A$126,0),MATCH(AA$4,[1]Esquemas_NORM!$H$1:$K$1,0)))</f>
        <v>Región de Planeación y Gestión de Occidente</v>
      </c>
      <c r="AB67" s="17" t="str">
        <f>IF($E67="","",INDEX([1]Esquemas_NORM!$H$2:$K$126,MATCH($E67,[1]Esquemas_NORM!$A$2:$A$126,0),MATCH(AB$4,[1]Esquemas_NORM!$H$1:$K$1,0)))</f>
        <v>A la fecha no ha conformado un EAT Área Metropolitana</v>
      </c>
      <c r="AC67" s="17" t="str">
        <f>IF($E67="","",INDEX([1]Esquemas_NORM!$H$2:$K$126,MATCH($E67,[1]Esquemas_NORM!$A$2:$A$126,0),MATCH(AC$4,[1]Esquemas_NORM!$H$1:$K$1,0)))</f>
        <v>ASOCIACION DE MUNICIPIOS DEL OCCIDENTE ANTIOQUEÑO - AMOCCIDENTE</v>
      </c>
      <c r="AD67" s="23"/>
    </row>
    <row r="68" spans="1:30" x14ac:dyDescent="0.25">
      <c r="A68" s="24">
        <v>2015</v>
      </c>
      <c r="B68" s="25" t="s">
        <v>36</v>
      </c>
      <c r="C68" s="25" t="s">
        <v>158</v>
      </c>
      <c r="D68" s="25" t="s">
        <v>159</v>
      </c>
      <c r="E68" s="25" t="s">
        <v>188</v>
      </c>
      <c r="F68" s="25" t="s">
        <v>161</v>
      </c>
      <c r="G68" s="25" t="s">
        <v>189</v>
      </c>
      <c r="H68" s="26">
        <v>12.011549362349918</v>
      </c>
      <c r="I68" s="26">
        <v>0</v>
      </c>
      <c r="J68" s="27">
        <v>12.011549362349918</v>
      </c>
      <c r="K68" s="26">
        <v>2.618441000750003</v>
      </c>
      <c r="L68" s="26">
        <v>2.5613247781600026</v>
      </c>
      <c r="M68" s="27">
        <v>5.1797657789100056</v>
      </c>
      <c r="N68" s="26">
        <v>1.4953583952699918</v>
      </c>
      <c r="O68" s="26">
        <v>6.0916598476400079</v>
      </c>
      <c r="P68" s="26">
        <v>2.333705815610017</v>
      </c>
      <c r="Q68" s="26">
        <v>1.9292475754100136</v>
      </c>
      <c r="R68" s="26">
        <v>5.0430640572500005</v>
      </c>
      <c r="S68" s="26">
        <v>7.1431286049200082</v>
      </c>
      <c r="T68" s="26">
        <v>17.080874523180036</v>
      </c>
      <c r="U68" s="26">
        <v>1.6521928275999931</v>
      </c>
      <c r="V68" s="27">
        <v>42.769231646880066</v>
      </c>
      <c r="W68" s="27">
        <v>59.960546788140078</v>
      </c>
      <c r="X68" s="26">
        <v>6.026150365161234</v>
      </c>
      <c r="Y68" s="28">
        <v>65.986697153301265</v>
      </c>
      <c r="Z68" s="17" t="str">
        <f>SUBSTITUTE(SUBSTITUTE(SUBSTITUTE(SUBSTITUTE(IF(E68="","",VLOOKUP(E68,[1]Esquemas_NORM!$A$2:$H$126,8,FALSE)),"PROVINCIA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68" s="17" t="str">
        <f>IF($E68="","",INDEX([1]Esquemas_NORM!$H$2:$K$126,MATCH($E68,[1]Esquemas_NORM!$A$2:$A$126,0),MATCH(AA$4,[1]Esquemas_NORM!$H$1:$K$1,0)))</f>
        <v>Región de Planeación y Gestión de Occidente</v>
      </c>
      <c r="AB68" s="17" t="str">
        <f>IF($E68="","",INDEX([1]Esquemas_NORM!$H$2:$K$126,MATCH($E68,[1]Esquemas_NORM!$A$2:$A$126,0),MATCH(AB$4,[1]Esquemas_NORM!$H$1:$K$1,0)))</f>
        <v>A la fecha no ha conformado un EAT Área Metropolitana</v>
      </c>
      <c r="AC68" s="17" t="str">
        <f>IF($E68="","",INDEX([1]Esquemas_NORM!$H$2:$K$126,MATCH($E68,[1]Esquemas_NORM!$A$2:$A$126,0),MATCH(AC$4,[1]Esquemas_NORM!$H$1:$K$1,0)))</f>
        <v>ASOCIACION DE MUNICIPIOS DEL OCCIDENTE ANTIOQUEÑO - AMOCCIDENTE</v>
      </c>
      <c r="AD68" s="23"/>
    </row>
    <row r="69" spans="1:30" x14ac:dyDescent="0.25">
      <c r="A69" s="24">
        <v>2015</v>
      </c>
      <c r="B69" s="25" t="s">
        <v>36</v>
      </c>
      <c r="C69" s="25" t="s">
        <v>158</v>
      </c>
      <c r="D69" s="25" t="s">
        <v>163</v>
      </c>
      <c r="E69" s="25" t="s">
        <v>190</v>
      </c>
      <c r="F69" s="25" t="s">
        <v>161</v>
      </c>
      <c r="G69" s="25" t="s">
        <v>191</v>
      </c>
      <c r="H69" s="26">
        <v>12.616847645379915</v>
      </c>
      <c r="I69" s="26">
        <v>0.92203646885000434</v>
      </c>
      <c r="J69" s="27">
        <v>13.538884114229919</v>
      </c>
      <c r="K69" s="26">
        <v>1.5124345877200021</v>
      </c>
      <c r="L69" s="26">
        <v>4.9179021460400056</v>
      </c>
      <c r="M69" s="27">
        <v>6.4303367337600079</v>
      </c>
      <c r="N69" s="26">
        <v>1.599373963069991</v>
      </c>
      <c r="O69" s="26">
        <v>6.106824606990009</v>
      </c>
      <c r="P69" s="26">
        <v>3.1779053115300226</v>
      </c>
      <c r="Q69" s="26">
        <v>2.5898831624200183</v>
      </c>
      <c r="R69" s="26">
        <v>7.288600231500002</v>
      </c>
      <c r="S69" s="26">
        <v>7.9933734858700092</v>
      </c>
      <c r="T69" s="26">
        <v>20.676039025860042</v>
      </c>
      <c r="U69" s="26">
        <v>2.2429169472499906</v>
      </c>
      <c r="V69" s="27">
        <v>51.674916734490083</v>
      </c>
      <c r="W69" s="27">
        <v>71.644137582480113</v>
      </c>
      <c r="X69" s="26">
        <v>7.200373728739268</v>
      </c>
      <c r="Y69" s="28">
        <v>78.844511311219321</v>
      </c>
      <c r="Z69" s="17" t="str">
        <f>SUBSTITUTE(SUBSTITUTE(SUBSTITUTE(SUBSTITUTE(IF(E69="","",VLOOKUP(E69,[1]Esquemas_NORM!$A$2:$H$126,8,FALSE)),"PROVINCIA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9" s="17" t="str">
        <f>IF($E69="","",INDEX([1]Esquemas_NORM!$H$2:$K$126,MATCH($E69,[1]Esquemas_NORM!$A$2:$A$126,0),MATCH(AA$4,[1]Esquemas_NORM!$H$1:$K$1,0)))</f>
        <v>A la fecha no ha conformado un EAT Región</v>
      </c>
      <c r="AB69" s="17" t="str">
        <f>IF($E69="","",INDEX([1]Esquemas_NORM!$H$2:$K$126,MATCH($E69,[1]Esquemas_NORM!$A$2:$A$126,0),MATCH(AB$4,[1]Esquemas_NORM!$H$1:$K$1,0)))</f>
        <v>A la fecha no ha conformado un EAT Área Metropolitana</v>
      </c>
      <c r="AC69" s="17" t="str">
        <f>IF($E69="","",INDEX([1]Esquemas_NORM!$H$2:$K$126,MATCH($E69,[1]Esquemas_NORM!$A$2:$A$126,0),MATCH(AC$4,[1]Esquemas_NORM!$H$1:$K$1,0)))</f>
        <v>ASOCIACION DE MUNICIPIOS DEL OCCIDENTE ANTIOQUEÑO - AMOCCIDENTE</v>
      </c>
      <c r="AD69" s="23"/>
    </row>
    <row r="70" spans="1:30" x14ac:dyDescent="0.25">
      <c r="A70" s="24">
        <v>2015</v>
      </c>
      <c r="B70" s="25" t="s">
        <v>36</v>
      </c>
      <c r="C70" s="25" t="s">
        <v>158</v>
      </c>
      <c r="D70" s="25" t="s">
        <v>163</v>
      </c>
      <c r="E70" s="25" t="s">
        <v>192</v>
      </c>
      <c r="F70" s="25" t="s">
        <v>161</v>
      </c>
      <c r="G70" s="25" t="s">
        <v>193</v>
      </c>
      <c r="H70" s="26">
        <v>11.339180440559922</v>
      </c>
      <c r="I70" s="26">
        <v>0</v>
      </c>
      <c r="J70" s="27">
        <v>11.339180440559922</v>
      </c>
      <c r="K70" s="26">
        <v>2.8130478911300036</v>
      </c>
      <c r="L70" s="26">
        <v>11.595049592610012</v>
      </c>
      <c r="M70" s="27">
        <v>14.408097483740015</v>
      </c>
      <c r="N70" s="26">
        <v>10.178921933499943</v>
      </c>
      <c r="O70" s="26">
        <v>49.492065289080067</v>
      </c>
      <c r="P70" s="26">
        <v>5.9604656909900422</v>
      </c>
      <c r="Q70" s="26">
        <v>3.9575437670900282</v>
      </c>
      <c r="R70" s="26">
        <v>28.233878963370007</v>
      </c>
      <c r="S70" s="26">
        <v>17.371623308540016</v>
      </c>
      <c r="T70" s="26">
        <v>21.159367734060044</v>
      </c>
      <c r="U70" s="26">
        <v>3.7414919487899843</v>
      </c>
      <c r="V70" s="27">
        <v>140.09535863542015</v>
      </c>
      <c r="W70" s="27">
        <v>165.84263655972026</v>
      </c>
      <c r="X70" s="26">
        <v>16.667504190623099</v>
      </c>
      <c r="Y70" s="28">
        <v>182.5101407503432</v>
      </c>
      <c r="Z70" s="17" t="str">
        <f>SUBSTITUTE(SUBSTITUTE(SUBSTITUTE(SUBSTITUTE(IF(E70="","",VLOOKUP(E70,[1]Esquemas_NORM!$A$2:$H$126,8,FALSE)),"PROVINCIA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70" s="17" t="str">
        <f>IF($E70="","",INDEX([1]Esquemas_NORM!$H$2:$K$126,MATCH($E70,[1]Esquemas_NORM!$A$2:$A$126,0),MATCH(AA$4,[1]Esquemas_NORM!$H$1:$K$1,0)))</f>
        <v>Región de Planeación y Gestión de Occidente</v>
      </c>
      <c r="AB70" s="17" t="str">
        <f>IF($E70="","",INDEX([1]Esquemas_NORM!$H$2:$K$126,MATCH($E70,[1]Esquemas_NORM!$A$2:$A$126,0),MATCH(AB$4,[1]Esquemas_NORM!$H$1:$K$1,0)))</f>
        <v>A la fecha no ha conformado un EAT Área Metropolitana</v>
      </c>
      <c r="AC70" s="17" t="str">
        <f>IF($E70="","",INDEX([1]Esquemas_NORM!$H$2:$K$126,MATCH($E70,[1]Esquemas_NORM!$A$2:$A$126,0),MATCH(AC$4,[1]Esquemas_NORM!$H$1:$K$1,0)))</f>
        <v>ASOCIACION DE MUNICIPIOS DEL OCCIDENTE ANTIOQUEÑO - AMOCCIDENTE</v>
      </c>
      <c r="AD70" s="23"/>
    </row>
    <row r="71" spans="1:30" x14ac:dyDescent="0.25">
      <c r="A71" s="24">
        <v>2015</v>
      </c>
      <c r="B71" s="25" t="s">
        <v>36</v>
      </c>
      <c r="C71" s="25" t="s">
        <v>158</v>
      </c>
      <c r="D71" s="25" t="s">
        <v>163</v>
      </c>
      <c r="E71" s="25" t="s">
        <v>194</v>
      </c>
      <c r="F71" s="25" t="s">
        <v>161</v>
      </c>
      <c r="G71" s="25" t="s">
        <v>195</v>
      </c>
      <c r="H71" s="26">
        <v>44.082643029749704</v>
      </c>
      <c r="I71" s="26">
        <v>9.5086733890000441E-2</v>
      </c>
      <c r="J71" s="27">
        <v>44.177729763639704</v>
      </c>
      <c r="K71" s="26">
        <v>7.73503456397001</v>
      </c>
      <c r="L71" s="26">
        <v>17.688623160920017</v>
      </c>
      <c r="M71" s="27">
        <v>25.423657724890028</v>
      </c>
      <c r="N71" s="26">
        <v>3.5872491625199801</v>
      </c>
      <c r="O71" s="26">
        <v>76.897135852970109</v>
      </c>
      <c r="P71" s="26">
        <v>9.3091291401200653</v>
      </c>
      <c r="Q71" s="26">
        <v>6.9952674049200496</v>
      </c>
      <c r="R71" s="26">
        <v>24.488570540330006</v>
      </c>
      <c r="S71" s="26">
        <v>27.737507585040028</v>
      </c>
      <c r="T71" s="26">
        <v>53.132010873740107</v>
      </c>
      <c r="U71" s="26">
        <v>7.6021052280799681</v>
      </c>
      <c r="V71" s="27">
        <v>209.74897578772033</v>
      </c>
      <c r="W71" s="27">
        <v>279.35036327625039</v>
      </c>
      <c r="X71" s="26">
        <v>28.075249206996748</v>
      </c>
      <c r="Y71" s="28">
        <v>307.42561248324694</v>
      </c>
      <c r="Z71" s="17" t="str">
        <f>SUBSTITUTE(SUBSTITUTE(SUBSTITUTE(SUBSTITUTE(IF(E71="","",VLOOKUP(E71,[1]Esquemas_NORM!$A$2:$H$126,8,FALSE)),"PROVINCIA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71" s="17" t="str">
        <f>IF($E71="","",INDEX([1]Esquemas_NORM!$H$2:$K$126,MATCH($E71,[1]Esquemas_NORM!$A$2:$A$126,0),MATCH(AA$4,[1]Esquemas_NORM!$H$1:$K$1,0)))</f>
        <v>A la fecha no ha conformado un EAT Región</v>
      </c>
      <c r="AB71" s="17" t="str">
        <f>IF($E71="","",INDEX([1]Esquemas_NORM!$H$2:$K$126,MATCH($E71,[1]Esquemas_NORM!$A$2:$A$126,0),MATCH(AB$4,[1]Esquemas_NORM!$H$1:$K$1,0)))</f>
        <v>A la fecha no ha conformado un EAT Área Metropolitana</v>
      </c>
      <c r="AC71" s="17" t="str">
        <f>IF($E71="","",INDEX([1]Esquemas_NORM!$H$2:$K$126,MATCH($E71,[1]Esquemas_NORM!$A$2:$A$126,0),MATCH(AC$4,[1]Esquemas_NORM!$H$1:$K$1,0)))</f>
        <v>ASOCIACION DE MUNICIPIOS DEL OCCIDENTE ANTIOQUEÑO - AMOCCIDENTE</v>
      </c>
      <c r="AD71" s="23"/>
    </row>
    <row r="72" spans="1:30" x14ac:dyDescent="0.25">
      <c r="A72" s="24">
        <v>2015</v>
      </c>
      <c r="B72" s="25" t="s">
        <v>36</v>
      </c>
      <c r="C72" s="25" t="s">
        <v>158</v>
      </c>
      <c r="D72" s="25" t="s">
        <v>163</v>
      </c>
      <c r="E72" s="25" t="s">
        <v>196</v>
      </c>
      <c r="F72" s="25" t="s">
        <v>161</v>
      </c>
      <c r="G72" s="25" t="s">
        <v>197</v>
      </c>
      <c r="H72" s="26">
        <v>15.859531948439894</v>
      </c>
      <c r="I72" s="26">
        <v>0.15205159277000069</v>
      </c>
      <c r="J72" s="27">
        <v>16.011583541209895</v>
      </c>
      <c r="K72" s="26">
        <v>3.8674658727000049</v>
      </c>
      <c r="L72" s="26">
        <v>9.2056982316700111</v>
      </c>
      <c r="M72" s="27">
        <v>13.073164104370015</v>
      </c>
      <c r="N72" s="26">
        <v>7.4486628342999595</v>
      </c>
      <c r="O72" s="26">
        <v>36.90341974436005</v>
      </c>
      <c r="P72" s="26">
        <v>5.8359472356400408</v>
      </c>
      <c r="Q72" s="26">
        <v>3.8464347755000272</v>
      </c>
      <c r="R72" s="26">
        <v>18.843605185280005</v>
      </c>
      <c r="S72" s="26">
        <v>16.148695285710019</v>
      </c>
      <c r="T72" s="26">
        <v>23.799766545100049</v>
      </c>
      <c r="U72" s="26">
        <v>4.1639786897799826</v>
      </c>
      <c r="V72" s="27">
        <v>116.99051029567013</v>
      </c>
      <c r="W72" s="27">
        <v>146.07525794125024</v>
      </c>
      <c r="X72" s="26">
        <v>14.6808445909246</v>
      </c>
      <c r="Y72" s="28">
        <v>160.75610253217471</v>
      </c>
      <c r="Z72" s="17" t="str">
        <f>SUBSTITUTE(SUBSTITUTE(SUBSTITUTE(SUBSTITUTE(IF(E72="","",VLOOKUP(E72,[1]Esquemas_NORM!$A$2:$H$126,8,FALSE)),"PROVINCIA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2" s="17" t="str">
        <f>IF($E72="","",INDEX([1]Esquemas_NORM!$H$2:$K$126,MATCH($E72,[1]Esquemas_NORM!$A$2:$A$126,0),MATCH(AA$4,[1]Esquemas_NORM!$H$1:$K$1,0)))</f>
        <v>A la fecha no ha conformado un EAT Región</v>
      </c>
      <c r="AB72" s="17" t="str">
        <f>IF($E72="","",INDEX([1]Esquemas_NORM!$H$2:$K$126,MATCH($E72,[1]Esquemas_NORM!$A$2:$A$126,0),MATCH(AB$4,[1]Esquemas_NORM!$H$1:$K$1,0)))</f>
        <v>A la fecha no ha conformado un EAT Área Metropolitana</v>
      </c>
      <c r="AC72" s="17" t="str">
        <f>IF($E72="","",INDEX([1]Esquemas_NORM!$H$2:$K$126,MATCH($E72,[1]Esquemas_NORM!$A$2:$A$126,0),MATCH(AC$4,[1]Esquemas_NORM!$H$1:$K$1,0)))</f>
        <v>ASOCIACION DE MUNICIPIOS DEL OCCIDENTE ANTIOQUEÑO - AMOCCIDENTE</v>
      </c>
      <c r="AD72" s="23"/>
    </row>
    <row r="73" spans="1:30" x14ac:dyDescent="0.25">
      <c r="A73" s="24">
        <v>2015</v>
      </c>
      <c r="B73" s="25" t="s">
        <v>36</v>
      </c>
      <c r="C73" s="25" t="s">
        <v>158</v>
      </c>
      <c r="D73" s="25" t="s">
        <v>159</v>
      </c>
      <c r="E73" s="25" t="s">
        <v>198</v>
      </c>
      <c r="F73" s="25" t="s">
        <v>161</v>
      </c>
      <c r="G73" s="25" t="s">
        <v>199</v>
      </c>
      <c r="H73" s="26">
        <v>13.229189022509912</v>
      </c>
      <c r="I73" s="26">
        <v>0.44712505839000211</v>
      </c>
      <c r="J73" s="27">
        <v>13.676314080899914</v>
      </c>
      <c r="K73" s="26">
        <v>1.8377121281300024</v>
      </c>
      <c r="L73" s="26">
        <v>3.5686981533200042</v>
      </c>
      <c r="M73" s="27">
        <v>5.4064102814500066</v>
      </c>
      <c r="N73" s="26">
        <v>1.9163807806699893</v>
      </c>
      <c r="O73" s="26">
        <v>7.2954980985300102</v>
      </c>
      <c r="P73" s="26">
        <v>1.978237859100014</v>
      </c>
      <c r="Q73" s="26">
        <v>1.4667509641500103</v>
      </c>
      <c r="R73" s="26">
        <v>4.2386076982600009</v>
      </c>
      <c r="S73" s="26">
        <v>5.7117634554500061</v>
      </c>
      <c r="T73" s="26">
        <v>11.937410789240024</v>
      </c>
      <c r="U73" s="26">
        <v>1.5392477499899935</v>
      </c>
      <c r="V73" s="27">
        <v>36.083897395390053</v>
      </c>
      <c r="W73" s="27">
        <v>55.166621757740081</v>
      </c>
      <c r="X73" s="26">
        <v>5.5443516721872088</v>
      </c>
      <c r="Y73" s="28">
        <v>60.710973429927236</v>
      </c>
      <c r="Z73" s="17" t="str">
        <f>SUBSTITUTE(SUBSTITUTE(SUBSTITUTE(SUBSTITUTE(IF(E73="","",VLOOKUP(E73,[1]Esquemas_NORM!$A$2:$H$126,8,FALSE)),"PROVINCIA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73" s="17" t="str">
        <f>IF($E73="","",INDEX([1]Esquemas_NORM!$H$2:$K$126,MATCH($E73,[1]Esquemas_NORM!$A$2:$A$126,0),MATCH(AA$4,[1]Esquemas_NORM!$H$1:$K$1,0)))</f>
        <v>Región de Planeación y Gestión de Occidente</v>
      </c>
      <c r="AB73" s="17" t="str">
        <f>IF($E73="","",INDEX([1]Esquemas_NORM!$H$2:$K$126,MATCH($E73,[1]Esquemas_NORM!$A$2:$A$126,0),MATCH(AB$4,[1]Esquemas_NORM!$H$1:$K$1,0)))</f>
        <v>A la fecha no ha conformado un EAT Área Metropolitana</v>
      </c>
      <c r="AC73" s="17" t="str">
        <f>IF($E73="","",INDEX([1]Esquemas_NORM!$H$2:$K$126,MATCH($E73,[1]Esquemas_NORM!$A$2:$A$126,0),MATCH(AC$4,[1]Esquemas_NORM!$H$1:$K$1,0)))</f>
        <v>ASOCIACION DE MUNICIPIOS DEL OCCIDENTE ANTIOQUEÑO - AMOCCIDENTE</v>
      </c>
      <c r="AD73" s="23"/>
    </row>
    <row r="74" spans="1:30" x14ac:dyDescent="0.25">
      <c r="A74" s="24">
        <v>2015</v>
      </c>
      <c r="B74" s="25" t="s">
        <v>36</v>
      </c>
      <c r="C74" s="25" t="s">
        <v>200</v>
      </c>
      <c r="D74" s="25" t="s">
        <v>201</v>
      </c>
      <c r="E74" s="25" t="s">
        <v>202</v>
      </c>
      <c r="F74" s="25" t="s">
        <v>203</v>
      </c>
      <c r="G74" s="25" t="s">
        <v>204</v>
      </c>
      <c r="H74" s="26">
        <v>45.876301268709689</v>
      </c>
      <c r="I74" s="26">
        <v>2.7014276307600125</v>
      </c>
      <c r="J74" s="27">
        <v>48.577728899469705</v>
      </c>
      <c r="K74" s="26">
        <v>3.1775324945800039</v>
      </c>
      <c r="L74" s="26">
        <v>12.288034845100013</v>
      </c>
      <c r="M74" s="27">
        <v>15.465567339680018</v>
      </c>
      <c r="N74" s="26">
        <v>55.066227994809694</v>
      </c>
      <c r="O74" s="26">
        <v>7.3873380536900095</v>
      </c>
      <c r="P74" s="26">
        <v>2.7685436393300193</v>
      </c>
      <c r="Q74" s="26">
        <v>2.1027012689000149</v>
      </c>
      <c r="R74" s="26">
        <v>9.0244298637700009</v>
      </c>
      <c r="S74" s="26">
        <v>18.225048761200021</v>
      </c>
      <c r="T74" s="26">
        <v>12.407638547960024</v>
      </c>
      <c r="U74" s="26">
        <v>1.924943380619992</v>
      </c>
      <c r="V74" s="27">
        <v>108.90687151027977</v>
      </c>
      <c r="W74" s="27">
        <v>172.95016774943028</v>
      </c>
      <c r="X74" s="26">
        <v>17.381824755872064</v>
      </c>
      <c r="Y74" s="28">
        <v>190.3319925053022</v>
      </c>
      <c r="Z74" s="17" t="str">
        <f>SUBSTITUTE(SUBSTITUTE(SUBSTITUTE(SUBSTITUTE(IF(E74="","",VLOOKUP(E74,[1]Esquemas_NORM!$A$2:$H$126,8,FALSE)),"PROVINCIA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74" s="17" t="str">
        <f>IF($E74="","",INDEX([1]Esquemas_NORM!$H$2:$K$126,MATCH($E74,[1]Esquemas_NORM!$A$2:$A$126,0),MATCH(AA$4,[1]Esquemas_NORM!$H$1:$K$1,0)))</f>
        <v>A la fecha no ha conformado un EAT Región</v>
      </c>
      <c r="AB74" s="17" t="str">
        <f>IF($E74="","",INDEX([1]Esquemas_NORM!$H$2:$K$126,MATCH($E74,[1]Esquemas_NORM!$A$2:$A$126,0),MATCH(AB$4,[1]Esquemas_NORM!$H$1:$K$1,0)))</f>
        <v>A la fecha no ha conformado un EAT Área Metropolitana</v>
      </c>
      <c r="AC74" s="17" t="str">
        <f>IF($E74="","",INDEX([1]Esquemas_NORM!$H$2:$K$126,MATCH($E74,[1]Esquemas_NORM!$A$2:$A$126,0),MATCH(AC$4,[1]Esquemas_NORM!$H$1:$K$1,0)))</f>
        <v>MUNICIPIOS UNIDOS DEL SUR DE ANTIOQUIA - MUSA</v>
      </c>
      <c r="AD74" s="23"/>
    </row>
    <row r="75" spans="1:30" x14ac:dyDescent="0.25">
      <c r="A75" s="24">
        <v>2015</v>
      </c>
      <c r="B75" s="25" t="s">
        <v>36</v>
      </c>
      <c r="C75" s="25" t="s">
        <v>200</v>
      </c>
      <c r="D75" s="25" t="s">
        <v>205</v>
      </c>
      <c r="E75" s="25" t="s">
        <v>206</v>
      </c>
      <c r="F75" s="25" t="s">
        <v>203</v>
      </c>
      <c r="G75" s="25" t="s">
        <v>207</v>
      </c>
      <c r="H75" s="26">
        <v>6.3310005934399562</v>
      </c>
      <c r="I75" s="26">
        <v>0</v>
      </c>
      <c r="J75" s="27">
        <v>6.3310005934399562</v>
      </c>
      <c r="K75" s="26">
        <v>1.1739612781800015</v>
      </c>
      <c r="L75" s="26">
        <v>2.9828354970000031</v>
      </c>
      <c r="M75" s="27">
        <v>4.1567967751800046</v>
      </c>
      <c r="N75" s="26">
        <v>3.4403333269299807</v>
      </c>
      <c r="O75" s="26">
        <v>4.7805732096700062</v>
      </c>
      <c r="P75" s="26">
        <v>1.6958167037700123</v>
      </c>
      <c r="Q75" s="26">
        <v>1.1998093337100084</v>
      </c>
      <c r="R75" s="26">
        <v>6.4864880228000015</v>
      </c>
      <c r="S75" s="26">
        <v>4.6665305176600054</v>
      </c>
      <c r="T75" s="26">
        <v>8.6490240027600169</v>
      </c>
      <c r="U75" s="26">
        <v>1.2329541404099948</v>
      </c>
      <c r="V75" s="27">
        <v>32.151529257710024</v>
      </c>
      <c r="W75" s="27">
        <v>42.639326626330067</v>
      </c>
      <c r="X75" s="26">
        <v>4.2853343987565422</v>
      </c>
      <c r="Y75" s="28">
        <v>46.924661025086579</v>
      </c>
      <c r="Z75" s="17" t="str">
        <f>SUBSTITUTE(SUBSTITUTE(SUBSTITUTE(SUBSTITUTE(IF(E75="","",VLOOKUP(E75,[1]Esquemas_NORM!$A$2:$H$126,8,FALSE)),"PROVINCIA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5" s="17" t="str">
        <f>IF($E75="","",INDEX([1]Esquemas_NORM!$H$2:$K$126,MATCH($E75,[1]Esquemas_NORM!$A$2:$A$126,0),MATCH(AA$4,[1]Esquemas_NORM!$H$1:$K$1,0)))</f>
        <v>A la fecha no ha conformado un EAT Región</v>
      </c>
      <c r="AB75" s="17" t="str">
        <f>IF($E75="","",INDEX([1]Esquemas_NORM!$H$2:$K$126,MATCH($E75,[1]Esquemas_NORM!$A$2:$A$126,0),MATCH(AB$4,[1]Esquemas_NORM!$H$1:$K$1,0)))</f>
        <v>A la fecha no ha conformado un EAT Área Metropolitana</v>
      </c>
      <c r="AC75" s="17" t="str">
        <f>IF($E75="","",INDEX([1]Esquemas_NORM!$H$2:$K$126,MATCH($E75,[1]Esquemas_NORM!$A$2:$A$126,0),MATCH(AC$4,[1]Esquemas_NORM!$H$1:$K$1,0)))</f>
        <v>A la fecha no ha conformado un EAT asociación - unión</v>
      </c>
      <c r="AD75" s="23"/>
    </row>
    <row r="76" spans="1:30" x14ac:dyDescent="0.25">
      <c r="A76" s="24">
        <v>2015</v>
      </c>
      <c r="B76" s="25" t="s">
        <v>36</v>
      </c>
      <c r="C76" s="25" t="s">
        <v>200</v>
      </c>
      <c r="D76" s="25" t="s">
        <v>201</v>
      </c>
      <c r="E76" s="25" t="s">
        <v>208</v>
      </c>
      <c r="F76" s="25" t="s">
        <v>203</v>
      </c>
      <c r="G76" s="25" t="s">
        <v>209</v>
      </c>
      <c r="H76" s="26">
        <v>10.156531107769931</v>
      </c>
      <c r="I76" s="26">
        <v>0</v>
      </c>
      <c r="J76" s="27">
        <v>10.156531107769931</v>
      </c>
      <c r="K76" s="26">
        <v>1.3719900849200017</v>
      </c>
      <c r="L76" s="26">
        <v>3.5127576865500036</v>
      </c>
      <c r="M76" s="27">
        <v>4.8847477714700052</v>
      </c>
      <c r="N76" s="26">
        <v>2.309534060049987</v>
      </c>
      <c r="O76" s="26">
        <v>3.6606120530500048</v>
      </c>
      <c r="P76" s="26">
        <v>2.145012096750015</v>
      </c>
      <c r="Q76" s="26">
        <v>1.8264008969900132</v>
      </c>
      <c r="R76" s="26">
        <v>8.026190177780002</v>
      </c>
      <c r="S76" s="26">
        <v>5.5665772787100058</v>
      </c>
      <c r="T76" s="26">
        <v>14.089939844210031</v>
      </c>
      <c r="U76" s="26">
        <v>1.6424836055299932</v>
      </c>
      <c r="V76" s="27">
        <v>39.266750013070052</v>
      </c>
      <c r="W76" s="27">
        <v>54.308028892310084</v>
      </c>
      <c r="X76" s="26">
        <v>5.4580614365797953</v>
      </c>
      <c r="Y76" s="28">
        <v>59.766090328889831</v>
      </c>
      <c r="Z76" s="17" t="str">
        <f>SUBSTITUTE(SUBSTITUTE(SUBSTITUTE(SUBSTITUTE(IF(E76="","",VLOOKUP(E76,[1]Esquemas_NORM!$A$2:$H$126,8,FALSE)),"PROVINCIA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76" s="17" t="str">
        <f>IF($E76="","",INDEX([1]Esquemas_NORM!$H$2:$K$126,MATCH($E76,[1]Esquemas_NORM!$A$2:$A$126,0),MATCH(AA$4,[1]Esquemas_NORM!$H$1:$K$1,0)))</f>
        <v>A la fecha no ha conformado un EAT Región</v>
      </c>
      <c r="AB76" s="17" t="str">
        <f>IF($E76="","",INDEX([1]Esquemas_NORM!$H$2:$K$126,MATCH($E76,[1]Esquemas_NORM!$A$2:$A$126,0),MATCH(AB$4,[1]Esquemas_NORM!$H$1:$K$1,0)))</f>
        <v>A la fecha no ha conformado un EAT Área Metropolitana</v>
      </c>
      <c r="AC76" s="17" t="str">
        <f>IF($E76="","",INDEX([1]Esquemas_NORM!$H$2:$K$126,MATCH($E76,[1]Esquemas_NORM!$A$2:$A$126,0),MATCH(AC$4,[1]Esquemas_NORM!$H$1:$K$1,0)))</f>
        <v>MUNICIPIOS UNIDOS DEL SUR DE ANTIOQUIA - MUSA</v>
      </c>
      <c r="AD76" s="23"/>
    </row>
    <row r="77" spans="1:30" x14ac:dyDescent="0.25">
      <c r="A77" s="24">
        <v>2015</v>
      </c>
      <c r="B77" s="25" t="s">
        <v>36</v>
      </c>
      <c r="C77" s="25" t="s">
        <v>200</v>
      </c>
      <c r="D77" s="25" t="s">
        <v>210</v>
      </c>
      <c r="E77" s="25" t="s">
        <v>211</v>
      </c>
      <c r="F77" s="25" t="s">
        <v>203</v>
      </c>
      <c r="G77" s="25" t="s">
        <v>212</v>
      </c>
      <c r="H77" s="26">
        <v>14.018742710559904</v>
      </c>
      <c r="I77" s="26">
        <v>0</v>
      </c>
      <c r="J77" s="27">
        <v>14.018742710559904</v>
      </c>
      <c r="K77" s="26">
        <v>7.8186494586300102</v>
      </c>
      <c r="L77" s="26">
        <v>11.127320069950011</v>
      </c>
      <c r="M77" s="27">
        <v>18.945969528580022</v>
      </c>
      <c r="N77" s="26">
        <v>16.170971915949909</v>
      </c>
      <c r="O77" s="26">
        <v>19.776259388320025</v>
      </c>
      <c r="P77" s="26">
        <v>3.6437201891600264</v>
      </c>
      <c r="Q77" s="26">
        <v>2.9839841163100211</v>
      </c>
      <c r="R77" s="26">
        <v>17.719723007860004</v>
      </c>
      <c r="S77" s="26">
        <v>11.084350934280012</v>
      </c>
      <c r="T77" s="26">
        <v>19.523704834580037</v>
      </c>
      <c r="U77" s="26">
        <v>3.2864475185199864</v>
      </c>
      <c r="V77" s="27">
        <v>94.18916190498004</v>
      </c>
      <c r="W77" s="27">
        <v>127.15387414412019</v>
      </c>
      <c r="X77" s="26">
        <v>12.779209099150219</v>
      </c>
      <c r="Y77" s="28">
        <v>139.93308324327032</v>
      </c>
      <c r="Z77" s="17" t="str">
        <f>SUBSTITUTE(SUBSTITUTE(SUBSTITUTE(SUBSTITUTE(IF(E77="","",VLOOKUP(E77,[1]Esquemas_NORM!$A$2:$H$126,8,FALSE)),"PROVINCIA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7" s="17" t="str">
        <f>IF($E77="","",INDEX([1]Esquemas_NORM!$H$2:$K$126,MATCH($E77,[1]Esquemas_NORM!$A$2:$A$126,0),MATCH(AA$4,[1]Esquemas_NORM!$H$1:$K$1,0)))</f>
        <v>A la fecha no ha conformado un EAT Región</v>
      </c>
      <c r="AB77" s="17" t="str">
        <f>IF($E77="","",INDEX([1]Esquemas_NORM!$H$2:$K$126,MATCH($E77,[1]Esquemas_NORM!$A$2:$A$126,0),MATCH(AB$4,[1]Esquemas_NORM!$H$1:$K$1,0)))</f>
        <v>A la fecha no ha conformado un EAT Área Metropolitana</v>
      </c>
      <c r="AC77" s="17" t="str">
        <f>IF($E77="","",INDEX([1]Esquemas_NORM!$H$2:$K$126,MATCH($E77,[1]Esquemas_NORM!$A$2:$A$126,0),MATCH(AC$4,[1]Esquemas_NORM!$H$1:$K$1,0)))</f>
        <v>A la fecha no ha conformado un EAT asociación - unión</v>
      </c>
      <c r="AD77" s="23"/>
    </row>
    <row r="78" spans="1:30" x14ac:dyDescent="0.25">
      <c r="A78" s="24">
        <v>2015</v>
      </c>
      <c r="B78" s="25" t="s">
        <v>36</v>
      </c>
      <c r="C78" s="25" t="s">
        <v>200</v>
      </c>
      <c r="D78" s="25" t="s">
        <v>205</v>
      </c>
      <c r="E78" s="25" t="s">
        <v>213</v>
      </c>
      <c r="F78" s="25" t="s">
        <v>203</v>
      </c>
      <c r="G78" s="25" t="s">
        <v>214</v>
      </c>
      <c r="H78" s="26">
        <v>11.446481054879921</v>
      </c>
      <c r="I78" s="26">
        <v>8.8891196466900428</v>
      </c>
      <c r="J78" s="27">
        <v>20.335600701569966</v>
      </c>
      <c r="K78" s="26">
        <v>1.7695629120600023</v>
      </c>
      <c r="L78" s="26">
        <v>3.5674182216900037</v>
      </c>
      <c r="M78" s="27">
        <v>5.3369811337500064</v>
      </c>
      <c r="N78" s="26">
        <v>11.507528669099935</v>
      </c>
      <c r="O78" s="26">
        <v>2.2937599729400029</v>
      </c>
      <c r="P78" s="26">
        <v>0.85741124139000613</v>
      </c>
      <c r="Q78" s="26">
        <v>0.66106519193000468</v>
      </c>
      <c r="R78" s="26">
        <v>4.7896219994000013</v>
      </c>
      <c r="S78" s="26">
        <v>3.3598473551000034</v>
      </c>
      <c r="T78" s="26">
        <v>4.7780132428300099</v>
      </c>
      <c r="U78" s="26">
        <v>0.70192819374999715</v>
      </c>
      <c r="V78" s="27">
        <v>28.949175866439962</v>
      </c>
      <c r="W78" s="27">
        <v>54.621757701760089</v>
      </c>
      <c r="X78" s="26">
        <v>5.4895917857956862</v>
      </c>
      <c r="Y78" s="28">
        <v>60.111349487555728</v>
      </c>
      <c r="Z78" s="17" t="str">
        <f>SUBSTITUTE(SUBSTITUTE(SUBSTITUTE(SUBSTITUTE(IF(E78="","",VLOOKUP(E78,[1]Esquemas_NORM!$A$2:$H$126,8,FALSE)),"PROVINCIA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8" s="17" t="str">
        <f>IF($E78="","",INDEX([1]Esquemas_NORM!$H$2:$K$126,MATCH($E78,[1]Esquemas_NORM!$A$2:$A$126,0),MATCH(AA$4,[1]Esquemas_NORM!$H$1:$K$1,0)))</f>
        <v>A la fecha no ha conformado un EAT Región</v>
      </c>
      <c r="AB78" s="17" t="str">
        <f>IF($E78="","",INDEX([1]Esquemas_NORM!$H$2:$K$126,MATCH($E78,[1]Esquemas_NORM!$A$2:$A$126,0),MATCH(AB$4,[1]Esquemas_NORM!$H$1:$K$1,0)))</f>
        <v>A la fecha no ha conformado un EAT Área Metropolitana</v>
      </c>
      <c r="AC78" s="17" t="str">
        <f>IF($E78="","",INDEX([1]Esquemas_NORM!$H$2:$K$126,MATCH($E78,[1]Esquemas_NORM!$A$2:$A$126,0),MATCH(AC$4,[1]Esquemas_NORM!$H$1:$K$1,0)))</f>
        <v>A la fecha no ha conformado un EAT asociación - unión</v>
      </c>
      <c r="AD78" s="23"/>
    </row>
    <row r="79" spans="1:30" x14ac:dyDescent="0.25">
      <c r="A79" s="24">
        <v>2015</v>
      </c>
      <c r="B79" s="25" t="s">
        <v>36</v>
      </c>
      <c r="C79" s="25" t="s">
        <v>200</v>
      </c>
      <c r="D79" s="25" t="s">
        <v>215</v>
      </c>
      <c r="E79" s="25" t="s">
        <v>216</v>
      </c>
      <c r="F79" s="25" t="s">
        <v>203</v>
      </c>
      <c r="G79" s="25" t="s">
        <v>217</v>
      </c>
      <c r="H79" s="26">
        <v>74.403700619409506</v>
      </c>
      <c r="I79" s="26">
        <v>0</v>
      </c>
      <c r="J79" s="27">
        <v>74.403700619409506</v>
      </c>
      <c r="K79" s="26">
        <v>24.400280949840031</v>
      </c>
      <c r="L79" s="26">
        <v>19.185245723910022</v>
      </c>
      <c r="M79" s="27">
        <v>43.585526673750053</v>
      </c>
      <c r="N79" s="26">
        <v>2.7899468131399843</v>
      </c>
      <c r="O79" s="26">
        <v>105.58316748292016</v>
      </c>
      <c r="P79" s="26">
        <v>20.611519294450151</v>
      </c>
      <c r="Q79" s="26">
        <v>17.097672292400119</v>
      </c>
      <c r="R79" s="26">
        <v>71.548844393090008</v>
      </c>
      <c r="S79" s="26">
        <v>49.261199228340054</v>
      </c>
      <c r="T79" s="26">
        <v>64.376115435430137</v>
      </c>
      <c r="U79" s="26">
        <v>17.679300336329927</v>
      </c>
      <c r="V79" s="27">
        <v>348.94776527610054</v>
      </c>
      <c r="W79" s="27">
        <v>466.93699256926078</v>
      </c>
      <c r="X79" s="26">
        <v>46.928066520478083</v>
      </c>
      <c r="Y79" s="28">
        <v>513.86505908973845</v>
      </c>
      <c r="Z79" s="17" t="str">
        <f>SUBSTITUTE(SUBSTITUTE(SUBSTITUTE(SUBSTITUTE(IF(E79="","",VLOOKUP(E79,[1]Esquemas_NORM!$A$2:$H$126,8,FALSE)),"PROVINCIA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9" s="17" t="str">
        <f>IF($E79="","",INDEX([1]Esquemas_NORM!$H$2:$K$126,MATCH($E79,[1]Esquemas_NORM!$A$2:$A$126,0),MATCH(AA$4,[1]Esquemas_NORM!$H$1:$K$1,0)))</f>
        <v>A la fecha no ha conformado un EAT Región</v>
      </c>
      <c r="AB79" s="17" t="str">
        <f>IF($E79="","",INDEX([1]Esquemas_NORM!$H$2:$K$126,MATCH($E79,[1]Esquemas_NORM!$A$2:$A$126,0),MATCH(AB$4,[1]Esquemas_NORM!$H$1:$K$1,0)))</f>
        <v>A la fecha no ha conformado un EAT Área Metropolitana</v>
      </c>
      <c r="AC79" s="17" t="str">
        <f>IF($E79="","",INDEX([1]Esquemas_NORM!$H$2:$K$126,MATCH($E79,[1]Esquemas_NORM!$A$2:$A$126,0),MATCH(AC$4,[1]Esquemas_NORM!$H$1:$K$1,0)))</f>
        <v>MUNICIPIOS ASOCIADOS DEL ALTIPLANO DEL ORIENTE ANTIOQUEÑO - MASORA</v>
      </c>
      <c r="AD79" s="23"/>
    </row>
    <row r="80" spans="1:30" x14ac:dyDescent="0.25">
      <c r="A80" s="24">
        <v>2015</v>
      </c>
      <c r="B80" s="25" t="s">
        <v>36</v>
      </c>
      <c r="C80" s="25" t="s">
        <v>200</v>
      </c>
      <c r="D80" s="25" t="s">
        <v>205</v>
      </c>
      <c r="E80" s="25" t="s">
        <v>218</v>
      </c>
      <c r="F80" s="25" t="s">
        <v>203</v>
      </c>
      <c r="G80" s="25" t="s">
        <v>219</v>
      </c>
      <c r="H80" s="26">
        <v>130.20887092402913</v>
      </c>
      <c r="I80" s="26">
        <v>0</v>
      </c>
      <c r="J80" s="27">
        <v>130.20887092402913</v>
      </c>
      <c r="K80" s="26">
        <v>4.1603260208200057</v>
      </c>
      <c r="L80" s="26">
        <v>21.74812389983002</v>
      </c>
      <c r="M80" s="27">
        <v>25.908449920650025</v>
      </c>
      <c r="N80" s="26">
        <v>10.211706521889942</v>
      </c>
      <c r="O80" s="26">
        <v>24.357284382500033</v>
      </c>
      <c r="P80" s="26">
        <v>6.2371718191500447</v>
      </c>
      <c r="Q80" s="26">
        <v>4.3291763661300298</v>
      </c>
      <c r="R80" s="26">
        <v>26.164775594220004</v>
      </c>
      <c r="S80" s="26">
        <v>15.524898855440016</v>
      </c>
      <c r="T80" s="26">
        <v>24.015830900530048</v>
      </c>
      <c r="U80" s="26">
        <v>7.8476566278699673</v>
      </c>
      <c r="V80" s="27">
        <v>118.68850106773009</v>
      </c>
      <c r="W80" s="27">
        <v>274.80582191241041</v>
      </c>
      <c r="X80" s="26">
        <v>27.61851405254135</v>
      </c>
      <c r="Y80" s="28">
        <v>302.42433596495158</v>
      </c>
      <c r="Z80" s="17" t="str">
        <f>SUBSTITUTE(SUBSTITUTE(SUBSTITUTE(SUBSTITUTE(IF(E80="","",VLOOKUP(E80,[1]Esquemas_NORM!$A$2:$H$126,8,FALSE)),"PROVINCIA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0" s="17" t="str">
        <f>IF($E80="","",INDEX([1]Esquemas_NORM!$H$2:$K$126,MATCH($E80,[1]Esquemas_NORM!$A$2:$A$126,0),MATCH(AA$4,[1]Esquemas_NORM!$H$1:$K$1,0)))</f>
        <v>A la fecha no ha conformado un EAT Región</v>
      </c>
      <c r="AB80" s="17" t="str">
        <f>IF($E80="","",INDEX([1]Esquemas_NORM!$H$2:$K$126,MATCH($E80,[1]Esquemas_NORM!$A$2:$A$126,0),MATCH(AB$4,[1]Esquemas_NORM!$H$1:$K$1,0)))</f>
        <v>A la fecha no ha conformado un EAT Área Metropolitana</v>
      </c>
      <c r="AC80" s="17" t="str">
        <f>IF($E80="","",INDEX([1]Esquemas_NORM!$H$2:$K$126,MATCH($E80,[1]Esquemas_NORM!$A$2:$A$126,0),MATCH(AC$4,[1]Esquemas_NORM!$H$1:$K$1,0)))</f>
        <v>A la fecha no ha conformado un EAT asociación - unión</v>
      </c>
      <c r="AD80" s="23"/>
    </row>
    <row r="81" spans="1:30" x14ac:dyDescent="0.25">
      <c r="A81" s="24">
        <v>2015</v>
      </c>
      <c r="B81" s="25" t="s">
        <v>36</v>
      </c>
      <c r="C81" s="25" t="s">
        <v>200</v>
      </c>
      <c r="D81" s="25" t="s">
        <v>215</v>
      </c>
      <c r="E81" s="25" t="s">
        <v>220</v>
      </c>
      <c r="F81" s="25" t="s">
        <v>203</v>
      </c>
      <c r="G81" s="25" t="s">
        <v>221</v>
      </c>
      <c r="H81" s="26">
        <v>28.7847986701398</v>
      </c>
      <c r="I81" s="26">
        <v>8.7554211900000414E-2</v>
      </c>
      <c r="J81" s="27">
        <v>28.872352882039799</v>
      </c>
      <c r="K81" s="26">
        <v>23.512019649570032</v>
      </c>
      <c r="L81" s="26">
        <v>16.068070182040017</v>
      </c>
      <c r="M81" s="27">
        <v>39.580089831610053</v>
      </c>
      <c r="N81" s="26">
        <v>47.263098363689735</v>
      </c>
      <c r="O81" s="26">
        <v>55.252425542770069</v>
      </c>
      <c r="P81" s="26">
        <v>16.761073268680118</v>
      </c>
      <c r="Q81" s="26">
        <v>8.0966514035300587</v>
      </c>
      <c r="R81" s="26">
        <v>54.64828930029001</v>
      </c>
      <c r="S81" s="26">
        <v>32.967338905920037</v>
      </c>
      <c r="T81" s="26">
        <v>35.824352969680078</v>
      </c>
      <c r="U81" s="26">
        <v>9.3136723450099606</v>
      </c>
      <c r="V81" s="27">
        <v>260.12690209957003</v>
      </c>
      <c r="W81" s="27">
        <v>328.57934481322053</v>
      </c>
      <c r="X81" s="26">
        <v>33.022856608134759</v>
      </c>
      <c r="Y81" s="28">
        <v>361.60220142135501</v>
      </c>
      <c r="Z81" s="17" t="str">
        <f>SUBSTITUTE(SUBSTITUTE(SUBSTITUTE(SUBSTITUTE(IF(E81="","",VLOOKUP(E81,[1]Esquemas_NORM!$A$2:$H$126,8,FALSE)),"PROVINCIA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1" s="17" t="str">
        <f>IF($E81="","",INDEX([1]Esquemas_NORM!$H$2:$K$126,MATCH($E81,[1]Esquemas_NORM!$A$2:$A$126,0),MATCH(AA$4,[1]Esquemas_NORM!$H$1:$K$1,0)))</f>
        <v>A la fecha no ha conformado un EAT Región</v>
      </c>
      <c r="AB81" s="17" t="str">
        <f>IF($E81="","",INDEX([1]Esquemas_NORM!$H$2:$K$126,MATCH($E81,[1]Esquemas_NORM!$A$2:$A$126,0),MATCH(AB$4,[1]Esquemas_NORM!$H$1:$K$1,0)))</f>
        <v>A la fecha no ha conformado un EAT Área Metropolitana</v>
      </c>
      <c r="AC81" s="17" t="str">
        <f>IF($E81="","",INDEX([1]Esquemas_NORM!$H$2:$K$126,MATCH($E81,[1]Esquemas_NORM!$A$2:$A$126,0),MATCH(AC$4,[1]Esquemas_NORM!$H$1:$K$1,0)))</f>
        <v>MUNICIPIOS ASOCIADOS DEL ALTIPLANO DEL ORIENTE ANTIOQUEÑO - MASORA</v>
      </c>
      <c r="AD81" s="23"/>
    </row>
    <row r="82" spans="1:30" x14ac:dyDescent="0.25">
      <c r="A82" s="24">
        <v>2015</v>
      </c>
      <c r="B82" s="25" t="s">
        <v>36</v>
      </c>
      <c r="C82" s="25" t="s">
        <v>200</v>
      </c>
      <c r="D82" s="25" t="s">
        <v>215</v>
      </c>
      <c r="E82" s="25" t="s">
        <v>222</v>
      </c>
      <c r="F82" s="25" t="s">
        <v>203</v>
      </c>
      <c r="G82" s="25" t="s">
        <v>223</v>
      </c>
      <c r="H82" s="26">
        <v>82.221824324429448</v>
      </c>
      <c r="I82" s="26">
        <v>0</v>
      </c>
      <c r="J82" s="27">
        <v>82.221824324429448</v>
      </c>
      <c r="K82" s="26">
        <v>24.036807758980029</v>
      </c>
      <c r="L82" s="26">
        <v>14.726948217300016</v>
      </c>
      <c r="M82" s="27">
        <v>38.763755976280045</v>
      </c>
      <c r="N82" s="26">
        <v>1.76995811050999</v>
      </c>
      <c r="O82" s="26">
        <v>69.286589595920105</v>
      </c>
      <c r="P82" s="26">
        <v>11.293652776870079</v>
      </c>
      <c r="Q82" s="26">
        <v>10.557139503450074</v>
      </c>
      <c r="R82" s="26">
        <v>41.07654131176001</v>
      </c>
      <c r="S82" s="26">
        <v>25.088521580090028</v>
      </c>
      <c r="T82" s="26">
        <v>33.074053008160071</v>
      </c>
      <c r="U82" s="26">
        <v>8.2306561897599657</v>
      </c>
      <c r="V82" s="27">
        <v>200.37711207652032</v>
      </c>
      <c r="W82" s="27">
        <v>321.36269237723053</v>
      </c>
      <c r="X82" s="26">
        <v>32.297569147606197</v>
      </c>
      <c r="Y82" s="28">
        <v>353.66026152483641</v>
      </c>
      <c r="Z82" s="17" t="str">
        <f>SUBSTITUTE(SUBSTITUTE(SUBSTITUTE(SUBSTITUTE(IF(E82="","",VLOOKUP(E82,[1]Esquemas_NORM!$A$2:$H$126,8,FALSE)),"PROVINCIA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2" s="17" t="str">
        <f>IF($E82="","",INDEX([1]Esquemas_NORM!$H$2:$K$126,MATCH($E82,[1]Esquemas_NORM!$A$2:$A$126,0),MATCH(AA$4,[1]Esquemas_NORM!$H$1:$K$1,0)))</f>
        <v>Región de Planeación y Gestión Aeroportuaria de Oriente</v>
      </c>
      <c r="AB82" s="17" t="str">
        <f>IF($E82="","",INDEX([1]Esquemas_NORM!$H$2:$K$126,MATCH($E82,[1]Esquemas_NORM!$A$2:$A$126,0),MATCH(AB$4,[1]Esquemas_NORM!$H$1:$K$1,0)))</f>
        <v>A la fecha no ha conformado un EAT Área Metropolitana</v>
      </c>
      <c r="AC82" s="17" t="str">
        <f>IF($E82="","",INDEX([1]Esquemas_NORM!$H$2:$K$126,MATCH($E82,[1]Esquemas_NORM!$A$2:$A$126,0),MATCH(AC$4,[1]Esquemas_NORM!$H$1:$K$1,0)))</f>
        <v>MUNICIPIOS ASOCIADOS DEL ALTIPLANO DEL ORIENTE ANTIOQUEÑO - MASORA</v>
      </c>
      <c r="AD82" s="23"/>
    </row>
    <row r="83" spans="1:30" x14ac:dyDescent="0.25">
      <c r="A83" s="24">
        <v>2015</v>
      </c>
      <c r="B83" s="25" t="s">
        <v>36</v>
      </c>
      <c r="C83" s="25" t="s">
        <v>200</v>
      </c>
      <c r="D83" s="25" t="s">
        <v>205</v>
      </c>
      <c r="E83" s="25" t="s">
        <v>224</v>
      </c>
      <c r="F83" s="25" t="s">
        <v>203</v>
      </c>
      <c r="G83" s="25" t="s">
        <v>225</v>
      </c>
      <c r="H83" s="26">
        <v>5.3857696895299636</v>
      </c>
      <c r="I83" s="26">
        <v>0</v>
      </c>
      <c r="J83" s="27">
        <v>5.3857696895299636</v>
      </c>
      <c r="K83" s="26">
        <v>1.1447159923200017</v>
      </c>
      <c r="L83" s="26">
        <v>4.7112569565700051</v>
      </c>
      <c r="M83" s="27">
        <v>5.855972948890007</v>
      </c>
      <c r="N83" s="26">
        <v>2.0841272210299886</v>
      </c>
      <c r="O83" s="26">
        <v>7.4857802968700105</v>
      </c>
      <c r="P83" s="26">
        <v>2.544215825470018</v>
      </c>
      <c r="Q83" s="26">
        <v>2.3844962843600168</v>
      </c>
      <c r="R83" s="26">
        <v>17.190974405310005</v>
      </c>
      <c r="S83" s="26">
        <v>8.732609332440008</v>
      </c>
      <c r="T83" s="26">
        <v>13.148192025360025</v>
      </c>
      <c r="U83" s="26">
        <v>2.0178826178699913</v>
      </c>
      <c r="V83" s="27">
        <v>55.588278008710063</v>
      </c>
      <c r="W83" s="27">
        <v>66.830020647130098</v>
      </c>
      <c r="X83" s="26">
        <v>6.7165457104534463</v>
      </c>
      <c r="Y83" s="28">
        <v>73.546566357583501</v>
      </c>
      <c r="Z83" s="17" t="str">
        <f>SUBSTITUTE(SUBSTITUTE(SUBSTITUTE(SUBSTITUTE(IF(E83="","",VLOOKUP(E83,[1]Esquemas_NORM!$A$2:$H$126,8,FALSE)),"PROVINCIA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3" s="17" t="str">
        <f>IF($E83="","",INDEX([1]Esquemas_NORM!$H$2:$K$126,MATCH($E83,[1]Esquemas_NORM!$A$2:$A$126,0),MATCH(AA$4,[1]Esquemas_NORM!$H$1:$K$1,0)))</f>
        <v>A la fecha no ha conformado un EAT Región</v>
      </c>
      <c r="AB83" s="17" t="str">
        <f>IF($E83="","",INDEX([1]Esquemas_NORM!$H$2:$K$126,MATCH($E83,[1]Esquemas_NORM!$A$2:$A$126,0),MATCH(AB$4,[1]Esquemas_NORM!$H$1:$K$1,0)))</f>
        <v>A la fecha no ha conformado un EAT Área Metropolitana</v>
      </c>
      <c r="AC83" s="17" t="str">
        <f>IF($E83="","",INDEX([1]Esquemas_NORM!$H$2:$K$126,MATCH($E83,[1]Esquemas_NORM!$A$2:$A$126,0),MATCH(AC$4,[1]Esquemas_NORM!$H$1:$K$1,0)))</f>
        <v>A la fecha no ha conformado un EAT asociación - unión</v>
      </c>
      <c r="AD83" s="23"/>
    </row>
    <row r="84" spans="1:30" x14ac:dyDescent="0.25">
      <c r="A84" s="24">
        <v>2015</v>
      </c>
      <c r="B84" s="25" t="s">
        <v>36</v>
      </c>
      <c r="C84" s="25" t="s">
        <v>200</v>
      </c>
      <c r="D84" s="25" t="s">
        <v>215</v>
      </c>
      <c r="E84" s="25" t="s">
        <v>226</v>
      </c>
      <c r="F84" s="25" t="s">
        <v>203</v>
      </c>
      <c r="G84" s="25" t="s">
        <v>227</v>
      </c>
      <c r="H84" s="26">
        <v>39.69808939279973</v>
      </c>
      <c r="I84" s="26">
        <v>0.6583390494700031</v>
      </c>
      <c r="J84" s="27">
        <v>40.356428442269731</v>
      </c>
      <c r="K84" s="26">
        <v>473.73239379704063</v>
      </c>
      <c r="L84" s="26">
        <v>138.90526778064014</v>
      </c>
      <c r="M84" s="27">
        <v>612.63766157768077</v>
      </c>
      <c r="N84" s="26">
        <v>26.104395593489855</v>
      </c>
      <c r="O84" s="26">
        <v>120.07451788645015</v>
      </c>
      <c r="P84" s="26">
        <v>19.963676864290143</v>
      </c>
      <c r="Q84" s="26">
        <v>12.55914977687009</v>
      </c>
      <c r="R84" s="26">
        <v>75.797044613940017</v>
      </c>
      <c r="S84" s="26">
        <v>68.489365692900066</v>
      </c>
      <c r="T84" s="26">
        <v>38.981836200960075</v>
      </c>
      <c r="U84" s="26">
        <v>12.578802925469947</v>
      </c>
      <c r="V84" s="27">
        <v>374.54878955437039</v>
      </c>
      <c r="W84" s="27">
        <v>1027.5428795743214</v>
      </c>
      <c r="X84" s="26">
        <v>103.27003722702072</v>
      </c>
      <c r="Y84" s="28">
        <v>1130.8129168013413</v>
      </c>
      <c r="Z84" s="17" t="str">
        <f>SUBSTITUTE(SUBSTITUTE(SUBSTITUTE(SUBSTITUTE(IF(E84="","",VLOOKUP(E84,[1]Esquemas_NORM!$A$2:$H$126,8,FALSE)),"PROVINCIA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4" s="17" t="str">
        <f>IF($E84="","",INDEX([1]Esquemas_NORM!$H$2:$K$126,MATCH($E84,[1]Esquemas_NORM!$A$2:$A$126,0),MATCH(AA$4,[1]Esquemas_NORM!$H$1:$K$1,0)))</f>
        <v>A la fecha no ha conformado un EAT Región</v>
      </c>
      <c r="AB84" s="17" t="str">
        <f>IF($E84="","",INDEX([1]Esquemas_NORM!$H$2:$K$126,MATCH($E84,[1]Esquemas_NORM!$A$2:$A$126,0),MATCH(AB$4,[1]Esquemas_NORM!$H$1:$K$1,0)))</f>
        <v>A la fecha no ha conformado un EAT Área Metropolitana</v>
      </c>
      <c r="AC84" s="17" t="str">
        <f>IF($E84="","",INDEX([1]Esquemas_NORM!$H$2:$K$126,MATCH($E84,[1]Esquemas_NORM!$A$2:$A$126,0),MATCH(AC$4,[1]Esquemas_NORM!$H$1:$K$1,0)))</f>
        <v>MUNICIPIOS ASOCIADOS DEL ALTIPLANO DEL ORIENTE ANTIOQUEÑO - MASORA</v>
      </c>
      <c r="AD84" s="23"/>
    </row>
    <row r="85" spans="1:30" x14ac:dyDescent="0.25">
      <c r="A85" s="24">
        <v>2015</v>
      </c>
      <c r="B85" s="25" t="s">
        <v>36</v>
      </c>
      <c r="C85" s="25" t="s">
        <v>200</v>
      </c>
      <c r="D85" s="25" t="s">
        <v>205</v>
      </c>
      <c r="E85" s="25" t="s">
        <v>228</v>
      </c>
      <c r="F85" s="25" t="s">
        <v>203</v>
      </c>
      <c r="G85" s="25" t="s">
        <v>229</v>
      </c>
      <c r="H85" s="26">
        <v>2.8973141719499806</v>
      </c>
      <c r="I85" s="26">
        <v>0</v>
      </c>
      <c r="J85" s="27">
        <v>2.8973141719499806</v>
      </c>
      <c r="K85" s="26">
        <v>8.2850802262100114</v>
      </c>
      <c r="L85" s="26">
        <v>11.397612193520013</v>
      </c>
      <c r="M85" s="27">
        <v>19.682692419730024</v>
      </c>
      <c r="N85" s="26">
        <v>8.6874398370499524</v>
      </c>
      <c r="O85" s="26">
        <v>60.609941871140087</v>
      </c>
      <c r="P85" s="26">
        <v>9.6035364199300695</v>
      </c>
      <c r="Q85" s="26">
        <v>4.8489491371400346</v>
      </c>
      <c r="R85" s="26">
        <v>45.401598674380004</v>
      </c>
      <c r="S85" s="26">
        <v>39.40230293048004</v>
      </c>
      <c r="T85" s="26">
        <v>28.871133812020059</v>
      </c>
      <c r="U85" s="26">
        <v>7.673778531089968</v>
      </c>
      <c r="V85" s="27">
        <v>205.09868121323021</v>
      </c>
      <c r="W85" s="27">
        <v>227.67868780491031</v>
      </c>
      <c r="X85" s="26">
        <v>22.882146363713805</v>
      </c>
      <c r="Y85" s="28">
        <v>250.56083416862393</v>
      </c>
      <c r="Z85" s="17" t="str">
        <f>SUBSTITUTE(SUBSTITUTE(SUBSTITUTE(SUBSTITUTE(IF(E85="","",VLOOKUP(E85,[1]Esquemas_NORM!$A$2:$H$126,8,FALSE)),"PROVINCIA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5" s="17" t="str">
        <f>IF($E85="","",INDEX([1]Esquemas_NORM!$H$2:$K$126,MATCH($E85,[1]Esquemas_NORM!$A$2:$A$126,0),MATCH(AA$4,[1]Esquemas_NORM!$H$1:$K$1,0)))</f>
        <v>A la fecha no ha conformado un EAT Región</v>
      </c>
      <c r="AB85" s="17" t="str">
        <f>IF($E85="","",INDEX([1]Esquemas_NORM!$H$2:$K$126,MATCH($E85,[1]Esquemas_NORM!$A$2:$A$126,0),MATCH(AB$4,[1]Esquemas_NORM!$H$1:$K$1,0)))</f>
        <v>A la fecha no ha conformado un EAT Área Metropolitana</v>
      </c>
      <c r="AC85" s="17" t="str">
        <f>IF($E85="","",INDEX([1]Esquemas_NORM!$H$2:$K$126,MATCH($E85,[1]Esquemas_NORM!$A$2:$A$126,0),MATCH(AC$4,[1]Esquemas_NORM!$H$1:$K$1,0)))</f>
        <v>A la fecha no ha conformado un EAT asociación - unión</v>
      </c>
      <c r="AD85" s="23"/>
    </row>
    <row r="86" spans="1:30" x14ac:dyDescent="0.25">
      <c r="A86" s="24">
        <v>2015</v>
      </c>
      <c r="B86" s="25" t="s">
        <v>36</v>
      </c>
      <c r="C86" s="25" t="s">
        <v>200</v>
      </c>
      <c r="D86" s="25" t="s">
        <v>215</v>
      </c>
      <c r="E86" s="25" t="s">
        <v>230</v>
      </c>
      <c r="F86" s="25" t="s">
        <v>203</v>
      </c>
      <c r="G86" s="25" t="s">
        <v>231</v>
      </c>
      <c r="H86" s="26">
        <v>24.596727377229829</v>
      </c>
      <c r="I86" s="26">
        <v>0</v>
      </c>
      <c r="J86" s="27">
        <v>24.596727377229829</v>
      </c>
      <c r="K86" s="26">
        <v>67.484872175760088</v>
      </c>
      <c r="L86" s="26">
        <v>34.408000072030035</v>
      </c>
      <c r="M86" s="27">
        <v>101.89287224779012</v>
      </c>
      <c r="N86" s="26">
        <v>31.132668051419831</v>
      </c>
      <c r="O86" s="26">
        <v>131.21112699889017</v>
      </c>
      <c r="P86" s="26">
        <v>30.513289192780213</v>
      </c>
      <c r="Q86" s="26">
        <v>30.761161785500217</v>
      </c>
      <c r="R86" s="26">
        <v>99.100696866670035</v>
      </c>
      <c r="S86" s="26">
        <v>53.094207579560056</v>
      </c>
      <c r="T86" s="26">
        <v>53.157955452440106</v>
      </c>
      <c r="U86" s="26">
        <v>17.594633002389926</v>
      </c>
      <c r="V86" s="27">
        <v>446.56573892965054</v>
      </c>
      <c r="W86" s="27">
        <v>573.05533855467093</v>
      </c>
      <c r="X86" s="26">
        <v>57.593164550174329</v>
      </c>
      <c r="Y86" s="28">
        <v>630.64850310484474</v>
      </c>
      <c r="Z86" s="17" t="str">
        <f>SUBSTITUTE(SUBSTITUTE(SUBSTITUTE(SUBSTITUTE(IF(E86="","",VLOOKUP(E86,[1]Esquemas_NORM!$A$2:$H$126,8,FALSE)),"PROVINCIA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6" s="17" t="str">
        <f>IF($E86="","",INDEX([1]Esquemas_NORM!$H$2:$K$126,MATCH($E86,[1]Esquemas_NORM!$A$2:$A$126,0),MATCH(AA$4,[1]Esquemas_NORM!$H$1:$K$1,0)))</f>
        <v>Región de Planeación y Gestión Aeroportuaria de Oriente</v>
      </c>
      <c r="AB86" s="17" t="str">
        <f>IF($E86="","",INDEX([1]Esquemas_NORM!$H$2:$K$126,MATCH($E86,[1]Esquemas_NORM!$A$2:$A$126,0),MATCH(AB$4,[1]Esquemas_NORM!$H$1:$K$1,0)))</f>
        <v>A la fecha no ha conformado un EAT Área Metropolitana</v>
      </c>
      <c r="AC86" s="17" t="str">
        <f>IF($E86="","",INDEX([1]Esquemas_NORM!$H$2:$K$126,MATCH($E86,[1]Esquemas_NORM!$A$2:$A$126,0),MATCH(AC$4,[1]Esquemas_NORM!$H$1:$K$1,0)))</f>
        <v>MUNICIPIOS ASOCIADOS DEL ALTIPLANO DEL ORIENTE ANTIOQUEÑO - MASORA</v>
      </c>
      <c r="AD86" s="23"/>
    </row>
    <row r="87" spans="1:30" x14ac:dyDescent="0.25">
      <c r="A87" s="24">
        <v>2015</v>
      </c>
      <c r="B87" s="25" t="s">
        <v>36</v>
      </c>
      <c r="C87" s="25" t="s">
        <v>200</v>
      </c>
      <c r="D87" s="25" t="s">
        <v>215</v>
      </c>
      <c r="E87" s="25" t="s">
        <v>232</v>
      </c>
      <c r="F87" s="25" t="s">
        <v>203</v>
      </c>
      <c r="G87" s="25" t="s">
        <v>233</v>
      </c>
      <c r="H87" s="26">
        <v>25.384359279639828</v>
      </c>
      <c r="I87" s="26">
        <v>6.7919508790000319E-2</v>
      </c>
      <c r="J87" s="27">
        <v>25.45227878842983</v>
      </c>
      <c r="K87" s="26">
        <v>20.896146110410029</v>
      </c>
      <c r="L87" s="26">
        <v>5.4633834058300064</v>
      </c>
      <c r="M87" s="27">
        <v>26.359529516240038</v>
      </c>
      <c r="N87" s="26">
        <v>8.3678865907799533</v>
      </c>
      <c r="O87" s="26">
        <v>47.958712447850061</v>
      </c>
      <c r="P87" s="26">
        <v>8.51925585155006</v>
      </c>
      <c r="Q87" s="26">
        <v>7.5933255905700543</v>
      </c>
      <c r="R87" s="26">
        <v>23.018273075500005</v>
      </c>
      <c r="S87" s="26">
        <v>19.98203081125002</v>
      </c>
      <c r="T87" s="26">
        <v>24.14233058700005</v>
      </c>
      <c r="U87" s="26">
        <v>7.16219394344997</v>
      </c>
      <c r="V87" s="27">
        <v>146.74400889795021</v>
      </c>
      <c r="W87" s="27">
        <v>198.55581720262029</v>
      </c>
      <c r="X87" s="26">
        <v>19.955241812051359</v>
      </c>
      <c r="Y87" s="28">
        <v>218.5110590146715</v>
      </c>
      <c r="Z87" s="17" t="str">
        <f>SUBSTITUTE(SUBSTITUTE(SUBSTITUTE(SUBSTITUTE(IF(E87="","",VLOOKUP(E87,[1]Esquemas_NORM!$A$2:$H$126,8,FALSE)),"PROVINCIA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87" s="17" t="str">
        <f>IF($E87="","",INDEX([1]Esquemas_NORM!$H$2:$K$126,MATCH($E87,[1]Esquemas_NORM!$A$2:$A$126,0),MATCH(AA$4,[1]Esquemas_NORM!$H$1:$K$1,0)))</f>
        <v>Región de Planeación y Gestión Aeroportuaria de Oriente</v>
      </c>
      <c r="AB87" s="17" t="str">
        <f>IF($E87="","",INDEX([1]Esquemas_NORM!$H$2:$K$126,MATCH($E87,[1]Esquemas_NORM!$A$2:$A$126,0),MATCH(AB$4,[1]Esquemas_NORM!$H$1:$K$1,0)))</f>
        <v>A la fecha no ha conformado un EAT Área Metropolitana</v>
      </c>
      <c r="AC87" s="17" t="str">
        <f>IF($E87="","",INDEX([1]Esquemas_NORM!$H$2:$K$126,MATCH($E87,[1]Esquemas_NORM!$A$2:$A$126,0),MATCH(AC$4,[1]Esquemas_NORM!$H$1:$K$1,0)))</f>
        <v>MUNICIPIOS ASOCIADOS DEL ALTIPLANO DEL ORIENTE ANTIOQUEÑO - MASORA</v>
      </c>
      <c r="AD87" s="23"/>
    </row>
    <row r="88" spans="1:30" x14ac:dyDescent="0.25">
      <c r="A88" s="24">
        <v>2015</v>
      </c>
      <c r="B88" s="25" t="s">
        <v>36</v>
      </c>
      <c r="C88" s="25" t="s">
        <v>200</v>
      </c>
      <c r="D88" s="25" t="s">
        <v>215</v>
      </c>
      <c r="E88" s="25" t="s">
        <v>234</v>
      </c>
      <c r="F88" s="25" t="s">
        <v>203</v>
      </c>
      <c r="G88" s="25" t="s">
        <v>235</v>
      </c>
      <c r="H88" s="26">
        <v>106.92796881978927</v>
      </c>
      <c r="I88" s="26">
        <v>0</v>
      </c>
      <c r="J88" s="27">
        <v>106.92796881978927</v>
      </c>
      <c r="K88" s="26">
        <v>179.29404946859023</v>
      </c>
      <c r="L88" s="26">
        <v>51.249849207640047</v>
      </c>
      <c r="M88" s="27">
        <v>230.54389867623027</v>
      </c>
      <c r="N88" s="26">
        <v>27.718663398879844</v>
      </c>
      <c r="O88" s="26">
        <v>128.42369329849018</v>
      </c>
      <c r="P88" s="26">
        <v>24.704119617620176</v>
      </c>
      <c r="Q88" s="26">
        <v>25.478457926090183</v>
      </c>
      <c r="R88" s="26">
        <v>82.880982114420021</v>
      </c>
      <c r="S88" s="26">
        <v>64.247466123210074</v>
      </c>
      <c r="T88" s="26">
        <v>51.787263795920104</v>
      </c>
      <c r="U88" s="26">
        <v>16.807745087949929</v>
      </c>
      <c r="V88" s="27">
        <v>422.0483913625805</v>
      </c>
      <c r="W88" s="27">
        <v>759.5202588586011</v>
      </c>
      <c r="X88" s="26">
        <v>76.333247951176446</v>
      </c>
      <c r="Y88" s="28">
        <v>835.85350680977695</v>
      </c>
      <c r="Z88" s="17" t="str">
        <f>SUBSTITUTE(SUBSTITUTE(SUBSTITUTE(SUBSTITUTE(IF(E88="","",VLOOKUP(E88,[1]Esquemas_NORM!$A$2:$H$126,8,FALSE)),"PROVINCIA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8" s="17" t="str">
        <f>IF($E88="","",INDEX([1]Esquemas_NORM!$H$2:$K$126,MATCH($E88,[1]Esquemas_NORM!$A$2:$A$126,0),MATCH(AA$4,[1]Esquemas_NORM!$H$1:$K$1,0)))</f>
        <v>A la fecha no ha conformado un EAT Región</v>
      </c>
      <c r="AB88" s="17" t="str">
        <f>IF($E88="","",INDEX([1]Esquemas_NORM!$H$2:$K$126,MATCH($E88,[1]Esquemas_NORM!$A$2:$A$126,0),MATCH(AB$4,[1]Esquemas_NORM!$H$1:$K$1,0)))</f>
        <v>A la fecha no ha conformado un EAT Área Metropolitana</v>
      </c>
      <c r="AC88" s="17" t="str">
        <f>IF($E88="","",INDEX([1]Esquemas_NORM!$H$2:$K$126,MATCH($E88,[1]Esquemas_NORM!$A$2:$A$126,0),MATCH(AC$4,[1]Esquemas_NORM!$H$1:$K$1,0)))</f>
        <v>MUNICIPIOS ASOCIADOS DEL ALTIPLANO DEL ORIENTE ANTIOQUEÑO - MASORA</v>
      </c>
      <c r="AD88" s="23"/>
    </row>
    <row r="89" spans="1:30" x14ac:dyDescent="0.25">
      <c r="A89" s="24">
        <v>2015</v>
      </c>
      <c r="B89" s="25" t="s">
        <v>36</v>
      </c>
      <c r="C89" s="25" t="s">
        <v>200</v>
      </c>
      <c r="D89" s="25" t="s">
        <v>201</v>
      </c>
      <c r="E89" s="25" t="s">
        <v>236</v>
      </c>
      <c r="F89" s="25" t="s">
        <v>203</v>
      </c>
      <c r="G89" s="25" t="s">
        <v>237</v>
      </c>
      <c r="H89" s="26">
        <v>15.157551903739897</v>
      </c>
      <c r="I89" s="26">
        <v>0</v>
      </c>
      <c r="J89" s="27">
        <v>15.157551903739897</v>
      </c>
      <c r="K89" s="26">
        <v>1.2258464259800015</v>
      </c>
      <c r="L89" s="26">
        <v>13.893871395110017</v>
      </c>
      <c r="M89" s="27">
        <v>15.119717821090019</v>
      </c>
      <c r="N89" s="26">
        <v>3.63453121498998</v>
      </c>
      <c r="O89" s="26">
        <v>11.483403810020016</v>
      </c>
      <c r="P89" s="26">
        <v>2.0854646420600149</v>
      </c>
      <c r="Q89" s="26">
        <v>1.8780523646400133</v>
      </c>
      <c r="R89" s="26">
        <v>8.2442204903900009</v>
      </c>
      <c r="S89" s="26">
        <v>15.159696869920015</v>
      </c>
      <c r="T89" s="26">
        <v>15.06141775745003</v>
      </c>
      <c r="U89" s="26">
        <v>1.7634428299399927</v>
      </c>
      <c r="V89" s="27">
        <v>59.310229979410067</v>
      </c>
      <c r="W89" s="27">
        <v>89.587499704240145</v>
      </c>
      <c r="X89" s="26">
        <v>9.0037161596270501</v>
      </c>
      <c r="Y89" s="28">
        <v>98.59121586386712</v>
      </c>
      <c r="Z89" s="17" t="str">
        <f>SUBSTITUTE(SUBSTITUTE(SUBSTITUTE(SUBSTITUTE(IF(E89="","",VLOOKUP(E89,[1]Esquemas_NORM!$A$2:$H$126,8,FALSE)),"PROVINCIA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89" s="17" t="str">
        <f>IF($E89="","",INDEX([1]Esquemas_NORM!$H$2:$K$126,MATCH($E89,[1]Esquemas_NORM!$A$2:$A$126,0),MATCH(AA$4,[1]Esquemas_NORM!$H$1:$K$1,0)))</f>
        <v>A la fecha no ha conformado un EAT Región</v>
      </c>
      <c r="AB89" s="17" t="str">
        <f>IF($E89="","",INDEX([1]Esquemas_NORM!$H$2:$K$126,MATCH($E89,[1]Esquemas_NORM!$A$2:$A$126,0),MATCH(AB$4,[1]Esquemas_NORM!$H$1:$K$1,0)))</f>
        <v>A la fecha no ha conformado un EAT Área Metropolitana</v>
      </c>
      <c r="AC89" s="17" t="str">
        <f>IF($E89="","",INDEX([1]Esquemas_NORM!$H$2:$K$126,MATCH($E89,[1]Esquemas_NORM!$A$2:$A$126,0),MATCH(AC$4,[1]Esquemas_NORM!$H$1:$K$1,0)))</f>
        <v>MUNICIPIOS UNIDOS DEL SUR DE ANTIOQUIA - MUSA</v>
      </c>
      <c r="AD89" s="23"/>
    </row>
    <row r="90" spans="1:30" x14ac:dyDescent="0.25">
      <c r="A90" s="24">
        <v>2015</v>
      </c>
      <c r="B90" s="25" t="s">
        <v>36</v>
      </c>
      <c r="C90" s="25" t="s">
        <v>200</v>
      </c>
      <c r="D90" s="25" t="s">
        <v>215</v>
      </c>
      <c r="E90" s="25" t="s">
        <v>238</v>
      </c>
      <c r="F90" s="25" t="s">
        <v>203</v>
      </c>
      <c r="G90" s="25" t="s">
        <v>239</v>
      </c>
      <c r="H90" s="26">
        <v>41.002537596479726</v>
      </c>
      <c r="I90" s="26">
        <v>0.43261670084000203</v>
      </c>
      <c r="J90" s="27">
        <v>41.435154297319727</v>
      </c>
      <c r="K90" s="26">
        <v>1226.5823829625915</v>
      </c>
      <c r="L90" s="26">
        <v>182.54930815789021</v>
      </c>
      <c r="M90" s="27">
        <v>1409.1316911204817</v>
      </c>
      <c r="N90" s="26">
        <v>103.58880136266943</v>
      </c>
      <c r="O90" s="26">
        <v>491.52951486153069</v>
      </c>
      <c r="P90" s="26">
        <v>63.880484418420444</v>
      </c>
      <c r="Q90" s="26">
        <v>63.721742692800447</v>
      </c>
      <c r="R90" s="26">
        <v>235.93117440413002</v>
      </c>
      <c r="S90" s="26">
        <v>281.82245908517029</v>
      </c>
      <c r="T90" s="26">
        <v>270.26556418909053</v>
      </c>
      <c r="U90" s="26">
        <v>39.86787639108983</v>
      </c>
      <c r="V90" s="27">
        <v>1550.6076174049017</v>
      </c>
      <c r="W90" s="27">
        <v>3001.1744628227043</v>
      </c>
      <c r="X90" s="26">
        <v>301.62381021886807</v>
      </c>
      <c r="Y90" s="28">
        <v>3302.7982730415697</v>
      </c>
      <c r="Z90" s="17" t="str">
        <f>SUBSTITUTE(SUBSTITUTE(SUBSTITUTE(SUBSTITUTE(IF(E90="","",VLOOKUP(E90,[1]Esquemas_NORM!$A$2:$H$126,8,FALSE)),"PROVINCIA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" s="17" t="str">
        <f>IF($E90="","",INDEX([1]Esquemas_NORM!$H$2:$K$126,MATCH($E90,[1]Esquemas_NORM!$A$2:$A$126,0),MATCH(AA$4,[1]Esquemas_NORM!$H$1:$K$1,0)))</f>
        <v>Región de Planeación y Gestión Aeroportuaria de Oriente</v>
      </c>
      <c r="AB90" s="17" t="str">
        <f>IF($E90="","",INDEX([1]Esquemas_NORM!$H$2:$K$126,MATCH($E90,[1]Esquemas_NORM!$A$2:$A$126,0),MATCH(AB$4,[1]Esquemas_NORM!$H$1:$K$1,0)))</f>
        <v>A la fecha no ha conformado un EAT Área Metropolitana</v>
      </c>
      <c r="AC90" s="17" t="str">
        <f>IF($E90="","",INDEX([1]Esquemas_NORM!$H$2:$K$126,MATCH($E90,[1]Esquemas_NORM!$A$2:$A$126,0),MATCH(AC$4,[1]Esquemas_NORM!$H$1:$K$1,0)))</f>
        <v>MUNICIPIOS ASOCIADOS DEL ALTIPLANO DEL ORIENTE ANTIOQUEÑO - MASORA</v>
      </c>
      <c r="AD90" s="23"/>
    </row>
    <row r="91" spans="1:30" x14ac:dyDescent="0.25">
      <c r="A91" s="24">
        <v>2015</v>
      </c>
      <c r="B91" s="25" t="s">
        <v>36</v>
      </c>
      <c r="C91" s="25" t="s">
        <v>200</v>
      </c>
      <c r="D91" s="25" t="s">
        <v>205</v>
      </c>
      <c r="E91" s="25" t="s">
        <v>240</v>
      </c>
      <c r="F91" s="25" t="s">
        <v>203</v>
      </c>
      <c r="G91" s="25" t="s">
        <v>241</v>
      </c>
      <c r="H91" s="26">
        <v>13.680498062069908</v>
      </c>
      <c r="I91" s="26">
        <v>9.3527895024500438</v>
      </c>
      <c r="J91" s="27">
        <v>23.033287564519952</v>
      </c>
      <c r="K91" s="26">
        <v>38.691855190690049</v>
      </c>
      <c r="L91" s="26">
        <v>9.7922163924500101</v>
      </c>
      <c r="M91" s="27">
        <v>48.484071583140057</v>
      </c>
      <c r="N91" s="26">
        <v>444.19991559662748</v>
      </c>
      <c r="O91" s="26">
        <v>14.070167659560019</v>
      </c>
      <c r="P91" s="26">
        <v>2.5142135351200179</v>
      </c>
      <c r="Q91" s="26">
        <v>2.0364697743400142</v>
      </c>
      <c r="R91" s="26">
        <v>11.371817412920002</v>
      </c>
      <c r="S91" s="26">
        <v>13.247266332910012</v>
      </c>
      <c r="T91" s="26">
        <v>13.325052805770026</v>
      </c>
      <c r="U91" s="26">
        <v>2.2740864549999906</v>
      </c>
      <c r="V91" s="27">
        <v>503.03898957224749</v>
      </c>
      <c r="W91" s="27">
        <v>574.55634871991083</v>
      </c>
      <c r="X91" s="26">
        <v>57.744018960936927</v>
      </c>
      <c r="Y91" s="28">
        <v>632.30036768084722</v>
      </c>
      <c r="Z91" s="17" t="str">
        <f>SUBSTITUTE(SUBSTITUTE(SUBSTITUTE(SUBSTITUTE(IF(E91="","",VLOOKUP(E91,[1]Esquemas_NORM!$A$2:$H$126,8,FALSE)),"PROVINCIA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1" s="17" t="str">
        <f>IF($E91="","",INDEX([1]Esquemas_NORM!$H$2:$K$126,MATCH($E91,[1]Esquemas_NORM!$A$2:$A$126,0),MATCH(AA$4,[1]Esquemas_NORM!$H$1:$K$1,0)))</f>
        <v>A la fecha no ha conformado un EAT Región</v>
      </c>
      <c r="AB91" s="17" t="str">
        <f>IF($E91="","",INDEX([1]Esquemas_NORM!$H$2:$K$126,MATCH($E91,[1]Esquemas_NORM!$A$2:$A$126,0),MATCH(AB$4,[1]Esquemas_NORM!$H$1:$K$1,0)))</f>
        <v>A la fecha no ha conformado un EAT Área Metropolitana</v>
      </c>
      <c r="AC91" s="17" t="str">
        <f>IF($E91="","",INDEX([1]Esquemas_NORM!$H$2:$K$126,MATCH($E91,[1]Esquemas_NORM!$A$2:$A$126,0),MATCH(AC$4,[1]Esquemas_NORM!$H$1:$K$1,0)))</f>
        <v>A la fecha no ha conformado un EAT asociación - unión</v>
      </c>
      <c r="AD91" s="23"/>
    </row>
    <row r="92" spans="1:30" x14ac:dyDescent="0.25">
      <c r="A92" s="24">
        <v>2015</v>
      </c>
      <c r="B92" s="25" t="s">
        <v>36</v>
      </c>
      <c r="C92" s="25" t="s">
        <v>200</v>
      </c>
      <c r="D92" s="25" t="s">
        <v>210</v>
      </c>
      <c r="E92" s="25" t="s">
        <v>242</v>
      </c>
      <c r="F92" s="25" t="s">
        <v>203</v>
      </c>
      <c r="G92" s="25" t="s">
        <v>243</v>
      </c>
      <c r="H92" s="26">
        <v>5.334790800349964</v>
      </c>
      <c r="I92" s="26">
        <v>0.75423068445000352</v>
      </c>
      <c r="J92" s="27">
        <v>6.089021484799968</v>
      </c>
      <c r="K92" s="26">
        <v>0.92463831281000119</v>
      </c>
      <c r="L92" s="26">
        <v>2.6216539164600032</v>
      </c>
      <c r="M92" s="27">
        <v>3.5462922292700045</v>
      </c>
      <c r="N92" s="26">
        <v>1.0688521125199939</v>
      </c>
      <c r="O92" s="26">
        <v>7.5294250077800102</v>
      </c>
      <c r="P92" s="26">
        <v>1.299397920580009</v>
      </c>
      <c r="Q92" s="26">
        <v>0.98451459796000695</v>
      </c>
      <c r="R92" s="26">
        <v>5.0754596375600016</v>
      </c>
      <c r="S92" s="26">
        <v>3.9849801699700045</v>
      </c>
      <c r="T92" s="26">
        <v>8.9454582538800178</v>
      </c>
      <c r="U92" s="26">
        <v>1.0429032872499955</v>
      </c>
      <c r="V92" s="27">
        <v>29.930990987500042</v>
      </c>
      <c r="W92" s="27">
        <v>39.566304701570061</v>
      </c>
      <c r="X92" s="26">
        <v>3.9764897803190911</v>
      </c>
      <c r="Y92" s="28">
        <v>43.542794481889111</v>
      </c>
      <c r="Z92" s="17" t="str">
        <f>SUBSTITUTE(SUBSTITUTE(SUBSTITUTE(SUBSTITUTE(IF(E92="","",VLOOKUP(E92,[1]Esquemas_NORM!$A$2:$H$126,8,FALSE)),"PROVINCIA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2" s="17" t="str">
        <f>IF($E92="","",INDEX([1]Esquemas_NORM!$H$2:$K$126,MATCH($E92,[1]Esquemas_NORM!$A$2:$A$126,0),MATCH(AA$4,[1]Esquemas_NORM!$H$1:$K$1,0)))</f>
        <v>A la fecha no ha conformado un EAT Región</v>
      </c>
      <c r="AB92" s="17" t="str">
        <f>IF($E92="","",INDEX([1]Esquemas_NORM!$H$2:$K$126,MATCH($E92,[1]Esquemas_NORM!$A$2:$A$126,0),MATCH(AB$4,[1]Esquemas_NORM!$H$1:$K$1,0)))</f>
        <v>A la fecha no ha conformado un EAT Área Metropolitana</v>
      </c>
      <c r="AC92" s="17" t="str">
        <f>IF($E92="","",INDEX([1]Esquemas_NORM!$H$2:$K$126,MATCH($E92,[1]Esquemas_NORM!$A$2:$A$126,0),MATCH(AC$4,[1]Esquemas_NORM!$H$1:$K$1,0)))</f>
        <v>A la fecha no ha conformado un EAT asociación - unión</v>
      </c>
      <c r="AD92" s="23"/>
    </row>
    <row r="93" spans="1:30" x14ac:dyDescent="0.25">
      <c r="A93" s="24">
        <v>2015</v>
      </c>
      <c r="B93" s="25" t="s">
        <v>36</v>
      </c>
      <c r="C93" s="25" t="s">
        <v>200</v>
      </c>
      <c r="D93" s="25" t="s">
        <v>210</v>
      </c>
      <c r="E93" s="25" t="s">
        <v>244</v>
      </c>
      <c r="F93" s="25" t="s">
        <v>203</v>
      </c>
      <c r="G93" s="25" t="s">
        <v>245</v>
      </c>
      <c r="H93" s="26">
        <v>4.7462568370199678</v>
      </c>
      <c r="I93" s="26">
        <v>4.7143585328300226</v>
      </c>
      <c r="J93" s="27">
        <v>9.4606153698499895</v>
      </c>
      <c r="K93" s="26">
        <v>4.737942862940006</v>
      </c>
      <c r="L93" s="26">
        <v>6.3766962909200062</v>
      </c>
      <c r="M93" s="27">
        <v>11.114639153860011</v>
      </c>
      <c r="N93" s="26">
        <v>3.2584742451299822</v>
      </c>
      <c r="O93" s="26">
        <v>16.762560215310025</v>
      </c>
      <c r="P93" s="26">
        <v>3.5700661537000253</v>
      </c>
      <c r="Q93" s="26">
        <v>2.75585376591002</v>
      </c>
      <c r="R93" s="26">
        <v>10.226582618720002</v>
      </c>
      <c r="S93" s="26">
        <v>22.707282487370026</v>
      </c>
      <c r="T93" s="26">
        <v>18.176204605490035</v>
      </c>
      <c r="U93" s="26">
        <v>3.3421032054399862</v>
      </c>
      <c r="V93" s="27">
        <v>80.799127297070086</v>
      </c>
      <c r="W93" s="27">
        <v>101.37438182078016</v>
      </c>
      <c r="X93" s="26">
        <v>10.188320499902472</v>
      </c>
      <c r="Y93" s="28">
        <v>111.56270232068255</v>
      </c>
      <c r="Z93" s="17" t="str">
        <f>SUBSTITUTE(SUBSTITUTE(SUBSTITUTE(SUBSTITUTE(IF(E93="","",VLOOKUP(E93,[1]Esquemas_NORM!$A$2:$H$126,8,FALSE)),"PROVINCIA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3" s="17" t="str">
        <f>IF($E93="","",INDEX([1]Esquemas_NORM!$H$2:$K$126,MATCH($E93,[1]Esquemas_NORM!$A$2:$A$126,0),MATCH(AA$4,[1]Esquemas_NORM!$H$1:$K$1,0)))</f>
        <v>A la fecha no ha conformado un EAT Región</v>
      </c>
      <c r="AB93" s="17" t="str">
        <f>IF($E93="","",INDEX([1]Esquemas_NORM!$H$2:$K$126,MATCH($E93,[1]Esquemas_NORM!$A$2:$A$126,0),MATCH(AB$4,[1]Esquemas_NORM!$H$1:$K$1,0)))</f>
        <v>A la fecha no ha conformado un EAT Área Metropolitana</v>
      </c>
      <c r="AC93" s="17" t="str">
        <f>IF($E93="","",INDEX([1]Esquemas_NORM!$H$2:$K$126,MATCH($E93,[1]Esquemas_NORM!$A$2:$A$126,0),MATCH(AC$4,[1]Esquemas_NORM!$H$1:$K$1,0)))</f>
        <v>A la fecha no ha conformado un EAT asociación - unión</v>
      </c>
      <c r="AD93" s="23"/>
    </row>
    <row r="94" spans="1:30" x14ac:dyDescent="0.25">
      <c r="A94" s="24">
        <v>2015</v>
      </c>
      <c r="B94" s="25" t="s">
        <v>36</v>
      </c>
      <c r="C94" s="25" t="s">
        <v>200</v>
      </c>
      <c r="D94" s="25" t="s">
        <v>205</v>
      </c>
      <c r="E94" s="25" t="s">
        <v>246</v>
      </c>
      <c r="F94" s="25" t="s">
        <v>203</v>
      </c>
      <c r="G94" s="25" t="s">
        <v>247</v>
      </c>
      <c r="H94" s="26">
        <v>10.779747265239926</v>
      </c>
      <c r="I94" s="26">
        <v>0</v>
      </c>
      <c r="J94" s="27">
        <v>10.779747265239926</v>
      </c>
      <c r="K94" s="26">
        <v>1.6388915751900022</v>
      </c>
      <c r="L94" s="26">
        <v>13.702570343480014</v>
      </c>
      <c r="M94" s="27">
        <v>15.341461918670015</v>
      </c>
      <c r="N94" s="26">
        <v>93.658013016669472</v>
      </c>
      <c r="O94" s="26">
        <v>7.00409694130001</v>
      </c>
      <c r="P94" s="26">
        <v>1.6857265105100121</v>
      </c>
      <c r="Q94" s="26">
        <v>1.2169826081800086</v>
      </c>
      <c r="R94" s="26">
        <v>7.1874727540900016</v>
      </c>
      <c r="S94" s="26">
        <v>3.8930415796900046</v>
      </c>
      <c r="T94" s="26">
        <v>6.5251036472300123</v>
      </c>
      <c r="U94" s="26">
        <v>1.2687448762399947</v>
      </c>
      <c r="V94" s="27">
        <v>122.4391819339095</v>
      </c>
      <c r="W94" s="27">
        <v>148.56039111782022</v>
      </c>
      <c r="X94" s="26">
        <v>14.930605258587871</v>
      </c>
      <c r="Y94" s="28">
        <v>163.49099637640796</v>
      </c>
      <c r="Z94" s="17" t="str">
        <f>SUBSTITUTE(SUBSTITUTE(SUBSTITUTE(SUBSTITUTE(IF(E94="","",VLOOKUP(E94,[1]Esquemas_NORM!$A$2:$H$126,8,FALSE)),"PROVINCIA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4" s="17" t="str">
        <f>IF($E94="","",INDEX([1]Esquemas_NORM!$H$2:$K$126,MATCH($E94,[1]Esquemas_NORM!$A$2:$A$126,0),MATCH(AA$4,[1]Esquemas_NORM!$H$1:$K$1,0)))</f>
        <v>A la fecha no ha conformado un EAT Región</v>
      </c>
      <c r="AB94" s="17" t="str">
        <f>IF($E94="","",INDEX([1]Esquemas_NORM!$H$2:$K$126,MATCH($E94,[1]Esquemas_NORM!$A$2:$A$126,0),MATCH(AB$4,[1]Esquemas_NORM!$H$1:$K$1,0)))</f>
        <v>A la fecha no ha conformado un EAT Área Metropolitana</v>
      </c>
      <c r="AC94" s="17" t="str">
        <f>IF($E94="","",INDEX([1]Esquemas_NORM!$H$2:$K$126,MATCH($E94,[1]Esquemas_NORM!$A$2:$A$126,0),MATCH(AC$4,[1]Esquemas_NORM!$H$1:$K$1,0)))</f>
        <v>A la fecha no ha conformado un EAT asociación - unión</v>
      </c>
      <c r="AD94" s="23"/>
    </row>
    <row r="95" spans="1:30" x14ac:dyDescent="0.25">
      <c r="A95" s="24">
        <v>2015</v>
      </c>
      <c r="B95" s="25" t="s">
        <v>36</v>
      </c>
      <c r="C95" s="25" t="s">
        <v>200</v>
      </c>
      <c r="D95" s="25" t="s">
        <v>215</v>
      </c>
      <c r="E95" s="25" t="s">
        <v>248</v>
      </c>
      <c r="F95" s="25" t="s">
        <v>203</v>
      </c>
      <c r="G95" s="25" t="s">
        <v>249</v>
      </c>
      <c r="H95" s="26">
        <v>53.740843370009635</v>
      </c>
      <c r="I95" s="26">
        <v>0</v>
      </c>
      <c r="J95" s="27">
        <v>53.740843370009635</v>
      </c>
      <c r="K95" s="26">
        <v>4.1403036616600053</v>
      </c>
      <c r="L95" s="26">
        <v>11.852498095960014</v>
      </c>
      <c r="M95" s="27">
        <v>15.992801757620018</v>
      </c>
      <c r="N95" s="26">
        <v>3.3207602262499814</v>
      </c>
      <c r="O95" s="26">
        <v>21.649064175890029</v>
      </c>
      <c r="P95" s="26">
        <v>6.3126128500000451</v>
      </c>
      <c r="Q95" s="26">
        <v>4.7670736522800334</v>
      </c>
      <c r="R95" s="26">
        <v>28.818442007370006</v>
      </c>
      <c r="S95" s="26">
        <v>15.271171579250016</v>
      </c>
      <c r="T95" s="26">
        <v>28.845700396520062</v>
      </c>
      <c r="U95" s="26">
        <v>7.0821452351899703</v>
      </c>
      <c r="V95" s="27">
        <v>116.06697012275015</v>
      </c>
      <c r="W95" s="27">
        <v>185.80061525038028</v>
      </c>
      <c r="X95" s="26">
        <v>18.67331946445471</v>
      </c>
      <c r="Y95" s="28">
        <v>204.47393471483483</v>
      </c>
      <c r="Z95" s="17" t="str">
        <f>SUBSTITUTE(SUBSTITUTE(SUBSTITUTE(SUBSTITUTE(IF(E95="","",VLOOKUP(E95,[1]Esquemas_NORM!$A$2:$H$126,8,FALSE)),"PROVINCIA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5" s="17" t="str">
        <f>IF($E95="","",INDEX([1]Esquemas_NORM!$H$2:$K$126,MATCH($E95,[1]Esquemas_NORM!$A$2:$A$126,0),MATCH(AA$4,[1]Esquemas_NORM!$H$1:$K$1,0)))</f>
        <v>A la fecha no ha conformado un EAT Región</v>
      </c>
      <c r="AB95" s="17" t="str">
        <f>IF($E95="","",INDEX([1]Esquemas_NORM!$H$2:$K$126,MATCH($E95,[1]Esquemas_NORM!$A$2:$A$126,0),MATCH(AB$4,[1]Esquemas_NORM!$H$1:$K$1,0)))</f>
        <v>A la fecha no ha conformado un EAT Área Metropolitana</v>
      </c>
      <c r="AC95" s="17" t="str">
        <f>IF($E95="","",INDEX([1]Esquemas_NORM!$H$2:$K$126,MATCH($E95,[1]Esquemas_NORM!$A$2:$A$126,0),MATCH(AC$4,[1]Esquemas_NORM!$H$1:$K$1,0)))</f>
        <v>MUNICIPIOS ASOCIADOS DEL ALTIPLANO DEL ORIENTE ANTIOQUEÑO - MASORA</v>
      </c>
      <c r="AD95" s="23"/>
    </row>
    <row r="96" spans="1:30" x14ac:dyDescent="0.25">
      <c r="A96" s="24">
        <v>2015</v>
      </c>
      <c r="B96" s="25" t="s">
        <v>36</v>
      </c>
      <c r="C96" s="25" t="s">
        <v>200</v>
      </c>
      <c r="D96" s="25" t="s">
        <v>201</v>
      </c>
      <c r="E96" s="25" t="s">
        <v>250</v>
      </c>
      <c r="F96" s="25" t="s">
        <v>203</v>
      </c>
      <c r="G96" s="25" t="s">
        <v>251</v>
      </c>
      <c r="H96" s="26">
        <v>90.169895453979393</v>
      </c>
      <c r="I96" s="26">
        <v>93.118700971130437</v>
      </c>
      <c r="J96" s="27">
        <v>183.28859642510983</v>
      </c>
      <c r="K96" s="26">
        <v>329.07271613262037</v>
      </c>
      <c r="L96" s="26">
        <v>17.660142277940018</v>
      </c>
      <c r="M96" s="27">
        <v>346.73285841056037</v>
      </c>
      <c r="N96" s="26">
        <v>29.010744045829835</v>
      </c>
      <c r="O96" s="26">
        <v>55.162594298910079</v>
      </c>
      <c r="P96" s="26">
        <v>10.092778372530072</v>
      </c>
      <c r="Q96" s="26">
        <v>9.1221508540800631</v>
      </c>
      <c r="R96" s="26">
        <v>35.48967654286001</v>
      </c>
      <c r="S96" s="26">
        <v>59.434105392510062</v>
      </c>
      <c r="T96" s="26">
        <v>53.604643735430109</v>
      </c>
      <c r="U96" s="26">
        <v>7.0918350178599709</v>
      </c>
      <c r="V96" s="27">
        <v>259.00852826001022</v>
      </c>
      <c r="W96" s="27">
        <v>789.02998309568102</v>
      </c>
      <c r="X96" s="26">
        <v>79.299032037728551</v>
      </c>
      <c r="Y96" s="28">
        <v>868.32901513340892</v>
      </c>
      <c r="Z96" s="17" t="str">
        <f>SUBSTITUTE(SUBSTITUTE(SUBSTITUTE(SUBSTITUTE(IF(E96="","",VLOOKUP(E96,[1]Esquemas_NORM!$A$2:$H$126,8,FALSE)),"PROVINCIA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96" s="17" t="str">
        <f>IF($E96="","",INDEX([1]Esquemas_NORM!$H$2:$K$126,MATCH($E96,[1]Esquemas_NORM!$A$2:$A$126,0),MATCH(AA$4,[1]Esquemas_NORM!$H$1:$K$1,0)))</f>
        <v>A la fecha no ha conformado un EAT Región</v>
      </c>
      <c r="AB96" s="17" t="str">
        <f>IF($E96="","",INDEX([1]Esquemas_NORM!$H$2:$K$126,MATCH($E96,[1]Esquemas_NORM!$A$2:$A$126,0),MATCH(AB$4,[1]Esquemas_NORM!$H$1:$K$1,0)))</f>
        <v>A la fecha no ha conformado un EAT Área Metropolitana</v>
      </c>
      <c r="AC96" s="17" t="str">
        <f>IF($E96="","",INDEX([1]Esquemas_NORM!$H$2:$K$126,MATCH($E96,[1]Esquemas_NORM!$A$2:$A$126,0),MATCH(AC$4,[1]Esquemas_NORM!$H$1:$K$1,0)))</f>
        <v>A la fecha no ha conformado un EAT asociación - unión</v>
      </c>
      <c r="AD96" s="23"/>
    </row>
    <row r="97" spans="1:30" x14ac:dyDescent="0.25">
      <c r="A97" s="24">
        <v>2015</v>
      </c>
      <c r="B97" s="25" t="s">
        <v>36</v>
      </c>
      <c r="C97" s="25" t="s">
        <v>252</v>
      </c>
      <c r="D97" s="25" t="s">
        <v>253</v>
      </c>
      <c r="E97" s="25" t="s">
        <v>254</v>
      </c>
      <c r="F97" s="25" t="s">
        <v>255</v>
      </c>
      <c r="G97" s="25" t="s">
        <v>256</v>
      </c>
      <c r="H97" s="26">
        <v>47.58901863477967</v>
      </c>
      <c r="I97" s="26">
        <v>5.3938809015400251</v>
      </c>
      <c r="J97" s="27">
        <v>52.982899536319692</v>
      </c>
      <c r="K97" s="26">
        <v>61.739857276900082</v>
      </c>
      <c r="L97" s="26">
        <v>20.908976171550023</v>
      </c>
      <c r="M97" s="27">
        <v>82.648833448450105</v>
      </c>
      <c r="N97" s="26">
        <v>16.314033894349912</v>
      </c>
      <c r="O97" s="26">
        <v>61.840062531350085</v>
      </c>
      <c r="P97" s="26">
        <v>10.183074914910073</v>
      </c>
      <c r="Q97" s="26">
        <v>7.9480511505100573</v>
      </c>
      <c r="R97" s="26">
        <v>27.880667055060009</v>
      </c>
      <c r="S97" s="26">
        <v>29.464995117940031</v>
      </c>
      <c r="T97" s="26">
        <v>35.54219011451007</v>
      </c>
      <c r="U97" s="26">
        <v>8.2372645699599669</v>
      </c>
      <c r="V97" s="27">
        <v>197.41033934859018</v>
      </c>
      <c r="W97" s="27">
        <v>333.04207233336052</v>
      </c>
      <c r="X97" s="26">
        <v>33.471369313835162</v>
      </c>
      <c r="Y97" s="28">
        <v>366.51344164719541</v>
      </c>
      <c r="Z97" s="17" t="str">
        <f>SUBSTITUTE(SUBSTITUTE(SUBSTITUTE(SUBSTITUTE(IF(E97="","",VLOOKUP(E97,[1]Esquemas_NORM!$A$2:$H$126,8,FALSE)),"PROVINCIA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7" s="17" t="str">
        <f>IF($E97="","",INDEX([1]Esquemas_NORM!$H$2:$K$126,MATCH($E97,[1]Esquemas_NORM!$A$2:$A$126,0),MATCH(AA$4,[1]Esquemas_NORM!$H$1:$K$1,0)))</f>
        <v>A la fecha no ha conformado un EAT Región</v>
      </c>
      <c r="AB97" s="17" t="str">
        <f>IF($E97="","",INDEX([1]Esquemas_NORM!$H$2:$K$126,MATCH($E97,[1]Esquemas_NORM!$A$2:$A$126,0),MATCH(AB$4,[1]Esquemas_NORM!$H$1:$K$1,0)))</f>
        <v>A la fecha no ha conformado un EAT Área Metropolitana</v>
      </c>
      <c r="AC97" s="17" t="str">
        <f>IF($E97="","",INDEX([1]Esquemas_NORM!$H$2:$K$126,MATCH($E97,[1]Esquemas_NORM!$A$2:$A$126,0),MATCH(AC$4,[1]Esquemas_NORM!$H$1:$K$1,0)))</f>
        <v>A la fecha no ha conformado un EAT asociación - unión</v>
      </c>
      <c r="AD97" s="23"/>
    </row>
    <row r="98" spans="1:30" x14ac:dyDescent="0.25">
      <c r="A98" s="24">
        <v>2015</v>
      </c>
      <c r="B98" s="25" t="s">
        <v>36</v>
      </c>
      <c r="C98" s="25" t="s">
        <v>252</v>
      </c>
      <c r="D98" s="25" t="s">
        <v>257</v>
      </c>
      <c r="E98" s="25" t="s">
        <v>258</v>
      </c>
      <c r="F98" s="25" t="s">
        <v>255</v>
      </c>
      <c r="G98" s="25" t="s">
        <v>259</v>
      </c>
      <c r="H98" s="26">
        <v>100.4359812457193</v>
      </c>
      <c r="I98" s="26">
        <v>9.1289881802900421</v>
      </c>
      <c r="J98" s="27">
        <v>109.56496942600934</v>
      </c>
      <c r="K98" s="26">
        <v>103.96725794010013</v>
      </c>
      <c r="L98" s="26">
        <v>109.44134864016011</v>
      </c>
      <c r="M98" s="27">
        <v>213.40860658026025</v>
      </c>
      <c r="N98" s="26">
        <v>32.183850726189824</v>
      </c>
      <c r="O98" s="26">
        <v>112.47284208014015</v>
      </c>
      <c r="P98" s="26">
        <v>15.791297495160114</v>
      </c>
      <c r="Q98" s="26">
        <v>21.151709844240148</v>
      </c>
      <c r="R98" s="26">
        <v>34.312355840780008</v>
      </c>
      <c r="S98" s="26">
        <v>65.265732693060073</v>
      </c>
      <c r="T98" s="26">
        <v>76.586736839540151</v>
      </c>
      <c r="U98" s="26">
        <v>12.481629598459946</v>
      </c>
      <c r="V98" s="27">
        <v>370.24615511757042</v>
      </c>
      <c r="W98" s="27">
        <v>693.21973112384103</v>
      </c>
      <c r="X98" s="26">
        <v>69.669917297588327</v>
      </c>
      <c r="Y98" s="28">
        <v>762.88964842142877</v>
      </c>
      <c r="Z98" s="17" t="str">
        <f>SUBSTITUTE(SUBSTITUTE(SUBSTITUTE(SUBSTITUTE(IF(E98="","",VLOOKUP(E98,[1]Esquemas_NORM!$A$2:$H$126,8,FALSE)),"PROVINCIA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98" s="17" t="str">
        <f>IF($E98="","",INDEX([1]Esquemas_NORM!$H$2:$K$126,MATCH($E98,[1]Esquemas_NORM!$A$2:$A$126,0),MATCH(AA$4,[1]Esquemas_NORM!$H$1:$K$1,0)))</f>
        <v>A la fecha no ha conformado un EAT Región</v>
      </c>
      <c r="AB98" s="17" t="str">
        <f>IF($E98="","",INDEX([1]Esquemas_NORM!$H$2:$K$126,MATCH($E98,[1]Esquemas_NORM!$A$2:$A$126,0),MATCH(AB$4,[1]Esquemas_NORM!$H$1:$K$1,0)))</f>
        <v>A la fecha no ha conformado un EAT Área Metropolitana</v>
      </c>
      <c r="AC98" s="17" t="str">
        <f>IF($E98="","",INDEX([1]Esquemas_NORM!$H$2:$K$126,MATCH($E98,[1]Esquemas_NORM!$A$2:$A$126,0),MATCH(AC$4,[1]Esquemas_NORM!$H$1:$K$1,0)))</f>
        <v>A la fecha no ha conformado un EAT asociación - unión</v>
      </c>
      <c r="AD98" s="23"/>
    </row>
    <row r="99" spans="1:30" x14ac:dyDescent="0.25">
      <c r="A99" s="24">
        <v>2015</v>
      </c>
      <c r="B99" s="25" t="s">
        <v>36</v>
      </c>
      <c r="C99" s="25" t="s">
        <v>252</v>
      </c>
      <c r="D99" s="25" t="s">
        <v>253</v>
      </c>
      <c r="E99" s="25" t="s">
        <v>260</v>
      </c>
      <c r="F99" s="25" t="s">
        <v>255</v>
      </c>
      <c r="G99" s="25" t="s">
        <v>261</v>
      </c>
      <c r="H99" s="26">
        <v>20.810102652149858</v>
      </c>
      <c r="I99" s="26">
        <v>2.7307143460000124E-2</v>
      </c>
      <c r="J99" s="27">
        <v>20.837409795609858</v>
      </c>
      <c r="K99" s="26">
        <v>4.7415889060100058</v>
      </c>
      <c r="L99" s="26">
        <v>0.96149774741000116</v>
      </c>
      <c r="M99" s="27">
        <v>5.7030866534200069</v>
      </c>
      <c r="N99" s="26">
        <v>2.2039256044099877</v>
      </c>
      <c r="O99" s="26">
        <v>11.520375616310016</v>
      </c>
      <c r="P99" s="26">
        <v>1.227334943870009</v>
      </c>
      <c r="Q99" s="26">
        <v>1.0197854595300073</v>
      </c>
      <c r="R99" s="26">
        <v>3.376480812110001</v>
      </c>
      <c r="S99" s="26">
        <v>5.3795507549400066</v>
      </c>
      <c r="T99" s="26">
        <v>9.2909298757700185</v>
      </c>
      <c r="U99" s="26">
        <v>1.5282473706899937</v>
      </c>
      <c r="V99" s="27">
        <v>35.546630437630043</v>
      </c>
      <c r="W99" s="27">
        <v>62.087126886660101</v>
      </c>
      <c r="X99" s="26">
        <v>6.2398757583352866</v>
      </c>
      <c r="Y99" s="28">
        <v>68.327002644995332</v>
      </c>
      <c r="Z99" s="17" t="str">
        <f>SUBSTITUTE(SUBSTITUTE(SUBSTITUTE(SUBSTITUTE(IF(E99="","",VLOOKUP(E99,[1]Esquemas_NORM!$A$2:$H$126,8,FALSE)),"PROVINCIA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9" s="17" t="str">
        <f>IF($E99="","",INDEX([1]Esquemas_NORM!$H$2:$K$126,MATCH($E99,[1]Esquemas_NORM!$A$2:$A$126,0),MATCH(AA$4,[1]Esquemas_NORM!$H$1:$K$1,0)))</f>
        <v>A la fecha no ha conformado un EAT Región</v>
      </c>
      <c r="AB99" s="17" t="str">
        <f>IF($E99="","",INDEX([1]Esquemas_NORM!$H$2:$K$126,MATCH($E99,[1]Esquemas_NORM!$A$2:$A$126,0),MATCH(AB$4,[1]Esquemas_NORM!$H$1:$K$1,0)))</f>
        <v>A la fecha no ha conformado un EAT Área Metropolitana</v>
      </c>
      <c r="AC99" s="17" t="str">
        <f>IF($E99="","",INDEX([1]Esquemas_NORM!$H$2:$K$126,MATCH($E99,[1]Esquemas_NORM!$A$2:$A$126,0),MATCH(AC$4,[1]Esquemas_NORM!$H$1:$K$1,0)))</f>
        <v>A la fecha no ha conformado un EAT asociación - unión</v>
      </c>
      <c r="AD99" s="23"/>
    </row>
    <row r="100" spans="1:30" x14ac:dyDescent="0.25">
      <c r="A100" s="24">
        <v>2015</v>
      </c>
      <c r="B100" s="25" t="s">
        <v>36</v>
      </c>
      <c r="C100" s="25" t="s">
        <v>252</v>
      </c>
      <c r="D100" s="25" t="s">
        <v>257</v>
      </c>
      <c r="E100" s="25" t="s">
        <v>262</v>
      </c>
      <c r="F100" s="25" t="s">
        <v>255</v>
      </c>
      <c r="G100" s="25" t="s">
        <v>263</v>
      </c>
      <c r="H100" s="26">
        <v>51.690785557449651</v>
      </c>
      <c r="I100" s="26">
        <v>0</v>
      </c>
      <c r="J100" s="27">
        <v>51.690785557449651</v>
      </c>
      <c r="K100" s="26">
        <v>5.6144673200500073</v>
      </c>
      <c r="L100" s="26">
        <v>5.5352140458700063</v>
      </c>
      <c r="M100" s="27">
        <v>11.149681365920014</v>
      </c>
      <c r="N100" s="26">
        <v>2.5257955919599859</v>
      </c>
      <c r="O100" s="26">
        <v>15.845111914260022</v>
      </c>
      <c r="P100" s="26">
        <v>3.2885430201000236</v>
      </c>
      <c r="Q100" s="26">
        <v>2.8173978541700202</v>
      </c>
      <c r="R100" s="26">
        <v>7.6651392160400018</v>
      </c>
      <c r="S100" s="26">
        <v>9.52887668539001</v>
      </c>
      <c r="T100" s="26">
        <v>16.223040307600034</v>
      </c>
      <c r="U100" s="26">
        <v>2.7068956001099886</v>
      </c>
      <c r="V100" s="27">
        <v>60.600800189630078</v>
      </c>
      <c r="W100" s="27">
        <v>123.44126711300019</v>
      </c>
      <c r="X100" s="26">
        <v>12.406084946446573</v>
      </c>
      <c r="Y100" s="28">
        <v>135.84735205944665</v>
      </c>
      <c r="Z100" s="17" t="str">
        <f>SUBSTITUTE(SUBSTITUTE(SUBSTITUTE(SUBSTITUTE(IF(E100="","",VLOOKUP(E100,[1]Esquemas_NORM!$A$2:$H$126,8,FALSE)),"PROVINCIA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00" s="17" t="str">
        <f>IF($E100="","",INDEX([1]Esquemas_NORM!$H$2:$K$126,MATCH($E100,[1]Esquemas_NORM!$A$2:$A$126,0),MATCH(AA$4,[1]Esquemas_NORM!$H$1:$K$1,0)))</f>
        <v>A la fecha no ha conformado un EAT Región</v>
      </c>
      <c r="AB100" s="17" t="str">
        <f>IF($E100="","",INDEX([1]Esquemas_NORM!$H$2:$K$126,MATCH($E100,[1]Esquemas_NORM!$A$2:$A$126,0),MATCH(AB$4,[1]Esquemas_NORM!$H$1:$K$1,0)))</f>
        <v>A la fecha no ha conformado un EAT Área Metropolitana</v>
      </c>
      <c r="AC100" s="17" t="str">
        <f>IF($E100="","",INDEX([1]Esquemas_NORM!$H$2:$K$126,MATCH($E100,[1]Esquemas_NORM!$A$2:$A$126,0),MATCH(AC$4,[1]Esquemas_NORM!$H$1:$K$1,0)))</f>
        <v>A la fecha no ha conformado un EAT asociación - unión</v>
      </c>
      <c r="AD100" s="23"/>
    </row>
    <row r="101" spans="1:30" x14ac:dyDescent="0.25">
      <c r="A101" s="24">
        <v>2015</v>
      </c>
      <c r="B101" s="25" t="s">
        <v>36</v>
      </c>
      <c r="C101" s="25" t="s">
        <v>252</v>
      </c>
      <c r="D101" s="25" t="s">
        <v>264</v>
      </c>
      <c r="E101" s="25" t="s">
        <v>265</v>
      </c>
      <c r="F101" s="25" t="s">
        <v>255</v>
      </c>
      <c r="G101" s="25" t="s">
        <v>266</v>
      </c>
      <c r="H101" s="26">
        <v>66.127364330499546</v>
      </c>
      <c r="I101" s="26">
        <v>0</v>
      </c>
      <c r="J101" s="27">
        <v>66.127364330499546</v>
      </c>
      <c r="K101" s="26">
        <v>8.913661217020012</v>
      </c>
      <c r="L101" s="26">
        <v>6.0616257963000075</v>
      </c>
      <c r="M101" s="27">
        <v>14.97528701332002</v>
      </c>
      <c r="N101" s="26">
        <v>5.3847972126099695</v>
      </c>
      <c r="O101" s="26">
        <v>16.15775377543002</v>
      </c>
      <c r="P101" s="26">
        <v>5.2394421648500371</v>
      </c>
      <c r="Q101" s="26">
        <v>4.1229505104800293</v>
      </c>
      <c r="R101" s="26">
        <v>12.324113438050002</v>
      </c>
      <c r="S101" s="26">
        <v>13.960681609180016</v>
      </c>
      <c r="T101" s="26">
        <v>29.705925900470056</v>
      </c>
      <c r="U101" s="26">
        <v>3.9890528176899838</v>
      </c>
      <c r="V101" s="27">
        <v>90.884717428760098</v>
      </c>
      <c r="W101" s="27">
        <v>171.98736877258025</v>
      </c>
      <c r="X101" s="26">
        <v>17.285061605493372</v>
      </c>
      <c r="Y101" s="28">
        <v>189.27243037807347</v>
      </c>
      <c r="Z101" s="17" t="str">
        <f>SUBSTITUTE(SUBSTITUTE(SUBSTITUTE(SUBSTITUTE(IF(E101="","",VLOOKUP(E101,[1]Esquemas_NORM!$A$2:$H$126,8,FALSE)),"PROVINCIA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01" s="17" t="str">
        <f>IF($E101="","",INDEX([1]Esquemas_NORM!$H$2:$K$126,MATCH($E101,[1]Esquemas_NORM!$A$2:$A$126,0),MATCH(AA$4,[1]Esquemas_NORM!$H$1:$K$1,0)))</f>
        <v>A la fecha no ha conformado un EAT Región</v>
      </c>
      <c r="AB101" s="17" t="str">
        <f>IF($E101="","",INDEX([1]Esquemas_NORM!$H$2:$K$126,MATCH($E101,[1]Esquemas_NORM!$A$2:$A$126,0),MATCH(AB$4,[1]Esquemas_NORM!$H$1:$K$1,0)))</f>
        <v>A la fecha no ha conformado un EAT Área Metropolitana</v>
      </c>
      <c r="AC101" s="17" t="str">
        <f>IF($E101="","",INDEX([1]Esquemas_NORM!$H$2:$K$126,MATCH($E101,[1]Esquemas_NORM!$A$2:$A$126,0),MATCH(AC$4,[1]Esquemas_NORM!$H$1:$K$1,0)))</f>
        <v>A la fecha no ha conformado un EAT asociación - unión</v>
      </c>
      <c r="AD101" s="23"/>
    </row>
    <row r="102" spans="1:30" x14ac:dyDescent="0.25">
      <c r="A102" s="24">
        <v>2015</v>
      </c>
      <c r="B102" s="25" t="s">
        <v>36</v>
      </c>
      <c r="C102" s="25" t="s">
        <v>252</v>
      </c>
      <c r="D102" s="25" t="s">
        <v>267</v>
      </c>
      <c r="E102" s="25" t="s">
        <v>268</v>
      </c>
      <c r="F102" s="25" t="s">
        <v>255</v>
      </c>
      <c r="G102" s="25" t="s">
        <v>269</v>
      </c>
      <c r="H102" s="26">
        <v>26.169008421319823</v>
      </c>
      <c r="I102" s="26">
        <v>0</v>
      </c>
      <c r="J102" s="27">
        <v>26.169008421319823</v>
      </c>
      <c r="K102" s="26">
        <v>1.1623816605900015</v>
      </c>
      <c r="L102" s="26">
        <v>5.220713726620005</v>
      </c>
      <c r="M102" s="27">
        <v>6.3830953872100062</v>
      </c>
      <c r="N102" s="26">
        <v>1.6924073124799905</v>
      </c>
      <c r="O102" s="26">
        <v>7.42154488423001</v>
      </c>
      <c r="P102" s="26">
        <v>1.6783703222600119</v>
      </c>
      <c r="Q102" s="26">
        <v>1.658874035260012</v>
      </c>
      <c r="R102" s="26">
        <v>3.8582128384700005</v>
      </c>
      <c r="S102" s="26">
        <v>6.5844319306900072</v>
      </c>
      <c r="T102" s="26">
        <v>11.409732530850023</v>
      </c>
      <c r="U102" s="26">
        <v>1.3734915230599942</v>
      </c>
      <c r="V102" s="27">
        <v>35.677065377300053</v>
      </c>
      <c r="W102" s="27">
        <v>68.229169185830088</v>
      </c>
      <c r="X102" s="26">
        <v>6.8571628316978659</v>
      </c>
      <c r="Y102" s="28">
        <v>75.086332017527909</v>
      </c>
      <c r="Z102" s="17" t="str">
        <f>SUBSTITUTE(SUBSTITUTE(SUBSTITUTE(SUBSTITUTE(IF(E102="","",VLOOKUP(E102,[1]Esquemas_NORM!$A$2:$H$126,8,FALSE)),"PROVINCIA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02" s="17" t="str">
        <f>IF($E102="","",INDEX([1]Esquemas_NORM!$H$2:$K$126,MATCH($E102,[1]Esquemas_NORM!$A$2:$A$126,0),MATCH(AA$4,[1]Esquemas_NORM!$H$1:$K$1,0)))</f>
        <v>A la fecha no ha conformado un EAT Región</v>
      </c>
      <c r="AB102" s="17" t="str">
        <f>IF($E102="","",INDEX([1]Esquemas_NORM!$H$2:$K$126,MATCH($E102,[1]Esquemas_NORM!$A$2:$A$126,0),MATCH(AB$4,[1]Esquemas_NORM!$H$1:$K$1,0)))</f>
        <v>A la fecha no ha conformado un EAT Área Metropolitana</v>
      </c>
      <c r="AC102" s="17" t="str">
        <f>IF($E102="","",INDEX([1]Esquemas_NORM!$H$2:$K$126,MATCH($E102,[1]Esquemas_NORM!$A$2:$A$126,0),MATCH(AC$4,[1]Esquemas_NORM!$H$1:$K$1,0)))</f>
        <v>A la fecha no ha conformado un EAT asociación - unión</v>
      </c>
      <c r="AD102" s="23"/>
    </row>
    <row r="103" spans="1:30" x14ac:dyDescent="0.25">
      <c r="A103" s="24">
        <v>2015</v>
      </c>
      <c r="B103" s="25" t="s">
        <v>36</v>
      </c>
      <c r="C103" s="25" t="s">
        <v>252</v>
      </c>
      <c r="D103" s="25" t="s">
        <v>257</v>
      </c>
      <c r="E103" s="25" t="s">
        <v>270</v>
      </c>
      <c r="F103" s="25" t="s">
        <v>255</v>
      </c>
      <c r="G103" s="25" t="s">
        <v>271</v>
      </c>
      <c r="H103" s="26">
        <v>76.251288711039479</v>
      </c>
      <c r="I103" s="26">
        <v>0</v>
      </c>
      <c r="J103" s="27">
        <v>76.251288711039479</v>
      </c>
      <c r="K103" s="26">
        <v>12.415400648820016</v>
      </c>
      <c r="L103" s="26">
        <v>14.816903317840016</v>
      </c>
      <c r="M103" s="27">
        <v>27.232303966660034</v>
      </c>
      <c r="N103" s="26">
        <v>7.6258627702599586</v>
      </c>
      <c r="O103" s="26">
        <v>61.851753088090078</v>
      </c>
      <c r="P103" s="26">
        <v>9.295101415530068</v>
      </c>
      <c r="Q103" s="26">
        <v>11.042866848020077</v>
      </c>
      <c r="R103" s="26">
        <v>22.204642240790005</v>
      </c>
      <c r="S103" s="26">
        <v>26.287644905500027</v>
      </c>
      <c r="T103" s="26">
        <v>46.891646468180099</v>
      </c>
      <c r="U103" s="26">
        <v>6.5262956243699728</v>
      </c>
      <c r="V103" s="27">
        <v>191.72581336074026</v>
      </c>
      <c r="W103" s="27">
        <v>295.20940603844048</v>
      </c>
      <c r="X103" s="26">
        <v>29.669113530322058</v>
      </c>
      <c r="Y103" s="28">
        <v>324.87851956876227</v>
      </c>
      <c r="Z103" s="17" t="str">
        <f>SUBSTITUTE(SUBSTITUTE(SUBSTITUTE(SUBSTITUTE(IF(E103="","",VLOOKUP(E103,[1]Esquemas_NORM!$A$2:$H$126,8,FALSE)),"PROVINCIA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03" s="17" t="str">
        <f>IF($E103="","",INDEX([1]Esquemas_NORM!$H$2:$K$126,MATCH($E103,[1]Esquemas_NORM!$A$2:$A$126,0),MATCH(AA$4,[1]Esquemas_NORM!$H$1:$K$1,0)))</f>
        <v>A la fecha no ha conformado un EAT Región</v>
      </c>
      <c r="AB103" s="17" t="str">
        <f>IF($E103="","",INDEX([1]Esquemas_NORM!$H$2:$K$126,MATCH($E103,[1]Esquemas_NORM!$A$2:$A$126,0),MATCH(AB$4,[1]Esquemas_NORM!$H$1:$K$1,0)))</f>
        <v>A la fecha no ha conformado un EAT Área Metropolitana</v>
      </c>
      <c r="AC103" s="17" t="str">
        <f>IF($E103="","",INDEX([1]Esquemas_NORM!$H$2:$K$126,MATCH($E103,[1]Esquemas_NORM!$A$2:$A$126,0),MATCH(AC$4,[1]Esquemas_NORM!$H$1:$K$1,0)))</f>
        <v>A la fecha no ha conformado un EAT asociación - unión</v>
      </c>
      <c r="AD103" s="23"/>
    </row>
    <row r="104" spans="1:30" x14ac:dyDescent="0.25">
      <c r="A104" s="24">
        <v>2015</v>
      </c>
      <c r="B104" s="25" t="s">
        <v>36</v>
      </c>
      <c r="C104" s="25" t="s">
        <v>252</v>
      </c>
      <c r="D104" s="25" t="s">
        <v>264</v>
      </c>
      <c r="E104" s="25" t="s">
        <v>272</v>
      </c>
      <c r="F104" s="25" t="s">
        <v>255</v>
      </c>
      <c r="G104" s="25" t="s">
        <v>273</v>
      </c>
      <c r="H104" s="26">
        <v>72.268878711629498</v>
      </c>
      <c r="I104" s="26">
        <v>0</v>
      </c>
      <c r="J104" s="27">
        <v>72.268878711629498</v>
      </c>
      <c r="K104" s="26">
        <v>11.018402984480012</v>
      </c>
      <c r="L104" s="26">
        <v>9.1215735012000092</v>
      </c>
      <c r="M104" s="27">
        <v>20.139976485680023</v>
      </c>
      <c r="N104" s="26">
        <v>6.4186539099499642</v>
      </c>
      <c r="O104" s="26">
        <v>28.788155771430038</v>
      </c>
      <c r="P104" s="26">
        <v>7.2873155412800514</v>
      </c>
      <c r="Q104" s="26">
        <v>6.5403089281500462</v>
      </c>
      <c r="R104" s="26">
        <v>15.718994490210003</v>
      </c>
      <c r="S104" s="26">
        <v>18.81986112356002</v>
      </c>
      <c r="T104" s="26">
        <v>33.353571780570071</v>
      </c>
      <c r="U104" s="26">
        <v>5.9876097318499752</v>
      </c>
      <c r="V104" s="27">
        <v>122.91447127700016</v>
      </c>
      <c r="W104" s="27">
        <v>215.32332647431028</v>
      </c>
      <c r="X104" s="26">
        <v>21.640408768214517</v>
      </c>
      <c r="Y104" s="28">
        <v>236.96373524252465</v>
      </c>
      <c r="Z104" s="17" t="str">
        <f>SUBSTITUTE(SUBSTITUTE(SUBSTITUTE(SUBSTITUTE(IF(E104="","",VLOOKUP(E104,[1]Esquemas_NORM!$A$2:$H$126,8,FALSE)),"PROVINCIA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04" s="17" t="str">
        <f>IF($E104="","",INDEX([1]Esquemas_NORM!$H$2:$K$126,MATCH($E104,[1]Esquemas_NORM!$A$2:$A$126,0),MATCH(AA$4,[1]Esquemas_NORM!$H$1:$K$1,0)))</f>
        <v>A la fecha no ha conformado un EAT Región</v>
      </c>
      <c r="AB104" s="17" t="str">
        <f>IF($E104="","",INDEX([1]Esquemas_NORM!$H$2:$K$126,MATCH($E104,[1]Esquemas_NORM!$A$2:$A$126,0),MATCH(AB$4,[1]Esquemas_NORM!$H$1:$K$1,0)))</f>
        <v>A la fecha no ha conformado un EAT Área Metropolitana</v>
      </c>
      <c r="AC104" s="17" t="str">
        <f>IF($E104="","",INDEX([1]Esquemas_NORM!$H$2:$K$126,MATCH($E104,[1]Esquemas_NORM!$A$2:$A$126,0),MATCH(AC$4,[1]Esquemas_NORM!$H$1:$K$1,0)))</f>
        <v>A la fecha no ha conformado un EAT asociación - unión</v>
      </c>
      <c r="AD104" s="23"/>
    </row>
    <row r="105" spans="1:30" x14ac:dyDescent="0.25">
      <c r="A105" s="24">
        <v>2015</v>
      </c>
      <c r="B105" s="25" t="s">
        <v>36</v>
      </c>
      <c r="C105" s="25" t="s">
        <v>252</v>
      </c>
      <c r="D105" s="25" t="s">
        <v>253</v>
      </c>
      <c r="E105" s="25" t="s">
        <v>274</v>
      </c>
      <c r="F105" s="25" t="s">
        <v>255</v>
      </c>
      <c r="G105" s="25" t="s">
        <v>275</v>
      </c>
      <c r="H105" s="26">
        <v>86.948645813539414</v>
      </c>
      <c r="I105" s="26">
        <v>1.4574021574900069</v>
      </c>
      <c r="J105" s="27">
        <v>88.406047971029423</v>
      </c>
      <c r="K105" s="26">
        <v>8.5218112446400109</v>
      </c>
      <c r="L105" s="26">
        <v>16.013172680570019</v>
      </c>
      <c r="M105" s="27">
        <v>24.534983925210028</v>
      </c>
      <c r="N105" s="26">
        <v>8.6283553571499514</v>
      </c>
      <c r="O105" s="26">
        <v>42.147323265410058</v>
      </c>
      <c r="P105" s="26">
        <v>9.1303295145200636</v>
      </c>
      <c r="Q105" s="26">
        <v>7.8623833377200549</v>
      </c>
      <c r="R105" s="26">
        <v>23.651336095070004</v>
      </c>
      <c r="S105" s="26">
        <v>25.124121036950026</v>
      </c>
      <c r="T105" s="26">
        <v>37.692747881740075</v>
      </c>
      <c r="U105" s="26">
        <v>8.5625664797699645</v>
      </c>
      <c r="V105" s="27">
        <v>162.79916296833019</v>
      </c>
      <c r="W105" s="27">
        <v>275.74019486457036</v>
      </c>
      <c r="X105" s="26">
        <v>27.71242033272156</v>
      </c>
      <c r="Y105" s="28">
        <v>303.45261519729172</v>
      </c>
      <c r="Z105" s="17" t="str">
        <f>SUBSTITUTE(SUBSTITUTE(SUBSTITUTE(SUBSTITUTE(IF(E105="","",VLOOKUP(E105,[1]Esquemas_NORM!$A$2:$H$126,8,FALSE)),"PROVINCIA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05" s="17" t="str">
        <f>IF($E105="","",INDEX([1]Esquemas_NORM!$H$2:$K$126,MATCH($E105,[1]Esquemas_NORM!$A$2:$A$126,0),MATCH(AA$4,[1]Esquemas_NORM!$H$1:$K$1,0)))</f>
        <v>A la fecha no ha conformado un EAT Región</v>
      </c>
      <c r="AB105" s="17" t="str">
        <f>IF($E105="","",INDEX([1]Esquemas_NORM!$H$2:$K$126,MATCH($E105,[1]Esquemas_NORM!$A$2:$A$126,0),MATCH(AB$4,[1]Esquemas_NORM!$H$1:$K$1,0)))</f>
        <v>A la fecha no ha conformado un EAT Área Metropolitana</v>
      </c>
      <c r="AC105" s="17" t="str">
        <f>IF($E105="","",INDEX([1]Esquemas_NORM!$H$2:$K$126,MATCH($E105,[1]Esquemas_NORM!$A$2:$A$126,0),MATCH(AC$4,[1]Esquemas_NORM!$H$1:$K$1,0)))</f>
        <v>A la fecha no ha conformado un EAT asociación - unión</v>
      </c>
      <c r="AD105" s="23"/>
    </row>
    <row r="106" spans="1:30" x14ac:dyDescent="0.25">
      <c r="A106" s="24">
        <v>2015</v>
      </c>
      <c r="B106" s="25" t="s">
        <v>36</v>
      </c>
      <c r="C106" s="25" t="s">
        <v>252</v>
      </c>
      <c r="D106" s="25" t="s">
        <v>257</v>
      </c>
      <c r="E106" s="25" t="s">
        <v>276</v>
      </c>
      <c r="F106" s="25" t="s">
        <v>255</v>
      </c>
      <c r="G106" s="25" t="s">
        <v>277</v>
      </c>
      <c r="H106" s="26">
        <v>16.813549402219888</v>
      </c>
      <c r="I106" s="26">
        <v>0</v>
      </c>
      <c r="J106" s="27">
        <v>16.813549402219888</v>
      </c>
      <c r="K106" s="26">
        <v>4.2971690001000056</v>
      </c>
      <c r="L106" s="26">
        <v>4.9917934280300056</v>
      </c>
      <c r="M106" s="27">
        <v>9.2889624281300112</v>
      </c>
      <c r="N106" s="26">
        <v>4.1240448051599765</v>
      </c>
      <c r="O106" s="26">
        <v>21.370375195830029</v>
      </c>
      <c r="P106" s="26">
        <v>3.4581038803500244</v>
      </c>
      <c r="Q106" s="26">
        <v>2.3304014378300164</v>
      </c>
      <c r="R106" s="26">
        <v>10.418068585240002</v>
      </c>
      <c r="S106" s="26">
        <v>12.531781033570015</v>
      </c>
      <c r="T106" s="26">
        <v>18.418710040050037</v>
      </c>
      <c r="U106" s="26">
        <v>2.9264499007799873</v>
      </c>
      <c r="V106" s="27">
        <v>75.577934878810083</v>
      </c>
      <c r="W106" s="27">
        <v>101.68044670916017</v>
      </c>
      <c r="X106" s="26">
        <v>10.219080610304285</v>
      </c>
      <c r="Y106" s="28">
        <v>111.89952731946437</v>
      </c>
      <c r="Z106" s="17" t="str">
        <f>SUBSTITUTE(SUBSTITUTE(SUBSTITUTE(SUBSTITUTE(IF(E106="","",VLOOKUP(E106,[1]Esquemas_NORM!$A$2:$H$126,8,FALSE)),"PROVINCIA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06" s="17" t="str">
        <f>IF($E106="","",INDEX([1]Esquemas_NORM!$H$2:$K$126,MATCH($E106,[1]Esquemas_NORM!$A$2:$A$126,0),MATCH(AA$4,[1]Esquemas_NORM!$H$1:$K$1,0)))</f>
        <v>A la fecha no ha conformado un EAT Región</v>
      </c>
      <c r="AB106" s="17" t="str">
        <f>IF($E106="","",INDEX([1]Esquemas_NORM!$H$2:$K$126,MATCH($E106,[1]Esquemas_NORM!$A$2:$A$126,0),MATCH(AB$4,[1]Esquemas_NORM!$H$1:$K$1,0)))</f>
        <v>A la fecha no ha conformado un EAT Área Metropolitana</v>
      </c>
      <c r="AC106" s="17" t="str">
        <f>IF($E106="","",INDEX([1]Esquemas_NORM!$H$2:$K$126,MATCH($E106,[1]Esquemas_NORM!$A$2:$A$126,0),MATCH(AC$4,[1]Esquemas_NORM!$H$1:$K$1,0)))</f>
        <v>A la fecha no ha conformado un EAT asociación - unión</v>
      </c>
      <c r="AD106" s="23"/>
    </row>
    <row r="107" spans="1:30" x14ac:dyDescent="0.25">
      <c r="A107" s="24">
        <v>2015</v>
      </c>
      <c r="B107" s="25" t="s">
        <v>36</v>
      </c>
      <c r="C107" s="25" t="s">
        <v>252</v>
      </c>
      <c r="D107" s="25" t="s">
        <v>257</v>
      </c>
      <c r="E107" s="25" t="s">
        <v>278</v>
      </c>
      <c r="F107" s="25" t="s">
        <v>255</v>
      </c>
      <c r="G107" s="25" t="s">
        <v>279</v>
      </c>
      <c r="H107" s="26">
        <v>42.825485450439707</v>
      </c>
      <c r="I107" s="26">
        <v>3.5733845681700167</v>
      </c>
      <c r="J107" s="27">
        <v>46.398870018609728</v>
      </c>
      <c r="K107" s="26">
        <v>6.4286244636500083</v>
      </c>
      <c r="L107" s="26">
        <v>9.1877054703200098</v>
      </c>
      <c r="M107" s="27">
        <v>15.616329933970018</v>
      </c>
      <c r="N107" s="26">
        <v>4.0996114017999767</v>
      </c>
      <c r="O107" s="26">
        <v>28.237529146520039</v>
      </c>
      <c r="P107" s="26">
        <v>5.0727852270000353</v>
      </c>
      <c r="Q107" s="26">
        <v>4.4366871297300312</v>
      </c>
      <c r="R107" s="26">
        <v>15.862079289450001</v>
      </c>
      <c r="S107" s="26">
        <v>14.022596795480014</v>
      </c>
      <c r="T107" s="26">
        <v>24.43771064357005</v>
      </c>
      <c r="U107" s="26">
        <v>3.5513731550599847</v>
      </c>
      <c r="V107" s="27">
        <v>99.720372788610149</v>
      </c>
      <c r="W107" s="27">
        <v>161.73557274119028</v>
      </c>
      <c r="X107" s="26">
        <v>16.254736371526672</v>
      </c>
      <c r="Y107" s="28">
        <v>177.9903091127168</v>
      </c>
      <c r="Z107" s="17" t="str">
        <f>SUBSTITUTE(SUBSTITUTE(SUBSTITUTE(SUBSTITUTE(IF(E107="","",VLOOKUP(E107,[1]Esquemas_NORM!$A$2:$H$126,8,FALSE)),"PROVINCIA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07" s="17" t="str">
        <f>IF($E107="","",INDEX([1]Esquemas_NORM!$H$2:$K$126,MATCH($E107,[1]Esquemas_NORM!$A$2:$A$126,0),MATCH(AA$4,[1]Esquemas_NORM!$H$1:$K$1,0)))</f>
        <v>A la fecha no ha conformado un EAT Región</v>
      </c>
      <c r="AB107" s="17" t="str">
        <f>IF($E107="","",INDEX([1]Esquemas_NORM!$H$2:$K$126,MATCH($E107,[1]Esquemas_NORM!$A$2:$A$126,0),MATCH(AB$4,[1]Esquemas_NORM!$H$1:$K$1,0)))</f>
        <v>A la fecha no ha conformado un EAT Área Metropolitana</v>
      </c>
      <c r="AC107" s="17" t="str">
        <f>IF($E107="","",INDEX([1]Esquemas_NORM!$H$2:$K$126,MATCH($E107,[1]Esquemas_NORM!$A$2:$A$126,0),MATCH(AC$4,[1]Esquemas_NORM!$H$1:$K$1,0)))</f>
        <v>A la fecha no ha conformado un EAT asociación - unión</v>
      </c>
      <c r="AD107" s="23"/>
    </row>
    <row r="108" spans="1:30" x14ac:dyDescent="0.25">
      <c r="A108" s="24">
        <v>2015</v>
      </c>
      <c r="B108" s="25" t="s">
        <v>36</v>
      </c>
      <c r="C108" s="25" t="s">
        <v>252</v>
      </c>
      <c r="D108" s="25" t="s">
        <v>267</v>
      </c>
      <c r="E108" s="25" t="s">
        <v>280</v>
      </c>
      <c r="F108" s="25" t="s">
        <v>255</v>
      </c>
      <c r="G108" s="25" t="s">
        <v>281</v>
      </c>
      <c r="H108" s="26">
        <v>48.564741333869669</v>
      </c>
      <c r="I108" s="26">
        <v>0</v>
      </c>
      <c r="J108" s="27">
        <v>48.564741333869669</v>
      </c>
      <c r="K108" s="26">
        <v>2.3676750850100032</v>
      </c>
      <c r="L108" s="26">
        <v>11.798536780520012</v>
      </c>
      <c r="M108" s="27">
        <v>14.166211865530014</v>
      </c>
      <c r="N108" s="26">
        <v>16.615389646869907</v>
      </c>
      <c r="O108" s="26">
        <v>21.120481700910027</v>
      </c>
      <c r="P108" s="26">
        <v>4.466504316230032</v>
      </c>
      <c r="Q108" s="26">
        <v>3.2340969384700231</v>
      </c>
      <c r="R108" s="26">
        <v>11.598430613380001</v>
      </c>
      <c r="S108" s="26">
        <v>11.392912079110012</v>
      </c>
      <c r="T108" s="26">
        <v>16.842566041810034</v>
      </c>
      <c r="U108" s="26">
        <v>2.7836909405899886</v>
      </c>
      <c r="V108" s="27">
        <v>88.054072277370025</v>
      </c>
      <c r="W108" s="27">
        <v>150.78502547677024</v>
      </c>
      <c r="X108" s="26">
        <v>15.154185293678097</v>
      </c>
      <c r="Y108" s="28">
        <v>165.93921077044823</v>
      </c>
      <c r="Z108" s="17" t="str">
        <f>SUBSTITUTE(SUBSTITUTE(SUBSTITUTE(SUBSTITUTE(IF(E108="","",VLOOKUP(E108,[1]Esquemas_NORM!$A$2:$H$126,8,FALSE)),"PROVINCIA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08" s="17" t="str">
        <f>IF($E108="","",INDEX([1]Esquemas_NORM!$H$2:$K$126,MATCH($E108,[1]Esquemas_NORM!$A$2:$A$126,0),MATCH(AA$4,[1]Esquemas_NORM!$H$1:$K$1,0)))</f>
        <v>A la fecha no ha conformado un EAT Región</v>
      </c>
      <c r="AB108" s="17" t="str">
        <f>IF($E108="","",INDEX([1]Esquemas_NORM!$H$2:$K$126,MATCH($E108,[1]Esquemas_NORM!$A$2:$A$126,0),MATCH(AB$4,[1]Esquemas_NORM!$H$1:$K$1,0)))</f>
        <v>A la fecha no ha conformado un EAT Área Metropolitana</v>
      </c>
      <c r="AC108" s="17" t="str">
        <f>IF($E108="","",INDEX([1]Esquemas_NORM!$H$2:$K$126,MATCH($E108,[1]Esquemas_NORM!$A$2:$A$126,0),MATCH(AC$4,[1]Esquemas_NORM!$H$1:$K$1,0)))</f>
        <v>A la fecha no ha conformado un EAT asociación - unión</v>
      </c>
      <c r="AD108" s="23"/>
    </row>
    <row r="109" spans="1:30" x14ac:dyDescent="0.25">
      <c r="A109" s="24">
        <v>2015</v>
      </c>
      <c r="B109" s="25" t="s">
        <v>36</v>
      </c>
      <c r="C109" s="25" t="s">
        <v>252</v>
      </c>
      <c r="D109" s="25" t="s">
        <v>267</v>
      </c>
      <c r="E109" s="25" t="s">
        <v>282</v>
      </c>
      <c r="F109" s="25" t="s">
        <v>255</v>
      </c>
      <c r="G109" s="25" t="s">
        <v>283</v>
      </c>
      <c r="H109" s="26">
        <v>10.233840103059931</v>
      </c>
      <c r="I109" s="26">
        <v>1.8004895240000082E-2</v>
      </c>
      <c r="J109" s="27">
        <v>10.251844998299932</v>
      </c>
      <c r="K109" s="26">
        <v>9.8595446633500128</v>
      </c>
      <c r="L109" s="26">
        <v>36.201633005940039</v>
      </c>
      <c r="M109" s="27">
        <v>46.061177669290053</v>
      </c>
      <c r="N109" s="26">
        <v>4.5126284816399753</v>
      </c>
      <c r="O109" s="26">
        <v>34.193545403010049</v>
      </c>
      <c r="P109" s="26">
        <v>2.5365928065700181</v>
      </c>
      <c r="Q109" s="26">
        <v>1.6355173421800118</v>
      </c>
      <c r="R109" s="26">
        <v>6.252715019660001</v>
      </c>
      <c r="S109" s="26">
        <v>10.107180649940011</v>
      </c>
      <c r="T109" s="26">
        <v>11.000708473910024</v>
      </c>
      <c r="U109" s="26">
        <v>2.0198966850999915</v>
      </c>
      <c r="V109" s="27">
        <v>72.258784862010089</v>
      </c>
      <c r="W109" s="27">
        <v>128.57180752960019</v>
      </c>
      <c r="X109" s="26">
        <v>12.921714133651369</v>
      </c>
      <c r="Y109" s="28">
        <v>141.49352166325144</v>
      </c>
      <c r="Z109" s="17" t="str">
        <f>SUBSTITUTE(SUBSTITUTE(SUBSTITUTE(SUBSTITUTE(IF(E109="","",VLOOKUP(E109,[1]Esquemas_NORM!$A$2:$H$126,8,FALSE)),"PROVINCIA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09" s="17" t="str">
        <f>IF($E109="","",INDEX([1]Esquemas_NORM!$H$2:$K$126,MATCH($E109,[1]Esquemas_NORM!$A$2:$A$126,0),MATCH(AA$4,[1]Esquemas_NORM!$H$1:$K$1,0)))</f>
        <v>A la fecha no ha conformado un EAT Región</v>
      </c>
      <c r="AB109" s="17" t="str">
        <f>IF($E109="","",INDEX([1]Esquemas_NORM!$H$2:$K$126,MATCH($E109,[1]Esquemas_NORM!$A$2:$A$126,0),MATCH(AB$4,[1]Esquemas_NORM!$H$1:$K$1,0)))</f>
        <v>A la fecha no ha conformado un EAT Área Metropolitana</v>
      </c>
      <c r="AC109" s="17" t="str">
        <f>IF($E109="","",INDEX([1]Esquemas_NORM!$H$2:$K$126,MATCH($E109,[1]Esquemas_NORM!$A$2:$A$126,0),MATCH(AC$4,[1]Esquemas_NORM!$H$1:$K$1,0)))</f>
        <v>A la fecha no ha conformado un EAT asociación - unión</v>
      </c>
      <c r="AD109" s="23"/>
    </row>
    <row r="110" spans="1:30" x14ac:dyDescent="0.25">
      <c r="A110" s="24">
        <v>2015</v>
      </c>
      <c r="B110" s="25" t="s">
        <v>36</v>
      </c>
      <c r="C110" s="25" t="s">
        <v>252</v>
      </c>
      <c r="D110" s="25" t="s">
        <v>267</v>
      </c>
      <c r="E110" s="25" t="s">
        <v>284</v>
      </c>
      <c r="F110" s="25" t="s">
        <v>255</v>
      </c>
      <c r="G110" s="25" t="s">
        <v>285</v>
      </c>
      <c r="H110" s="26">
        <v>17.239606447879883</v>
      </c>
      <c r="I110" s="26">
        <v>0</v>
      </c>
      <c r="J110" s="27">
        <v>17.239606447879883</v>
      </c>
      <c r="K110" s="26">
        <v>49.434957046540063</v>
      </c>
      <c r="L110" s="26">
        <v>17.211741884530017</v>
      </c>
      <c r="M110" s="27">
        <v>66.646698931070077</v>
      </c>
      <c r="N110" s="26">
        <v>3.0123906103299833</v>
      </c>
      <c r="O110" s="26">
        <v>7.4861646483000106</v>
      </c>
      <c r="P110" s="26">
        <v>2.0028488669800142</v>
      </c>
      <c r="Q110" s="26">
        <v>1.700380448200012</v>
      </c>
      <c r="R110" s="26">
        <v>6.5430777317600022</v>
      </c>
      <c r="S110" s="26">
        <v>11.428577905250012</v>
      </c>
      <c r="T110" s="26">
        <v>13.189199094270027</v>
      </c>
      <c r="U110" s="26">
        <v>2.1415426676099911</v>
      </c>
      <c r="V110" s="27">
        <v>47.504181972700046</v>
      </c>
      <c r="W110" s="27">
        <v>131.39048735165019</v>
      </c>
      <c r="X110" s="26">
        <v>13.204996881202899</v>
      </c>
      <c r="Y110" s="28">
        <v>144.59548423285298</v>
      </c>
      <c r="Z110" s="17" t="str">
        <f>SUBSTITUTE(SUBSTITUTE(SUBSTITUTE(SUBSTITUTE(IF(E110="","",VLOOKUP(E110,[1]Esquemas_NORM!$A$2:$H$126,8,FALSE)),"PROVINCIA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0" s="17" t="str">
        <f>IF($E110="","",INDEX([1]Esquemas_NORM!$H$2:$K$126,MATCH($E110,[1]Esquemas_NORM!$A$2:$A$126,0),MATCH(AA$4,[1]Esquemas_NORM!$H$1:$K$1,0)))</f>
        <v>A la fecha no ha conformado un EAT Región</v>
      </c>
      <c r="AB110" s="17" t="str">
        <f>IF($E110="","",INDEX([1]Esquemas_NORM!$H$2:$K$126,MATCH($E110,[1]Esquemas_NORM!$A$2:$A$126,0),MATCH(AB$4,[1]Esquemas_NORM!$H$1:$K$1,0)))</f>
        <v>A la fecha no ha conformado un EAT Área Metropolitana</v>
      </c>
      <c r="AC110" s="17" t="str">
        <f>IF($E110="","",INDEX([1]Esquemas_NORM!$H$2:$K$126,MATCH($E110,[1]Esquemas_NORM!$A$2:$A$126,0),MATCH(AC$4,[1]Esquemas_NORM!$H$1:$K$1,0)))</f>
        <v>A la fecha no ha conformado un EAT asociación - unión</v>
      </c>
      <c r="AD110" s="23"/>
    </row>
    <row r="111" spans="1:30" x14ac:dyDescent="0.25">
      <c r="A111" s="24">
        <v>2015</v>
      </c>
      <c r="B111" s="25" t="s">
        <v>36</v>
      </c>
      <c r="C111" s="25" t="s">
        <v>252</v>
      </c>
      <c r="D111" s="25" t="s">
        <v>267</v>
      </c>
      <c r="E111" s="25" t="s">
        <v>286</v>
      </c>
      <c r="F111" s="25" t="s">
        <v>255</v>
      </c>
      <c r="G111" s="25" t="s">
        <v>287</v>
      </c>
      <c r="H111" s="26">
        <v>16.437391364589885</v>
      </c>
      <c r="I111" s="26">
        <v>0</v>
      </c>
      <c r="J111" s="27">
        <v>16.437391364589885</v>
      </c>
      <c r="K111" s="26">
        <v>1.8610771452600023</v>
      </c>
      <c r="L111" s="26">
        <v>6.8278149710700067</v>
      </c>
      <c r="M111" s="27">
        <v>8.6888921163300097</v>
      </c>
      <c r="N111" s="26">
        <v>4.6479845634499739</v>
      </c>
      <c r="O111" s="26">
        <v>7.9904678844000117</v>
      </c>
      <c r="P111" s="26">
        <v>3.310891619580024</v>
      </c>
      <c r="Q111" s="26">
        <v>2.4445828187300171</v>
      </c>
      <c r="R111" s="26">
        <v>6.6797431880400016</v>
      </c>
      <c r="S111" s="26">
        <v>7.5325124261000083</v>
      </c>
      <c r="T111" s="26">
        <v>14.83112423619003</v>
      </c>
      <c r="U111" s="26">
        <v>1.7099987877899927</v>
      </c>
      <c r="V111" s="27">
        <v>49.147305524280057</v>
      </c>
      <c r="W111" s="27">
        <v>74.273589005200108</v>
      </c>
      <c r="X111" s="26">
        <v>7.464638657931352</v>
      </c>
      <c r="Y111" s="28">
        <v>81.738227663131397</v>
      </c>
      <c r="Z111" s="17" t="str">
        <f>SUBSTITUTE(SUBSTITUTE(SUBSTITUTE(SUBSTITUTE(IF(E111="","",VLOOKUP(E111,[1]Esquemas_NORM!$A$2:$H$126,8,FALSE)),"PROVINCIA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1" s="17" t="str">
        <f>IF($E111="","",INDEX([1]Esquemas_NORM!$H$2:$K$126,MATCH($E111,[1]Esquemas_NORM!$A$2:$A$126,0),MATCH(AA$4,[1]Esquemas_NORM!$H$1:$K$1,0)))</f>
        <v>A la fecha no ha conformado un EAT Región</v>
      </c>
      <c r="AB111" s="17" t="str">
        <f>IF($E111="","",INDEX([1]Esquemas_NORM!$H$2:$K$126,MATCH($E111,[1]Esquemas_NORM!$A$2:$A$126,0),MATCH(AB$4,[1]Esquemas_NORM!$H$1:$K$1,0)))</f>
        <v>A la fecha no ha conformado un EAT Área Metropolitana</v>
      </c>
      <c r="AC111" s="17" t="str">
        <f>IF($E111="","",INDEX([1]Esquemas_NORM!$H$2:$K$126,MATCH($E111,[1]Esquemas_NORM!$A$2:$A$126,0),MATCH(AC$4,[1]Esquemas_NORM!$H$1:$K$1,0)))</f>
        <v>A la fecha no ha conformado un EAT asociación - unión</v>
      </c>
      <c r="AD111" s="23"/>
    </row>
    <row r="112" spans="1:30" x14ac:dyDescent="0.25">
      <c r="A112" s="24">
        <v>2015</v>
      </c>
      <c r="B112" s="25" t="s">
        <v>36</v>
      </c>
      <c r="C112" s="25" t="s">
        <v>252</v>
      </c>
      <c r="D112" s="25" t="s">
        <v>264</v>
      </c>
      <c r="E112" s="25" t="s">
        <v>288</v>
      </c>
      <c r="F112" s="25" t="s">
        <v>255</v>
      </c>
      <c r="G112" s="25" t="s">
        <v>289</v>
      </c>
      <c r="H112" s="26">
        <v>58.6300330109896</v>
      </c>
      <c r="I112" s="26">
        <v>0.23875270249000111</v>
      </c>
      <c r="J112" s="27">
        <v>58.868785713479603</v>
      </c>
      <c r="K112" s="26">
        <v>3.9701073576400048</v>
      </c>
      <c r="L112" s="26">
        <v>11.16168355534001</v>
      </c>
      <c r="M112" s="27">
        <v>15.131790912980016</v>
      </c>
      <c r="N112" s="26">
        <v>5.5484043979599686</v>
      </c>
      <c r="O112" s="26">
        <v>30.973951763920041</v>
      </c>
      <c r="P112" s="26">
        <v>4.9412025327400357</v>
      </c>
      <c r="Q112" s="26">
        <v>4.29282537717003</v>
      </c>
      <c r="R112" s="26">
        <v>10.537599242000002</v>
      </c>
      <c r="S112" s="26">
        <v>13.607786568920016</v>
      </c>
      <c r="T112" s="26">
        <v>23.389843129620051</v>
      </c>
      <c r="U112" s="26">
        <v>4.6350866908699802</v>
      </c>
      <c r="V112" s="27">
        <v>97.926699703200129</v>
      </c>
      <c r="W112" s="27">
        <v>171.92727632966026</v>
      </c>
      <c r="X112" s="26">
        <v>17.279022199315204</v>
      </c>
      <c r="Y112" s="28">
        <v>189.20629852897531</v>
      </c>
      <c r="Z112" s="17" t="str">
        <f>SUBSTITUTE(SUBSTITUTE(SUBSTITUTE(SUBSTITUTE(IF(E112="","",VLOOKUP(E112,[1]Esquemas_NORM!$A$2:$H$126,8,FALSE)),"PROVINCIA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12" s="17" t="str">
        <f>IF($E112="","",INDEX([1]Esquemas_NORM!$H$2:$K$126,MATCH($E112,[1]Esquemas_NORM!$A$2:$A$126,0),MATCH(AA$4,[1]Esquemas_NORM!$H$1:$K$1,0)))</f>
        <v>A la fecha no ha conformado un EAT Región</v>
      </c>
      <c r="AB112" s="17" t="str">
        <f>IF($E112="","",INDEX([1]Esquemas_NORM!$H$2:$K$126,MATCH($E112,[1]Esquemas_NORM!$A$2:$A$126,0),MATCH(AB$4,[1]Esquemas_NORM!$H$1:$K$1,0)))</f>
        <v>A la fecha no ha conformado un EAT Área Metropolitana</v>
      </c>
      <c r="AC112" s="17" t="str">
        <f>IF($E112="","",INDEX([1]Esquemas_NORM!$H$2:$K$126,MATCH($E112,[1]Esquemas_NORM!$A$2:$A$126,0),MATCH(AC$4,[1]Esquemas_NORM!$H$1:$K$1,0)))</f>
        <v>A la fecha no ha conformado un EAT asociación - unión</v>
      </c>
      <c r="AD112" s="23"/>
    </row>
    <row r="113" spans="1:30" x14ac:dyDescent="0.25">
      <c r="A113" s="24">
        <v>2015</v>
      </c>
      <c r="B113" s="25" t="s">
        <v>36</v>
      </c>
      <c r="C113" s="25" t="s">
        <v>252</v>
      </c>
      <c r="D113" s="25" t="s">
        <v>267</v>
      </c>
      <c r="E113" s="25" t="s">
        <v>290</v>
      </c>
      <c r="F113" s="25" t="s">
        <v>255</v>
      </c>
      <c r="G113" s="25" t="s">
        <v>291</v>
      </c>
      <c r="H113" s="26">
        <v>71.431587744119511</v>
      </c>
      <c r="I113" s="26">
        <v>0</v>
      </c>
      <c r="J113" s="27">
        <v>71.431587744119511</v>
      </c>
      <c r="K113" s="26">
        <v>11.591683965010015</v>
      </c>
      <c r="L113" s="26">
        <v>11.384882661980013</v>
      </c>
      <c r="M113" s="27">
        <v>22.976566626990028</v>
      </c>
      <c r="N113" s="26">
        <v>5.8254262354199682</v>
      </c>
      <c r="O113" s="26">
        <v>38.789658172770046</v>
      </c>
      <c r="P113" s="26">
        <v>9.1407335412200652</v>
      </c>
      <c r="Q113" s="26">
        <v>7.7837496557100554</v>
      </c>
      <c r="R113" s="26">
        <v>28.585533269550005</v>
      </c>
      <c r="S113" s="26">
        <v>21.74621910241002</v>
      </c>
      <c r="T113" s="26">
        <v>36.806784343680079</v>
      </c>
      <c r="U113" s="26">
        <v>7.898115934499967</v>
      </c>
      <c r="V113" s="27">
        <v>156.57622025526021</v>
      </c>
      <c r="W113" s="27">
        <v>250.98437462637037</v>
      </c>
      <c r="X113" s="26">
        <v>25.22441274841022</v>
      </c>
      <c r="Y113" s="28">
        <v>276.20878737478034</v>
      </c>
      <c r="Z113" s="17" t="str">
        <f>SUBSTITUTE(SUBSTITUTE(SUBSTITUTE(SUBSTITUTE(IF(E113="","",VLOOKUP(E113,[1]Esquemas_NORM!$A$2:$H$126,8,FALSE)),"PROVINCIA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3" s="17" t="str">
        <f>IF($E113="","",INDEX([1]Esquemas_NORM!$H$2:$K$126,MATCH($E113,[1]Esquemas_NORM!$A$2:$A$126,0),MATCH(AA$4,[1]Esquemas_NORM!$H$1:$K$1,0)))</f>
        <v>A la fecha no ha conformado un EAT Región</v>
      </c>
      <c r="AB113" s="17" t="str">
        <f>IF($E113="","",INDEX([1]Esquemas_NORM!$H$2:$K$126,MATCH($E113,[1]Esquemas_NORM!$A$2:$A$126,0),MATCH(AB$4,[1]Esquemas_NORM!$H$1:$K$1,0)))</f>
        <v>A la fecha no ha conformado un EAT Área Metropolitana</v>
      </c>
      <c r="AC113" s="17" t="str">
        <f>IF($E113="","",INDEX([1]Esquemas_NORM!$H$2:$K$126,MATCH($E113,[1]Esquemas_NORM!$A$2:$A$126,0),MATCH(AC$4,[1]Esquemas_NORM!$H$1:$K$1,0)))</f>
        <v>A la fecha no ha conformado un EAT asociación - unión</v>
      </c>
      <c r="AD113" s="23"/>
    </row>
    <row r="114" spans="1:30" x14ac:dyDescent="0.25">
      <c r="A114" s="24">
        <v>2015</v>
      </c>
      <c r="B114" s="25" t="s">
        <v>36</v>
      </c>
      <c r="C114" s="25" t="s">
        <v>252</v>
      </c>
      <c r="D114" s="25" t="s">
        <v>267</v>
      </c>
      <c r="E114" s="25" t="s">
        <v>292</v>
      </c>
      <c r="F114" s="25" t="s">
        <v>255</v>
      </c>
      <c r="G114" s="25" t="s">
        <v>293</v>
      </c>
      <c r="H114" s="26">
        <v>53.990244015119636</v>
      </c>
      <c r="I114" s="26">
        <v>0.38638468864000175</v>
      </c>
      <c r="J114" s="27">
        <v>54.376628703759636</v>
      </c>
      <c r="K114" s="26">
        <v>4.663367393660006</v>
      </c>
      <c r="L114" s="26">
        <v>11.999995794900013</v>
      </c>
      <c r="M114" s="27">
        <v>16.66336318856002</v>
      </c>
      <c r="N114" s="26">
        <v>6.1393795683199661</v>
      </c>
      <c r="O114" s="26">
        <v>22.618116910480033</v>
      </c>
      <c r="P114" s="26">
        <v>6.1039844223800435</v>
      </c>
      <c r="Q114" s="26">
        <v>5.0526964115400359</v>
      </c>
      <c r="R114" s="26">
        <v>15.252478213250004</v>
      </c>
      <c r="S114" s="26">
        <v>15.508132930960018</v>
      </c>
      <c r="T114" s="26">
        <v>28.987747324860056</v>
      </c>
      <c r="U114" s="26">
        <v>4.6766133874799802</v>
      </c>
      <c r="V114" s="27">
        <v>104.33914916927013</v>
      </c>
      <c r="W114" s="27">
        <v>175.37914106159025</v>
      </c>
      <c r="X114" s="26">
        <v>17.625941249071968</v>
      </c>
      <c r="Y114" s="28">
        <v>193.00508231066209</v>
      </c>
      <c r="Z114" s="17" t="str">
        <f>SUBSTITUTE(SUBSTITUTE(SUBSTITUTE(SUBSTITUTE(IF(E114="","",VLOOKUP(E114,[1]Esquemas_NORM!$A$2:$H$126,8,FALSE)),"PROVINCIA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4" s="17" t="str">
        <f>IF($E114="","",INDEX([1]Esquemas_NORM!$H$2:$K$126,MATCH($E114,[1]Esquemas_NORM!$A$2:$A$126,0),MATCH(AA$4,[1]Esquemas_NORM!$H$1:$K$1,0)))</f>
        <v>A la fecha no ha conformado un EAT Región</v>
      </c>
      <c r="AB114" s="17" t="str">
        <f>IF($E114="","",INDEX([1]Esquemas_NORM!$H$2:$K$126,MATCH($E114,[1]Esquemas_NORM!$A$2:$A$126,0),MATCH(AB$4,[1]Esquemas_NORM!$H$1:$K$1,0)))</f>
        <v>A la fecha no ha conformado un EAT Área Metropolitana</v>
      </c>
      <c r="AC114" s="17" t="str">
        <f>IF($E114="","",INDEX([1]Esquemas_NORM!$H$2:$K$126,MATCH($E114,[1]Esquemas_NORM!$A$2:$A$126,0),MATCH(AC$4,[1]Esquemas_NORM!$H$1:$K$1,0)))</f>
        <v>A la fecha no ha conformado un EAT asociación - unión</v>
      </c>
      <c r="AD114" s="23"/>
    </row>
    <row r="115" spans="1:30" x14ac:dyDescent="0.25">
      <c r="A115" s="24">
        <v>2015</v>
      </c>
      <c r="B115" s="25" t="s">
        <v>36</v>
      </c>
      <c r="C115" s="25" t="s">
        <v>252</v>
      </c>
      <c r="D115" s="25" t="s">
        <v>267</v>
      </c>
      <c r="E115" s="25" t="s">
        <v>294</v>
      </c>
      <c r="F115" s="25" t="s">
        <v>255</v>
      </c>
      <c r="G115" s="25" t="s">
        <v>295</v>
      </c>
      <c r="H115" s="26">
        <v>29.280536336269805</v>
      </c>
      <c r="I115" s="26">
        <v>0</v>
      </c>
      <c r="J115" s="27">
        <v>29.280536336269805</v>
      </c>
      <c r="K115" s="26">
        <v>1.4318372055500017</v>
      </c>
      <c r="L115" s="26">
        <v>5.8152066296100058</v>
      </c>
      <c r="M115" s="27">
        <v>7.2470438351600075</v>
      </c>
      <c r="N115" s="26">
        <v>2.2878376062899872</v>
      </c>
      <c r="O115" s="26">
        <v>12.677420248110016</v>
      </c>
      <c r="P115" s="26">
        <v>2.0202586700900147</v>
      </c>
      <c r="Q115" s="26">
        <v>1.9230341472200136</v>
      </c>
      <c r="R115" s="26">
        <v>5.4553112564500008</v>
      </c>
      <c r="S115" s="26">
        <v>7.3206691900000074</v>
      </c>
      <c r="T115" s="26">
        <v>12.607966121950026</v>
      </c>
      <c r="U115" s="26">
        <v>1.722776869599993</v>
      </c>
      <c r="V115" s="27">
        <v>46.015274109710056</v>
      </c>
      <c r="W115" s="27">
        <v>82.542854281140123</v>
      </c>
      <c r="X115" s="26">
        <v>8.2957157349695034</v>
      </c>
      <c r="Y115" s="28">
        <v>90.838570016109557</v>
      </c>
      <c r="Z115" s="17" t="str">
        <f>SUBSTITUTE(SUBSTITUTE(SUBSTITUTE(SUBSTITUTE(IF(E115="","",VLOOKUP(E115,[1]Esquemas_NORM!$A$2:$H$126,8,FALSE)),"PROVINCIA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5" s="17" t="str">
        <f>IF($E115="","",INDEX([1]Esquemas_NORM!$H$2:$K$126,MATCH($E115,[1]Esquemas_NORM!$A$2:$A$126,0),MATCH(AA$4,[1]Esquemas_NORM!$H$1:$K$1,0)))</f>
        <v>A la fecha no ha conformado un EAT Región</v>
      </c>
      <c r="AB115" s="17" t="str">
        <f>IF($E115="","",INDEX([1]Esquemas_NORM!$H$2:$K$126,MATCH($E115,[1]Esquemas_NORM!$A$2:$A$126,0),MATCH(AB$4,[1]Esquemas_NORM!$H$1:$K$1,0)))</f>
        <v>A la fecha no ha conformado un EAT Área Metropolitana</v>
      </c>
      <c r="AC115" s="17" t="str">
        <f>IF($E115="","",INDEX([1]Esquemas_NORM!$H$2:$K$126,MATCH($E115,[1]Esquemas_NORM!$A$2:$A$126,0),MATCH(AC$4,[1]Esquemas_NORM!$H$1:$K$1,0)))</f>
        <v>A la fecha no ha conformado un EAT asociación - unión</v>
      </c>
      <c r="AD115" s="23"/>
    </row>
    <row r="116" spans="1:30" x14ac:dyDescent="0.25">
      <c r="A116" s="24">
        <v>2015</v>
      </c>
      <c r="B116" s="25" t="s">
        <v>36</v>
      </c>
      <c r="C116" s="25" t="s">
        <v>252</v>
      </c>
      <c r="D116" s="25" t="s">
        <v>253</v>
      </c>
      <c r="E116" s="25" t="s">
        <v>296</v>
      </c>
      <c r="F116" s="25" t="s">
        <v>255</v>
      </c>
      <c r="G116" s="25" t="s">
        <v>297</v>
      </c>
      <c r="H116" s="26">
        <v>19.664816001209864</v>
      </c>
      <c r="I116" s="26">
        <v>1.8651182307200089</v>
      </c>
      <c r="J116" s="27">
        <v>21.529934231929872</v>
      </c>
      <c r="K116" s="26">
        <v>3.3429094550600045</v>
      </c>
      <c r="L116" s="26">
        <v>4.9169876296300057</v>
      </c>
      <c r="M116" s="27">
        <v>8.2598970846900102</v>
      </c>
      <c r="N116" s="26">
        <v>3.7453439615199793</v>
      </c>
      <c r="O116" s="26">
        <v>19.943589005790024</v>
      </c>
      <c r="P116" s="26">
        <v>2.9657494894700211</v>
      </c>
      <c r="Q116" s="26">
        <v>2.0730605978700147</v>
      </c>
      <c r="R116" s="26">
        <v>8.136988853310001</v>
      </c>
      <c r="S116" s="26">
        <v>9.3896470923600113</v>
      </c>
      <c r="T116" s="26">
        <v>16.218001824160034</v>
      </c>
      <c r="U116" s="26">
        <v>2.9781648587599876</v>
      </c>
      <c r="V116" s="27">
        <v>65.450545683240065</v>
      </c>
      <c r="W116" s="27">
        <v>95.240376999860132</v>
      </c>
      <c r="X116" s="26">
        <v>9.5718412085801141</v>
      </c>
      <c r="Y116" s="28">
        <v>104.81221820844017</v>
      </c>
      <c r="Z116" s="17" t="str">
        <f>SUBSTITUTE(SUBSTITUTE(SUBSTITUTE(SUBSTITUTE(IF(E116="","",VLOOKUP(E116,[1]Esquemas_NORM!$A$2:$H$126,8,FALSE)),"PROVINCIA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6" s="17" t="str">
        <f>IF($E116="","",INDEX([1]Esquemas_NORM!$H$2:$K$126,MATCH($E116,[1]Esquemas_NORM!$A$2:$A$126,0),MATCH(AA$4,[1]Esquemas_NORM!$H$1:$K$1,0)))</f>
        <v>A la fecha no ha conformado un EAT Región</v>
      </c>
      <c r="AB116" s="17" t="str">
        <f>IF($E116="","",INDEX([1]Esquemas_NORM!$H$2:$K$126,MATCH($E116,[1]Esquemas_NORM!$A$2:$A$126,0),MATCH(AB$4,[1]Esquemas_NORM!$H$1:$K$1,0)))</f>
        <v>A la fecha no ha conformado un EAT Área Metropolitana</v>
      </c>
      <c r="AC116" s="17" t="str">
        <f>IF($E116="","",INDEX([1]Esquemas_NORM!$H$2:$K$126,MATCH($E116,[1]Esquemas_NORM!$A$2:$A$126,0),MATCH(AC$4,[1]Esquemas_NORM!$H$1:$K$1,0)))</f>
        <v>A la fecha no ha conformado un EAT asociación - unión</v>
      </c>
      <c r="AD116" s="23"/>
    </row>
    <row r="117" spans="1:30" x14ac:dyDescent="0.25">
      <c r="A117" s="24">
        <v>2015</v>
      </c>
      <c r="B117" s="25" t="s">
        <v>36</v>
      </c>
      <c r="C117" s="25" t="s">
        <v>252</v>
      </c>
      <c r="D117" s="25" t="s">
        <v>264</v>
      </c>
      <c r="E117" s="25" t="s">
        <v>298</v>
      </c>
      <c r="F117" s="25" t="s">
        <v>255</v>
      </c>
      <c r="G117" s="25" t="s">
        <v>299</v>
      </c>
      <c r="H117" s="26">
        <v>123.69398801153916</v>
      </c>
      <c r="I117" s="26">
        <v>5.6090796483200256</v>
      </c>
      <c r="J117" s="27">
        <v>129.30306765985918</v>
      </c>
      <c r="K117" s="26">
        <v>23.145633538300032</v>
      </c>
      <c r="L117" s="26">
        <v>14.014186673420015</v>
      </c>
      <c r="M117" s="27">
        <v>37.159820211720046</v>
      </c>
      <c r="N117" s="26">
        <v>9.3351269376499477</v>
      </c>
      <c r="O117" s="26">
        <v>39.39466755990005</v>
      </c>
      <c r="P117" s="26">
        <v>9.8272352915600685</v>
      </c>
      <c r="Q117" s="26">
        <v>9.5517270648000672</v>
      </c>
      <c r="R117" s="26">
        <v>20.505864122950005</v>
      </c>
      <c r="S117" s="26">
        <v>28.425884137990028</v>
      </c>
      <c r="T117" s="26">
        <v>53.152280074360114</v>
      </c>
      <c r="U117" s="26">
        <v>8.3564315709899653</v>
      </c>
      <c r="V117" s="27">
        <v>178.54921676020024</v>
      </c>
      <c r="W117" s="27">
        <v>345.01210463178052</v>
      </c>
      <c r="X117" s="26">
        <v>34.674380599929044</v>
      </c>
      <c r="Y117" s="28">
        <v>379.68648523170924</v>
      </c>
      <c r="Z117" s="17" t="str">
        <f>SUBSTITUTE(SUBSTITUTE(SUBSTITUTE(SUBSTITUTE(IF(E117="","",VLOOKUP(E117,[1]Esquemas_NORM!$A$2:$H$126,8,FALSE)),"PROVINCIA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7" s="17" t="str">
        <f>IF($E117="","",INDEX([1]Esquemas_NORM!$H$2:$K$126,MATCH($E117,[1]Esquemas_NORM!$A$2:$A$126,0),MATCH(AA$4,[1]Esquemas_NORM!$H$1:$K$1,0)))</f>
        <v>A la fecha no ha conformado un EAT Región</v>
      </c>
      <c r="AB117" s="17" t="str">
        <f>IF($E117="","",INDEX([1]Esquemas_NORM!$H$2:$K$126,MATCH($E117,[1]Esquemas_NORM!$A$2:$A$126,0),MATCH(AB$4,[1]Esquemas_NORM!$H$1:$K$1,0)))</f>
        <v>A la fecha no ha conformado un EAT Área Metropolitana</v>
      </c>
      <c r="AC117" s="17" t="str">
        <f>IF($E117="","",INDEX([1]Esquemas_NORM!$H$2:$K$126,MATCH($E117,[1]Esquemas_NORM!$A$2:$A$126,0),MATCH(AC$4,[1]Esquemas_NORM!$H$1:$K$1,0)))</f>
        <v>A la fecha no ha conformado un EAT asociación - unión</v>
      </c>
      <c r="AD117" s="23"/>
    </row>
    <row r="118" spans="1:30" x14ac:dyDescent="0.25">
      <c r="A118" s="24">
        <v>2015</v>
      </c>
      <c r="B118" s="25" t="s">
        <v>36</v>
      </c>
      <c r="C118" s="25" t="s">
        <v>252</v>
      </c>
      <c r="D118" s="25" t="s">
        <v>267</v>
      </c>
      <c r="E118" s="25" t="s">
        <v>300</v>
      </c>
      <c r="F118" s="25" t="s">
        <v>255</v>
      </c>
      <c r="G118" s="25" t="s">
        <v>301</v>
      </c>
      <c r="H118" s="26">
        <v>22.929105761899844</v>
      </c>
      <c r="I118" s="26">
        <v>0.74841275506000349</v>
      </c>
      <c r="J118" s="27">
        <v>23.677518516959847</v>
      </c>
      <c r="K118" s="26">
        <v>1.6883826530000019</v>
      </c>
      <c r="L118" s="26">
        <v>4.7799492770500054</v>
      </c>
      <c r="M118" s="27">
        <v>6.4683319300500077</v>
      </c>
      <c r="N118" s="26">
        <v>1.7836280567699903</v>
      </c>
      <c r="O118" s="26">
        <v>8.9887402578500133</v>
      </c>
      <c r="P118" s="26">
        <v>2.3126486472300165</v>
      </c>
      <c r="Q118" s="26">
        <v>1.867120105220013</v>
      </c>
      <c r="R118" s="26">
        <v>7.4475613543900012</v>
      </c>
      <c r="S118" s="26">
        <v>6.7315734577100068</v>
      </c>
      <c r="T118" s="26">
        <v>11.986549533830026</v>
      </c>
      <c r="U118" s="26">
        <v>2.2843680066199901</v>
      </c>
      <c r="V118" s="27">
        <v>43.402189419620058</v>
      </c>
      <c r="W118" s="27">
        <v>73.54803986663012</v>
      </c>
      <c r="X118" s="26">
        <v>7.391719572958892</v>
      </c>
      <c r="Y118" s="28">
        <v>80.939759439588954</v>
      </c>
      <c r="Z118" s="17" t="str">
        <f>SUBSTITUTE(SUBSTITUTE(SUBSTITUTE(SUBSTITUTE(IF(E118="","",VLOOKUP(E118,[1]Esquemas_NORM!$A$2:$H$126,8,FALSE)),"PROVINCIA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8" s="17" t="str">
        <f>IF($E118="","",INDEX([1]Esquemas_NORM!$H$2:$K$126,MATCH($E118,[1]Esquemas_NORM!$A$2:$A$126,0),MATCH(AA$4,[1]Esquemas_NORM!$H$1:$K$1,0)))</f>
        <v>A la fecha no ha conformado un EAT Región</v>
      </c>
      <c r="AB118" s="17" t="str">
        <f>IF($E118="","",INDEX([1]Esquemas_NORM!$H$2:$K$126,MATCH($E118,[1]Esquemas_NORM!$A$2:$A$126,0),MATCH(AB$4,[1]Esquemas_NORM!$H$1:$K$1,0)))</f>
        <v>A la fecha no ha conformado un EAT Área Metropolitana</v>
      </c>
      <c r="AC118" s="17" t="str">
        <f>IF($E118="","",INDEX([1]Esquemas_NORM!$H$2:$K$126,MATCH($E118,[1]Esquemas_NORM!$A$2:$A$126,0),MATCH(AC$4,[1]Esquemas_NORM!$H$1:$K$1,0)))</f>
        <v>A la fecha no ha conformado un EAT asociación - unión</v>
      </c>
      <c r="AD118" s="23"/>
    </row>
    <row r="119" spans="1:30" x14ac:dyDescent="0.25">
      <c r="A119" s="24">
        <v>2015</v>
      </c>
      <c r="B119" s="25" t="s">
        <v>36</v>
      </c>
      <c r="C119" s="25" t="s">
        <v>252</v>
      </c>
      <c r="D119" s="25" t="s">
        <v>253</v>
      </c>
      <c r="E119" s="25" t="s">
        <v>302</v>
      </c>
      <c r="F119" s="25" t="s">
        <v>255</v>
      </c>
      <c r="G119" s="25" t="s">
        <v>303</v>
      </c>
      <c r="H119" s="26">
        <v>31.17412627592979</v>
      </c>
      <c r="I119" s="26">
        <v>1.8775846735200086</v>
      </c>
      <c r="J119" s="27">
        <v>33.051710949449799</v>
      </c>
      <c r="K119" s="26">
        <v>6.8982589127400091</v>
      </c>
      <c r="L119" s="26">
        <v>6.8260355479400072</v>
      </c>
      <c r="M119" s="27">
        <v>13.724294460680017</v>
      </c>
      <c r="N119" s="26">
        <v>7.4135834522899584</v>
      </c>
      <c r="O119" s="26">
        <v>23.94105194960003</v>
      </c>
      <c r="P119" s="26">
        <v>4.9121745304800344</v>
      </c>
      <c r="Q119" s="26">
        <v>3.532634856650025</v>
      </c>
      <c r="R119" s="26">
        <v>14.762648653200003</v>
      </c>
      <c r="S119" s="26">
        <v>14.310828454900014</v>
      </c>
      <c r="T119" s="26">
        <v>22.661731456810045</v>
      </c>
      <c r="U119" s="26">
        <v>3.9385763669899836</v>
      </c>
      <c r="V119" s="27">
        <v>95.473229720920088</v>
      </c>
      <c r="W119" s="27">
        <v>142.2492351310502</v>
      </c>
      <c r="X119" s="26">
        <v>14.296321934113942</v>
      </c>
      <c r="Y119" s="28">
        <v>156.54555706516405</v>
      </c>
      <c r="Z119" s="17" t="str">
        <f>SUBSTITUTE(SUBSTITUTE(SUBSTITUTE(SUBSTITUTE(IF(E119="","",VLOOKUP(E119,[1]Esquemas_NORM!$A$2:$H$126,8,FALSE)),"PROVINCIA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9" s="17" t="str">
        <f>IF($E119="","",INDEX([1]Esquemas_NORM!$H$2:$K$126,MATCH($E119,[1]Esquemas_NORM!$A$2:$A$126,0),MATCH(AA$4,[1]Esquemas_NORM!$H$1:$K$1,0)))</f>
        <v>A la fecha no ha conformado un EAT Región</v>
      </c>
      <c r="AB119" s="17" t="str">
        <f>IF($E119="","",INDEX([1]Esquemas_NORM!$H$2:$K$126,MATCH($E119,[1]Esquemas_NORM!$A$2:$A$126,0),MATCH(AB$4,[1]Esquemas_NORM!$H$1:$K$1,0)))</f>
        <v>A la fecha no ha conformado un EAT Área Metropolitana</v>
      </c>
      <c r="AC119" s="17" t="str">
        <f>IF($E119="","",INDEX([1]Esquemas_NORM!$H$2:$K$126,MATCH($E119,[1]Esquemas_NORM!$A$2:$A$126,0),MATCH(AC$4,[1]Esquemas_NORM!$H$1:$K$1,0)))</f>
        <v>A la fecha no ha conformado un EAT asociación - unión</v>
      </c>
      <c r="AD119" s="23"/>
    </row>
    <row r="120" spans="1:30" x14ac:dyDescent="0.25">
      <c r="A120" s="24">
        <v>2015</v>
      </c>
      <c r="B120" s="25" t="s">
        <v>36</v>
      </c>
      <c r="C120" s="25" t="s">
        <v>304</v>
      </c>
      <c r="D120" s="25" t="s">
        <v>305</v>
      </c>
      <c r="E120" s="25" t="s">
        <v>306</v>
      </c>
      <c r="F120" s="25" t="s">
        <v>307</v>
      </c>
      <c r="G120" s="25" t="s">
        <v>308</v>
      </c>
      <c r="H120" s="26">
        <v>458.60780037838691</v>
      </c>
      <c r="I120" s="26">
        <v>0.53342708347000256</v>
      </c>
      <c r="J120" s="27">
        <v>459.14122746185694</v>
      </c>
      <c r="K120" s="26">
        <v>60.280389515130075</v>
      </c>
      <c r="L120" s="26">
        <v>102.29201244521012</v>
      </c>
      <c r="M120" s="27">
        <v>162.57240196034019</v>
      </c>
      <c r="N120" s="26">
        <v>68.100443104879631</v>
      </c>
      <c r="O120" s="26">
        <v>467.39675501793062</v>
      </c>
      <c r="P120" s="26">
        <v>50.943531515080359</v>
      </c>
      <c r="Q120" s="26">
        <v>54.840190390510394</v>
      </c>
      <c r="R120" s="26">
        <v>111.87908132682003</v>
      </c>
      <c r="S120" s="26">
        <v>176.48386110632018</v>
      </c>
      <c r="T120" s="26">
        <v>263.01777119604054</v>
      </c>
      <c r="U120" s="26">
        <v>32.005993388329863</v>
      </c>
      <c r="V120" s="27">
        <v>1224.6676270459118</v>
      </c>
      <c r="W120" s="27">
        <v>1846.3812564681123</v>
      </c>
      <c r="X120" s="26">
        <v>185.564870217166</v>
      </c>
      <c r="Y120" s="28">
        <v>2031.9461266852768</v>
      </c>
      <c r="Z120" s="17" t="str">
        <f>SUBSTITUTE(SUBSTITUTE(SUBSTITUTE(SUBSTITUTE(IF(E120="","",VLOOKUP(E120,[1]Esquemas_NORM!$A$2:$H$126,8,FALSE)),"PROVINCIA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0" s="17" t="str">
        <f>IF($E120="","",INDEX([1]Esquemas_NORM!$H$2:$K$126,MATCH($E120,[1]Esquemas_NORM!$A$2:$A$126,0),MATCH(AA$4,[1]Esquemas_NORM!$H$1:$K$1,0)))</f>
        <v>Región de Planeación y Gestión de Urabá - RPG (Acuerdo de Voluntades)</v>
      </c>
      <c r="AB120" s="17" t="str">
        <f>IF($E120="","",INDEX([1]Esquemas_NORM!$H$2:$K$126,MATCH($E120,[1]Esquemas_NORM!$A$2:$A$126,0),MATCH(AB$4,[1]Esquemas_NORM!$H$1:$K$1,0)))</f>
        <v>A la fecha no ha conformado un EAT Área Metropolitana</v>
      </c>
      <c r="AC120" s="17" t="str">
        <f>IF($E120="","",INDEX([1]Esquemas_NORM!$H$2:$K$126,MATCH($E120,[1]Esquemas_NORM!$A$2:$A$126,0),MATCH(AC$4,[1]Esquemas_NORM!$H$1:$K$1,0)))</f>
        <v>ASOCIACIÓN DE MUNICIPIOS DEL URABÁ ANTIOQUEÑO - ASOMURA</v>
      </c>
      <c r="AD120" s="23"/>
    </row>
    <row r="121" spans="1:30" x14ac:dyDescent="0.25">
      <c r="A121" s="24">
        <v>2015</v>
      </c>
      <c r="B121" s="25" t="s">
        <v>36</v>
      </c>
      <c r="C121" s="25" t="s">
        <v>304</v>
      </c>
      <c r="D121" s="25" t="s">
        <v>309</v>
      </c>
      <c r="E121" s="25" t="s">
        <v>310</v>
      </c>
      <c r="F121" s="25" t="s">
        <v>307</v>
      </c>
      <c r="G121" s="25" t="s">
        <v>311</v>
      </c>
      <c r="H121" s="26">
        <v>48.078070490859666</v>
      </c>
      <c r="I121" s="26">
        <v>0</v>
      </c>
      <c r="J121" s="27">
        <v>48.078070490859666</v>
      </c>
      <c r="K121" s="26">
        <v>1.721999525880002</v>
      </c>
      <c r="L121" s="26">
        <v>20.145967043290021</v>
      </c>
      <c r="M121" s="27">
        <v>21.867966569170022</v>
      </c>
      <c r="N121" s="26">
        <v>9.0640414376999505</v>
      </c>
      <c r="O121" s="26">
        <v>26.641908064490035</v>
      </c>
      <c r="P121" s="26">
        <v>9.7127616769500698</v>
      </c>
      <c r="Q121" s="26">
        <v>8.3421650094900599</v>
      </c>
      <c r="R121" s="26">
        <v>16.171229947150003</v>
      </c>
      <c r="S121" s="26">
        <v>26.319558230270026</v>
      </c>
      <c r="T121" s="26">
        <v>69.797685608470147</v>
      </c>
      <c r="U121" s="26">
        <v>8.8847358030599626</v>
      </c>
      <c r="V121" s="27">
        <v>174.93408577758024</v>
      </c>
      <c r="W121" s="27">
        <v>244.88012283761037</v>
      </c>
      <c r="X121" s="26">
        <v>24.610923694082963</v>
      </c>
      <c r="Y121" s="28">
        <v>269.49104653169314</v>
      </c>
      <c r="Z121" s="17" t="str">
        <f>SUBSTITUTE(SUBSTITUTE(SUBSTITUTE(SUBSTITUTE(IF(E121="","",VLOOKUP(E121,[1]Esquemas_NORM!$A$2:$H$126,8,FALSE)),"PROVINCIA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1" s="17" t="str">
        <f>IF($E121="","",INDEX([1]Esquemas_NORM!$H$2:$K$126,MATCH($E121,[1]Esquemas_NORM!$A$2:$A$126,0),MATCH(AA$4,[1]Esquemas_NORM!$H$1:$K$1,0)))</f>
        <v>Región de Planeación y Gestión de Urabá - RPG (Acuerdo de Voluntades)</v>
      </c>
      <c r="AB121" s="17" t="str">
        <f>IF($E121="","",INDEX([1]Esquemas_NORM!$H$2:$K$126,MATCH($E121,[1]Esquemas_NORM!$A$2:$A$126,0),MATCH(AB$4,[1]Esquemas_NORM!$H$1:$K$1,0)))</f>
        <v>A la fecha no ha conformado un EAT Área Metropolitana</v>
      </c>
      <c r="AC121" s="17" t="str">
        <f>IF($E121="","",INDEX([1]Esquemas_NORM!$H$2:$K$126,MATCH($E121,[1]Esquemas_NORM!$A$2:$A$126,0),MATCH(AC$4,[1]Esquemas_NORM!$H$1:$K$1,0)))</f>
        <v>ASOCIACIÓN DE MUNICIPIOS DEL URABÁ ANTIOQUEÑO - ASOMURA /ASOCIACIÓN DE MUNICIPIOS DEL URABÁ NORTE-ASOURANOR</v>
      </c>
      <c r="AD121" s="23"/>
    </row>
    <row r="122" spans="1:30" x14ac:dyDescent="0.25">
      <c r="A122" s="24">
        <v>2015</v>
      </c>
      <c r="B122" s="25" t="s">
        <v>36</v>
      </c>
      <c r="C122" s="25" t="s">
        <v>304</v>
      </c>
      <c r="D122" s="25" t="s">
        <v>305</v>
      </c>
      <c r="E122" s="25" t="s">
        <v>312</v>
      </c>
      <c r="F122" s="25" t="s">
        <v>307</v>
      </c>
      <c r="G122" s="25" t="s">
        <v>313</v>
      </c>
      <c r="H122" s="26">
        <v>616.54598386889575</v>
      </c>
      <c r="I122" s="26">
        <v>0.10429033215000048</v>
      </c>
      <c r="J122" s="27">
        <v>616.6502742010457</v>
      </c>
      <c r="K122" s="26">
        <v>30.561998166090039</v>
      </c>
      <c r="L122" s="26">
        <v>57.529144791940062</v>
      </c>
      <c r="M122" s="27">
        <v>88.091142958030105</v>
      </c>
      <c r="N122" s="26">
        <v>22.257666580359878</v>
      </c>
      <c r="O122" s="26">
        <v>117.47763329515017</v>
      </c>
      <c r="P122" s="26">
        <v>14.856496277240105</v>
      </c>
      <c r="Q122" s="26">
        <v>10.061320093170071</v>
      </c>
      <c r="R122" s="26">
        <v>23.544372408570005</v>
      </c>
      <c r="S122" s="26">
        <v>51.59800419937006</v>
      </c>
      <c r="T122" s="26">
        <v>64.930841252230124</v>
      </c>
      <c r="U122" s="26">
        <v>10.256033216749957</v>
      </c>
      <c r="V122" s="27">
        <v>314.98236732284039</v>
      </c>
      <c r="W122" s="27">
        <v>1019.7237844819215</v>
      </c>
      <c r="X122" s="26">
        <v>102.48420311999439</v>
      </c>
      <c r="Y122" s="28">
        <v>1122.207987601915</v>
      </c>
      <c r="Z122" s="17" t="str">
        <f>SUBSTITUTE(SUBSTITUTE(SUBSTITUTE(SUBSTITUTE(IF(E122="","",VLOOKUP(E122,[1]Esquemas_NORM!$A$2:$H$126,8,FALSE)),"PROVINCIA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2" s="17" t="str">
        <f>IF($E122="","",INDEX([1]Esquemas_NORM!$H$2:$K$126,MATCH($E122,[1]Esquemas_NORM!$A$2:$A$126,0),MATCH(AA$4,[1]Esquemas_NORM!$H$1:$K$1,0)))</f>
        <v>Región de Planeación y Gestión de Urabá - RPG (Acuerdo de Voluntades)</v>
      </c>
      <c r="AB122" s="17" t="str">
        <f>IF($E122="","",INDEX([1]Esquemas_NORM!$H$2:$K$126,MATCH($E122,[1]Esquemas_NORM!$A$2:$A$126,0),MATCH(AB$4,[1]Esquemas_NORM!$H$1:$K$1,0)))</f>
        <v>A la fecha no ha conformado un EAT Área Metropolitana</v>
      </c>
      <c r="AC122" s="17" t="str">
        <f>IF($E122="","",INDEX([1]Esquemas_NORM!$H$2:$K$126,MATCH($E122,[1]Esquemas_NORM!$A$2:$A$126,0),MATCH(AC$4,[1]Esquemas_NORM!$H$1:$K$1,0)))</f>
        <v>ASOCIACIÓN DE MUNICIPIOS DEL URABÁ ANTIOQUEÑO - ASOMURA / ASOCIACIÓN DE MUNICIPIOS DEL CHOCÓ Y URABÁ - ASUMUCUR</v>
      </c>
      <c r="AD122" s="23"/>
    </row>
    <row r="123" spans="1:30" x14ac:dyDescent="0.25">
      <c r="A123" s="24">
        <v>2015</v>
      </c>
      <c r="B123" s="25" t="s">
        <v>36</v>
      </c>
      <c r="C123" s="25" t="s">
        <v>304</v>
      </c>
      <c r="D123" s="25" t="s">
        <v>305</v>
      </c>
      <c r="E123" s="25" t="s">
        <v>314</v>
      </c>
      <c r="F123" s="25" t="s">
        <v>307</v>
      </c>
      <c r="G123" s="25" t="s">
        <v>315</v>
      </c>
      <c r="H123" s="26">
        <v>261.23202851130816</v>
      </c>
      <c r="I123" s="26">
        <v>0</v>
      </c>
      <c r="J123" s="27">
        <v>261.23202851130816</v>
      </c>
      <c r="K123" s="26">
        <v>26.977823300570034</v>
      </c>
      <c r="L123" s="26">
        <v>39.133235708210044</v>
      </c>
      <c r="M123" s="27">
        <v>66.111059008780074</v>
      </c>
      <c r="N123" s="26">
        <v>20.371447100189886</v>
      </c>
      <c r="O123" s="26">
        <v>142.95334853362019</v>
      </c>
      <c r="P123" s="26">
        <v>21.086732921750148</v>
      </c>
      <c r="Q123" s="26">
        <v>19.167599549090134</v>
      </c>
      <c r="R123" s="26">
        <v>34.605463421420005</v>
      </c>
      <c r="S123" s="26">
        <v>58.547947407020054</v>
      </c>
      <c r="T123" s="26">
        <v>90.40941303290019</v>
      </c>
      <c r="U123" s="26">
        <v>12.924535642099947</v>
      </c>
      <c r="V123" s="27">
        <v>400.0664876080906</v>
      </c>
      <c r="W123" s="27">
        <v>727.40957512818113</v>
      </c>
      <c r="X123" s="26">
        <v>73.106062429167281</v>
      </c>
      <c r="Y123" s="28">
        <v>800.51563755734765</v>
      </c>
      <c r="Z123" s="17" t="str">
        <f>SUBSTITUTE(SUBSTITUTE(SUBSTITUTE(SUBSTITUTE(IF(E123="","",VLOOKUP(E123,[1]Esquemas_NORM!$A$2:$H$126,8,FALSE)),"PROVINCIA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3" s="17" t="str">
        <f>IF($E123="","",INDEX([1]Esquemas_NORM!$H$2:$K$126,MATCH($E123,[1]Esquemas_NORM!$A$2:$A$126,0),MATCH(AA$4,[1]Esquemas_NORM!$H$1:$K$1,0)))</f>
        <v>Región de Planeación y Gestión de Urabá - RPG (Acuerdo de Voluntades)</v>
      </c>
      <c r="AB123" s="17" t="str">
        <f>IF($E123="","",INDEX([1]Esquemas_NORM!$H$2:$K$126,MATCH($E123,[1]Esquemas_NORM!$A$2:$A$126,0),MATCH(AB$4,[1]Esquemas_NORM!$H$1:$K$1,0)))</f>
        <v>A la fecha no ha conformado un EAT Área Metropolitana</v>
      </c>
      <c r="AC123" s="17" t="str">
        <f>IF($E123="","",INDEX([1]Esquemas_NORM!$H$2:$K$126,MATCH($E123,[1]Esquemas_NORM!$A$2:$A$126,0),MATCH(AC$4,[1]Esquemas_NORM!$H$1:$K$1,0)))</f>
        <v>ASOCIACIÓN DE MUNICIPIOS DEL URABÁ ANTIOQUEÑO - ASOMURA</v>
      </c>
      <c r="AD123" s="23"/>
    </row>
    <row r="124" spans="1:30" x14ac:dyDescent="0.25">
      <c r="A124" s="24">
        <v>2015</v>
      </c>
      <c r="B124" s="25" t="s">
        <v>36</v>
      </c>
      <c r="C124" s="25" t="s">
        <v>304</v>
      </c>
      <c r="D124" s="25" t="s">
        <v>316</v>
      </c>
      <c r="E124" s="25" t="s">
        <v>317</v>
      </c>
      <c r="F124" s="25" t="s">
        <v>307</v>
      </c>
      <c r="G124" s="25" t="s">
        <v>318</v>
      </c>
      <c r="H124" s="26">
        <v>3.2652510160599779</v>
      </c>
      <c r="I124" s="26">
        <v>0</v>
      </c>
      <c r="J124" s="27">
        <v>3.2652510160599779</v>
      </c>
      <c r="K124" s="26">
        <v>0.38935881823000051</v>
      </c>
      <c r="L124" s="26">
        <v>2.4461605258800025</v>
      </c>
      <c r="M124" s="27">
        <v>2.8355193441100033</v>
      </c>
      <c r="N124" s="26">
        <v>1.4387412760299922</v>
      </c>
      <c r="O124" s="26">
        <v>1.8010097637300024</v>
      </c>
      <c r="P124" s="26">
        <v>1.8654178963400132</v>
      </c>
      <c r="Q124" s="26">
        <v>0.88265104802000638</v>
      </c>
      <c r="R124" s="26">
        <v>2.8010115314300004</v>
      </c>
      <c r="S124" s="26">
        <v>4.7860419297500041</v>
      </c>
      <c r="T124" s="26">
        <v>13.255149361620026</v>
      </c>
      <c r="U124" s="26">
        <v>0.96069391502999602</v>
      </c>
      <c r="V124" s="27">
        <v>27.790716721950041</v>
      </c>
      <c r="W124" s="27">
        <v>33.891487082120058</v>
      </c>
      <c r="X124" s="26">
        <v>3.4061596865921175</v>
      </c>
      <c r="Y124" s="28">
        <v>37.297646768712134</v>
      </c>
      <c r="Z124" s="17" t="str">
        <f>SUBSTITUTE(SUBSTITUTE(SUBSTITUTE(SUBSTITUTE(IF(E124="","",VLOOKUP(E124,[1]Esquemas_NORM!$A$2:$H$126,8,FALSE)),"PROVINCIA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4" s="17" t="str">
        <f>IF($E124="","",INDEX([1]Esquemas_NORM!$H$2:$K$126,MATCH($E124,[1]Esquemas_NORM!$A$2:$A$126,0),MATCH(AA$4,[1]Esquemas_NORM!$H$1:$K$1,0)))</f>
        <v>Región de Planeación y Gestión de Urabá - RPG (Acuerdo de Voluntades)</v>
      </c>
      <c r="AB124" s="17" t="str">
        <f>IF($E124="","",INDEX([1]Esquemas_NORM!$H$2:$K$126,MATCH($E124,[1]Esquemas_NORM!$A$2:$A$126,0),MATCH(AB$4,[1]Esquemas_NORM!$H$1:$K$1,0)))</f>
        <v>A la fecha no ha conformado un EAT Área Metropolitana</v>
      </c>
      <c r="AC124" s="17" t="str">
        <f>IF($E124="","",INDEX([1]Esquemas_NORM!$H$2:$K$126,MATCH($E124,[1]Esquemas_NORM!$A$2:$A$126,0),MATCH(AC$4,[1]Esquemas_NORM!$H$1:$K$1,0)))</f>
        <v>ASOCIACION DE MUNICIPIOS DE LA CUENCA DEL ATRATO Y DARIEN ASOATRATO / ASOCIACIÓN DE MUNICIPIOS DEL CHOCÓ Y URABÁ - ASUMUCUR</v>
      </c>
      <c r="AD124" s="23"/>
    </row>
    <row r="125" spans="1:30" x14ac:dyDescent="0.25">
      <c r="A125" s="24">
        <v>2015</v>
      </c>
      <c r="B125" s="25" t="s">
        <v>36</v>
      </c>
      <c r="C125" s="25" t="s">
        <v>304</v>
      </c>
      <c r="D125" s="25" t="s">
        <v>305</v>
      </c>
      <c r="E125" s="25" t="s">
        <v>319</v>
      </c>
      <c r="F125" s="25" t="s">
        <v>307</v>
      </c>
      <c r="G125" s="25" t="s">
        <v>320</v>
      </c>
      <c r="H125" s="26">
        <v>26.980061402089817</v>
      </c>
      <c r="I125" s="26">
        <v>1.4737822868000068</v>
      </c>
      <c r="J125" s="27">
        <v>28.453843688889823</v>
      </c>
      <c r="K125" s="26">
        <v>1.5299413796800019</v>
      </c>
      <c r="L125" s="26">
        <v>8.9548060211000085</v>
      </c>
      <c r="M125" s="27">
        <v>10.484747400780011</v>
      </c>
      <c r="N125" s="26">
        <v>6.3683092052799646</v>
      </c>
      <c r="O125" s="26">
        <v>16.478159343350026</v>
      </c>
      <c r="P125" s="26">
        <v>3.9214773190700285</v>
      </c>
      <c r="Q125" s="26">
        <v>3.3539424562600235</v>
      </c>
      <c r="R125" s="26">
        <v>7.4923813659300018</v>
      </c>
      <c r="S125" s="26">
        <v>11.756145772740011</v>
      </c>
      <c r="T125" s="26">
        <v>32.203706031000067</v>
      </c>
      <c r="U125" s="26">
        <v>2.3196360358999901</v>
      </c>
      <c r="V125" s="27">
        <v>83.893757529530106</v>
      </c>
      <c r="W125" s="27">
        <v>122.8323486192002</v>
      </c>
      <c r="X125" s="26">
        <v>12.34488746576087</v>
      </c>
      <c r="Y125" s="28">
        <v>135.17723608496098</v>
      </c>
      <c r="Z125" s="17" t="str">
        <f>SUBSTITUTE(SUBSTITUTE(SUBSTITUTE(SUBSTITUTE(IF(E125="","",VLOOKUP(E125,[1]Esquemas_NORM!$A$2:$H$126,8,FALSE)),"PROVINCIA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5" s="17" t="str">
        <f>IF($E125="","",INDEX([1]Esquemas_NORM!$H$2:$K$126,MATCH($E125,[1]Esquemas_NORM!$A$2:$A$126,0),MATCH(AA$4,[1]Esquemas_NORM!$H$1:$K$1,0)))</f>
        <v>Región de Planeación y Gestión de Urabá - RPG (Acuerdo de Voluntades)</v>
      </c>
      <c r="AB125" s="17" t="str">
        <f>IF($E125="","",INDEX([1]Esquemas_NORM!$H$2:$K$126,MATCH($E125,[1]Esquemas_NORM!$A$2:$A$126,0),MATCH(AB$4,[1]Esquemas_NORM!$H$1:$K$1,0)))</f>
        <v>A la fecha no ha conformado un EAT Área Metropolitana</v>
      </c>
      <c r="AC125" s="17" t="str">
        <f>IF($E125="","",INDEX([1]Esquemas_NORM!$H$2:$K$126,MATCH($E125,[1]Esquemas_NORM!$A$2:$A$126,0),MATCH(AC$4,[1]Esquemas_NORM!$H$1:$K$1,0)))</f>
        <v>ASOCIACIÓN DE MUNICIPIOS DEL URABÁ ANTIOQUEÑO - ASOMURA / ASOCIACIÓN DE MUNICIPIOS DEL CHOCÓ Y URABÁ - ASUMUCUR</v>
      </c>
      <c r="AD125" s="23"/>
    </row>
    <row r="126" spans="1:30" x14ac:dyDescent="0.25">
      <c r="A126" s="24">
        <v>2015</v>
      </c>
      <c r="B126" s="25" t="s">
        <v>36</v>
      </c>
      <c r="C126" s="25" t="s">
        <v>304</v>
      </c>
      <c r="D126" s="25" t="s">
        <v>309</v>
      </c>
      <c r="E126" s="25" t="s">
        <v>321</v>
      </c>
      <c r="F126" s="25" t="s">
        <v>307</v>
      </c>
      <c r="G126" s="25" t="s">
        <v>322</v>
      </c>
      <c r="H126" s="26">
        <v>66.522350855499539</v>
      </c>
      <c r="I126" s="26">
        <v>0</v>
      </c>
      <c r="J126" s="27">
        <v>66.522350855499539</v>
      </c>
      <c r="K126" s="26">
        <v>2.6253675710700031</v>
      </c>
      <c r="L126" s="26">
        <v>31.203612060790032</v>
      </c>
      <c r="M126" s="27">
        <v>33.828979631860037</v>
      </c>
      <c r="N126" s="26">
        <v>24.706156519059864</v>
      </c>
      <c r="O126" s="26">
        <v>71.399650828900093</v>
      </c>
      <c r="P126" s="26">
        <v>11.535979526210081</v>
      </c>
      <c r="Q126" s="26">
        <v>10.171471171740073</v>
      </c>
      <c r="R126" s="26">
        <v>20.968719796550005</v>
      </c>
      <c r="S126" s="26">
        <v>38.87158428500004</v>
      </c>
      <c r="T126" s="26">
        <v>88.943565560230184</v>
      </c>
      <c r="U126" s="26">
        <v>9.4260519606699606</v>
      </c>
      <c r="V126" s="27">
        <v>276.02317964836027</v>
      </c>
      <c r="W126" s="27">
        <v>376.37451013572058</v>
      </c>
      <c r="X126" s="26">
        <v>37.826362719894462</v>
      </c>
      <c r="Y126" s="28">
        <v>414.20087285561476</v>
      </c>
      <c r="Z126" s="17" t="str">
        <f>SUBSTITUTE(SUBSTITUTE(SUBSTITUTE(SUBSTITUTE(IF(E126="","",VLOOKUP(E126,[1]Esquemas_NORM!$A$2:$H$126,8,FALSE)),"PROVINCIA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6" s="17" t="str">
        <f>IF($E126="","",INDEX([1]Esquemas_NORM!$H$2:$K$126,MATCH($E126,[1]Esquemas_NORM!$A$2:$A$126,0),MATCH(AA$4,[1]Esquemas_NORM!$H$1:$K$1,0)))</f>
        <v>Región de Planeación y Gestión de Urabá - RPG (Acuerdo de Voluntades)</v>
      </c>
      <c r="AB126" s="17" t="str">
        <f>IF($E126="","",INDEX([1]Esquemas_NORM!$H$2:$K$126,MATCH($E126,[1]Esquemas_NORM!$A$2:$A$126,0),MATCH(AB$4,[1]Esquemas_NORM!$H$1:$K$1,0)))</f>
        <v>A la fecha no ha conformado un EAT Área Metropolitana</v>
      </c>
      <c r="AC126" s="17" t="str">
        <f>IF($E126="","",INDEX([1]Esquemas_NORM!$H$2:$K$126,MATCH($E126,[1]Esquemas_NORM!$A$2:$A$126,0),MATCH(AC$4,[1]Esquemas_NORM!$H$1:$K$1,0)))</f>
        <v>ASOCIACIÓN DE MUNICIPIOS DEL URABÁ NORTE-ASOURANOR</v>
      </c>
      <c r="AD126" s="23"/>
    </row>
    <row r="127" spans="1:30" x14ac:dyDescent="0.25">
      <c r="A127" s="24">
        <v>2015</v>
      </c>
      <c r="B127" s="25" t="s">
        <v>36</v>
      </c>
      <c r="C127" s="25" t="s">
        <v>304</v>
      </c>
      <c r="D127" s="25" t="s">
        <v>309</v>
      </c>
      <c r="E127" s="25" t="s">
        <v>323</v>
      </c>
      <c r="F127" s="25" t="s">
        <v>307</v>
      </c>
      <c r="G127" s="25" t="s">
        <v>324</v>
      </c>
      <c r="H127" s="26">
        <v>45.901653640849688</v>
      </c>
      <c r="I127" s="26">
        <v>0</v>
      </c>
      <c r="J127" s="27">
        <v>45.901653640849688</v>
      </c>
      <c r="K127" s="26">
        <v>1.8302360620900022</v>
      </c>
      <c r="L127" s="26">
        <v>12.546827748220014</v>
      </c>
      <c r="M127" s="27">
        <v>14.377063810310016</v>
      </c>
      <c r="N127" s="26">
        <v>9.3564805105699484</v>
      </c>
      <c r="O127" s="26">
        <v>21.752215596590027</v>
      </c>
      <c r="P127" s="26">
        <v>5.6571949343700396</v>
      </c>
      <c r="Q127" s="26">
        <v>4.6882764811200337</v>
      </c>
      <c r="R127" s="26">
        <v>5.6927113640100009</v>
      </c>
      <c r="S127" s="26">
        <v>15.909383579170015</v>
      </c>
      <c r="T127" s="26">
        <v>39.83213078725008</v>
      </c>
      <c r="U127" s="26">
        <v>3.3861459487999856</v>
      </c>
      <c r="V127" s="27">
        <v>106.27453920188013</v>
      </c>
      <c r="W127" s="27">
        <v>166.55325665304028</v>
      </c>
      <c r="X127" s="26">
        <v>16.738922877817643</v>
      </c>
      <c r="Y127" s="28">
        <v>183.29217953085777</v>
      </c>
      <c r="Z127" s="17" t="str">
        <f>SUBSTITUTE(SUBSTITUTE(SUBSTITUTE(SUBSTITUTE(IF(E127="","",VLOOKUP(E127,[1]Esquemas_NORM!$A$2:$H$126,8,FALSE)),"PROVINCIA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7" s="17" t="str">
        <f>IF($E127="","",INDEX([1]Esquemas_NORM!$H$2:$K$126,MATCH($E127,[1]Esquemas_NORM!$A$2:$A$126,0),MATCH(AA$4,[1]Esquemas_NORM!$H$1:$K$1,0)))</f>
        <v>Región de Planeación y Gestión de Urabá - RPG (Acuerdo de Voluntades)</v>
      </c>
      <c r="AB127" s="17" t="str">
        <f>IF($E127="","",INDEX([1]Esquemas_NORM!$H$2:$K$126,MATCH($E127,[1]Esquemas_NORM!$A$2:$A$126,0),MATCH(AB$4,[1]Esquemas_NORM!$H$1:$K$1,0)))</f>
        <v>A la fecha no ha conformado un EAT Área Metropolitana</v>
      </c>
      <c r="AC127" s="17" t="str">
        <f>IF($E127="","",INDEX([1]Esquemas_NORM!$H$2:$K$126,MATCH($E127,[1]Esquemas_NORM!$A$2:$A$126,0),MATCH(AC$4,[1]Esquemas_NORM!$H$1:$K$1,0)))</f>
        <v>ASOCIACIÓN DE MUNICIPIOS DEL URABÁ ANTIOQUEÑO - ASOMURA / ASOCIACIÓN DE MUNICIPIOS DEL CHOCÓ Y URABÁ - ASUMUCUR</v>
      </c>
      <c r="AD127" s="23"/>
    </row>
    <row r="128" spans="1:30" x14ac:dyDescent="0.25">
      <c r="A128" s="24">
        <v>2015</v>
      </c>
      <c r="B128" s="25" t="s">
        <v>36</v>
      </c>
      <c r="C128" s="25" t="s">
        <v>304</v>
      </c>
      <c r="D128" s="25" t="s">
        <v>309</v>
      </c>
      <c r="E128" s="25" t="s">
        <v>325</v>
      </c>
      <c r="F128" s="25" t="s">
        <v>307</v>
      </c>
      <c r="G128" s="25" t="s">
        <v>326</v>
      </c>
      <c r="H128" s="26">
        <v>50.813877103969652</v>
      </c>
      <c r="I128" s="26">
        <v>0</v>
      </c>
      <c r="J128" s="27">
        <v>50.813877103969652</v>
      </c>
      <c r="K128" s="26">
        <v>2.4931951339700031</v>
      </c>
      <c r="L128" s="26">
        <v>18.65865309057002</v>
      </c>
      <c r="M128" s="27">
        <v>21.151848224540025</v>
      </c>
      <c r="N128" s="26">
        <v>3.9226416528199777</v>
      </c>
      <c r="O128" s="26">
        <v>37.52530719768005</v>
      </c>
      <c r="P128" s="26">
        <v>10.220982091200073</v>
      </c>
      <c r="Q128" s="26">
        <v>8.4967893342600611</v>
      </c>
      <c r="R128" s="26">
        <v>13.838052724460002</v>
      </c>
      <c r="S128" s="26">
        <v>27.891379820420031</v>
      </c>
      <c r="T128" s="26">
        <v>67.004996067080128</v>
      </c>
      <c r="U128" s="26">
        <v>5.7869423150799753</v>
      </c>
      <c r="V128" s="27">
        <v>174.68709120300028</v>
      </c>
      <c r="W128" s="27">
        <v>246.65281653151044</v>
      </c>
      <c r="X128" s="26">
        <v>24.789082822426355</v>
      </c>
      <c r="Y128" s="28">
        <v>271.44189935393661</v>
      </c>
      <c r="Z128" s="17" t="str">
        <f>SUBSTITUTE(SUBSTITUTE(SUBSTITUTE(SUBSTITUTE(IF(E128="","",VLOOKUP(E128,[1]Esquemas_NORM!$A$2:$H$126,8,FALSE)),"PROVINCIA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8" s="17" t="str">
        <f>IF($E128="","",INDEX([1]Esquemas_NORM!$H$2:$K$126,MATCH($E128,[1]Esquemas_NORM!$A$2:$A$126,0),MATCH(AA$4,[1]Esquemas_NORM!$H$1:$K$1,0)))</f>
        <v>Región de Planeación y Gestión de Urabá - RPG (Acuerdo de Voluntades)</v>
      </c>
      <c r="AB128" s="17" t="str">
        <f>IF($E128="","",INDEX([1]Esquemas_NORM!$H$2:$K$126,MATCH($E128,[1]Esquemas_NORM!$A$2:$A$126,0),MATCH(AB$4,[1]Esquemas_NORM!$H$1:$K$1,0)))</f>
        <v>A la fecha no ha conformado un EAT Área Metropolitana</v>
      </c>
      <c r="AC128" s="17" t="str">
        <f>IF($E128="","",INDEX([1]Esquemas_NORM!$H$2:$K$126,MATCH($E128,[1]Esquemas_NORM!$A$2:$A$126,0),MATCH(AC$4,[1]Esquemas_NORM!$H$1:$K$1,0)))</f>
        <v>ASOCIACIÓN DE MUNICIPIOS DEL URABÁ NORTE-ASOURANOR</v>
      </c>
      <c r="AD128" s="23"/>
    </row>
    <row r="129" spans="1:30" x14ac:dyDescent="0.25">
      <c r="A129" s="24">
        <v>2015</v>
      </c>
      <c r="B129" s="25" t="s">
        <v>36</v>
      </c>
      <c r="C129" s="25" t="s">
        <v>304</v>
      </c>
      <c r="D129" s="25" t="s">
        <v>305</v>
      </c>
      <c r="E129" s="25" t="s">
        <v>327</v>
      </c>
      <c r="F129" s="25" t="s">
        <v>307</v>
      </c>
      <c r="G129" s="25" t="s">
        <v>328</v>
      </c>
      <c r="H129" s="26">
        <v>721.39146756450509</v>
      </c>
      <c r="I129" s="26">
        <v>2.798069915100013</v>
      </c>
      <c r="J129" s="27">
        <v>724.18953747960506</v>
      </c>
      <c r="K129" s="26">
        <v>32.603946202390041</v>
      </c>
      <c r="L129" s="26">
        <v>134.14048507367013</v>
      </c>
      <c r="M129" s="27">
        <v>166.74443127606017</v>
      </c>
      <c r="N129" s="26">
        <v>62.789959839999653</v>
      </c>
      <c r="O129" s="26">
        <v>211.88143450299029</v>
      </c>
      <c r="P129" s="26">
        <v>47.722437125040344</v>
      </c>
      <c r="Q129" s="26">
        <v>38.842400160720274</v>
      </c>
      <c r="R129" s="26">
        <v>72.318774910440013</v>
      </c>
      <c r="S129" s="26">
        <v>165.80232552853016</v>
      </c>
      <c r="T129" s="26">
        <v>379.85331688456074</v>
      </c>
      <c r="U129" s="26">
        <v>30.715386927419868</v>
      </c>
      <c r="V129" s="27">
        <v>1009.9260358797014</v>
      </c>
      <c r="W129" s="27">
        <v>1900.8600046353729</v>
      </c>
      <c r="X129" s="26">
        <v>191.04008926951059</v>
      </c>
      <c r="Y129" s="28">
        <v>2091.9000939048815</v>
      </c>
      <c r="Z129" s="17" t="str">
        <f>SUBSTITUTE(SUBSTITUTE(SUBSTITUTE(SUBSTITUTE(IF(E129="","",VLOOKUP(E129,[1]Esquemas_NORM!$A$2:$H$126,8,FALSE)),"PROVINCIA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9" s="17" t="str">
        <f>IF($E129="","",INDEX([1]Esquemas_NORM!$H$2:$K$126,MATCH($E129,[1]Esquemas_NORM!$A$2:$A$126,0),MATCH(AA$4,[1]Esquemas_NORM!$H$1:$K$1,0)))</f>
        <v>Región de Planeación y Gestión de Urabá - RPG (Acuerdo de Voluntades)</v>
      </c>
      <c r="AB129" s="17" t="str">
        <f>IF($E129="","",INDEX([1]Esquemas_NORM!$H$2:$K$126,MATCH($E129,[1]Esquemas_NORM!$A$2:$A$126,0),MATCH(AB$4,[1]Esquemas_NORM!$H$1:$K$1,0)))</f>
        <v>A la fecha no ha conformado un EAT Área Metropolitana</v>
      </c>
      <c r="AC129" s="17" t="str">
        <f>IF($E129="","",INDEX([1]Esquemas_NORM!$H$2:$K$126,MATCH($E129,[1]Esquemas_NORM!$A$2:$A$126,0),MATCH(AC$4,[1]Esquemas_NORM!$H$1:$K$1,0)))</f>
        <v>ASOCIACIÓN DE MUNICIPIOS DEL URABÁ ANTIOQUEÑO - ASOMURA</v>
      </c>
      <c r="AD129" s="23"/>
    </row>
    <row r="130" spans="1:30" ht="15.75" thickBot="1" x14ac:dyDescent="0.3">
      <c r="A130" s="29">
        <v>2015</v>
      </c>
      <c r="B130" s="30" t="s">
        <v>36</v>
      </c>
      <c r="C130" s="31" t="s">
        <v>304</v>
      </c>
      <c r="D130" s="31" t="s">
        <v>316</v>
      </c>
      <c r="E130" s="30" t="s">
        <v>329</v>
      </c>
      <c r="F130" s="31" t="s">
        <v>307</v>
      </c>
      <c r="G130" s="30" t="s">
        <v>330</v>
      </c>
      <c r="H130" s="32">
        <v>8.4137292794499423</v>
      </c>
      <c r="I130" s="32">
        <v>0</v>
      </c>
      <c r="J130" s="33">
        <v>8.4137292794499423</v>
      </c>
      <c r="K130" s="32">
        <v>0</v>
      </c>
      <c r="L130" s="32">
        <v>4.069861999220004</v>
      </c>
      <c r="M130" s="33">
        <v>4.069861999220004</v>
      </c>
      <c r="N130" s="32">
        <v>2.7573857369399848</v>
      </c>
      <c r="O130" s="32">
        <v>3.6051848551900054</v>
      </c>
      <c r="P130" s="32">
        <v>2.3693385261400168</v>
      </c>
      <c r="Q130" s="32">
        <v>1.6446857055000117</v>
      </c>
      <c r="R130" s="32">
        <v>4.1314577157600008</v>
      </c>
      <c r="S130" s="32">
        <v>4.7893288031400045</v>
      </c>
      <c r="T130" s="32">
        <v>15.04939950727003</v>
      </c>
      <c r="U130" s="32">
        <v>1.8145703432999924</v>
      </c>
      <c r="V130" s="33">
        <v>36.161351193240044</v>
      </c>
      <c r="W130" s="33">
        <v>48.644942471910078</v>
      </c>
      <c r="X130" s="34">
        <v>4.8889103509355225</v>
      </c>
      <c r="Y130" s="35">
        <v>53.533852822845553</v>
      </c>
      <c r="Z130" s="17" t="str">
        <f>SUBSTITUTE(SUBSTITUTE(SUBSTITUTE(SUBSTITUTE(IF(E130="","",VLOOKUP(E130,[1]Esquemas_NORM!$A$2:$H$126,8,FALSE)),"PROVINCIA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0" s="17" t="str">
        <f>IF($E130="","",INDEX([1]Esquemas_NORM!$H$2:$K$126,MATCH($E130,[1]Esquemas_NORM!$A$2:$A$126,0),MATCH(AA$4,[1]Esquemas_NORM!$H$1:$K$1,0)))</f>
        <v>Región de Planeación y Gestión de Urabá - RPG (Acuerdo de Voluntades)</v>
      </c>
      <c r="AB130" s="17" t="str">
        <f>IF($E130="","",INDEX([1]Esquemas_NORM!$H$2:$K$126,MATCH($E130,[1]Esquemas_NORM!$A$2:$A$126,0),MATCH(AB$4,[1]Esquemas_NORM!$H$1:$K$1,0)))</f>
        <v>A la fecha no ha conformado un EAT Área Metropolitana</v>
      </c>
      <c r="AC130" s="17" t="str">
        <f>IF($E130="","",INDEX([1]Esquemas_NORM!$H$2:$K$126,MATCH($E130,[1]Esquemas_NORM!$A$2:$A$126,0),MATCH(AC$4,[1]Esquemas_NORM!$H$1:$K$1,0)))</f>
        <v>ASOCIACION DE MUNICIPIOS DE LA CUENCA DEL ATRATO Y DARIEN ASOATRATO</v>
      </c>
      <c r="AD130" s="23"/>
    </row>
    <row r="131" spans="1:30" ht="15.75" thickBot="1" x14ac:dyDescent="0.3">
      <c r="A131" s="36">
        <v>2016</v>
      </c>
      <c r="B131" s="37" t="s">
        <v>36</v>
      </c>
      <c r="C131" s="37"/>
      <c r="D131" s="37"/>
      <c r="E131" s="37"/>
      <c r="F131" s="37"/>
      <c r="G131" s="14" t="s">
        <v>37</v>
      </c>
      <c r="H131" s="15">
        <v>6362.5032299392196</v>
      </c>
      <c r="I131" s="15">
        <v>2593.121221297406</v>
      </c>
      <c r="J131" s="15">
        <v>8955.6244512366247</v>
      </c>
      <c r="K131" s="15">
        <v>20435.038701652105</v>
      </c>
      <c r="L131" s="15">
        <v>9041.3009283487681</v>
      </c>
      <c r="M131" s="15">
        <v>29476.339630000875</v>
      </c>
      <c r="N131" s="15">
        <v>4960.23149465399</v>
      </c>
      <c r="O131" s="15">
        <v>19466.336991891243</v>
      </c>
      <c r="P131" s="15">
        <v>3405.798656316123</v>
      </c>
      <c r="Q131" s="15">
        <v>5686.8297233729991</v>
      </c>
      <c r="R131" s="15">
        <v>10295.769959993959</v>
      </c>
      <c r="S131" s="15">
        <v>10335.68728004795</v>
      </c>
      <c r="T131" s="15">
        <v>13001.945259808705</v>
      </c>
      <c r="U131" s="15">
        <v>2836.0590348763085</v>
      </c>
      <c r="V131" s="15">
        <v>69988.658400961285</v>
      </c>
      <c r="W131" s="15">
        <v>108420.6224821988</v>
      </c>
      <c r="X131" s="15">
        <v>10625.7616327879</v>
      </c>
      <c r="Y131" s="16">
        <v>119046.38411498669</v>
      </c>
      <c r="Z131" s="17" t="str">
        <f>SUBSTITUTE(SUBSTITUTE(SUBSTITUTE(SUBSTITUTE(IF(E131="","",VLOOKUP(E131,[1]Esquemas_NORM!$A$2:$H$126,8,FALSE)),"PROVINCIA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131" s="17" t="str">
        <f>IF($E131="","",INDEX([1]Esquemas_NORM!$H$2:$K$126,MATCH($E131,[1]Esquemas_NORM!$A$2:$A$126,0),MATCH(AA$4,[1]Esquemas_NORM!$H$1:$K$1,0)))</f>
        <v/>
      </c>
      <c r="AB131" s="17" t="str">
        <f>IF($E131="","",INDEX([1]Esquemas_NORM!$H$2:$K$126,MATCH($E131,[1]Esquemas_NORM!$A$2:$A$126,0),MATCH(AB$4,[1]Esquemas_NORM!$H$1:$K$1,0)))</f>
        <v/>
      </c>
      <c r="AC131" s="17" t="str">
        <f>IF($E131="","",INDEX([1]Esquemas_NORM!$H$2:$K$126,MATCH($E131,[1]Esquemas_NORM!$A$2:$A$126,0),MATCH(AC$4,[1]Esquemas_NORM!$H$1:$K$1,0)))</f>
        <v/>
      </c>
      <c r="AD131" s="23"/>
    </row>
    <row r="132" spans="1:30" x14ac:dyDescent="0.25">
      <c r="A132" s="18">
        <v>2016</v>
      </c>
      <c r="B132" s="19" t="s">
        <v>36</v>
      </c>
      <c r="C132" s="19" t="s">
        <v>38</v>
      </c>
      <c r="D132" s="19" t="s">
        <v>39</v>
      </c>
      <c r="E132" s="19" t="s">
        <v>40</v>
      </c>
      <c r="F132" s="19" t="s">
        <v>41</v>
      </c>
      <c r="G132" s="19" t="s">
        <v>42</v>
      </c>
      <c r="H132" s="20">
        <v>118.83249783186872</v>
      </c>
      <c r="I132" s="20">
        <v>3.0616428526406159</v>
      </c>
      <c r="J132" s="21">
        <v>121.89414068450934</v>
      </c>
      <c r="K132" s="20">
        <v>6988.8109258908962</v>
      </c>
      <c r="L132" s="20">
        <v>4831.5050094255985</v>
      </c>
      <c r="M132" s="21">
        <v>11820.315935316496</v>
      </c>
      <c r="N132" s="20">
        <v>1644.9138083681191</v>
      </c>
      <c r="O132" s="20">
        <v>9108.650652800814</v>
      </c>
      <c r="P132" s="20">
        <v>1640.6220165288451</v>
      </c>
      <c r="Q132" s="20">
        <v>4059.5234211986713</v>
      </c>
      <c r="R132" s="20">
        <v>5047.6856197632487</v>
      </c>
      <c r="S132" s="20">
        <v>4820.0438167853326</v>
      </c>
      <c r="T132" s="20">
        <v>6922.1613079070448</v>
      </c>
      <c r="U132" s="20">
        <v>1336.8145986176592</v>
      </c>
      <c r="V132" s="21">
        <v>34580.415241969735</v>
      </c>
      <c r="W132" s="21">
        <v>46136.04811026992</v>
      </c>
      <c r="X132" s="20">
        <v>4521.5627679969184</v>
      </c>
      <c r="Y132" s="22">
        <v>50657.610878266823</v>
      </c>
      <c r="Z132" s="17" t="str">
        <f>SUBSTITUTE(SUBSTITUTE(SUBSTITUTE(SUBSTITUTE(IF(E132="","",VLOOKUP(E132,[1]Esquemas_NORM!$A$2:$H$126,8,FALSE)),"PROVINCIA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2" s="17" t="str">
        <f>IF($E132="","",INDEX([1]Esquemas_NORM!$H$2:$K$126,MATCH($E132,[1]Esquemas_NORM!$A$2:$A$126,0),MATCH(AA$4,[1]Esquemas_NORM!$H$1:$K$1,0)))</f>
        <v>A la fecha no ha conformado un EAT Región</v>
      </c>
      <c r="AB132" s="17" t="str">
        <f>IF($E132="","",INDEX([1]Esquemas_NORM!$H$2:$K$126,MATCH($E132,[1]Esquemas_NORM!$A$2:$A$126,0),MATCH(AB$4,[1]Esquemas_NORM!$H$1:$K$1,0)))</f>
        <v>Área Metropolitana del Valle de Aburrá</v>
      </c>
      <c r="AC132" s="17" t="str">
        <f>IF($E132="","",INDEX([1]Esquemas_NORM!$H$2:$K$126,MATCH($E132,[1]Esquemas_NORM!$A$2:$A$126,0),MATCH(AC$4,[1]Esquemas_NORM!$H$1:$K$1,0)))</f>
        <v>A la fecha no ha conformado un EAT asociación - unión</v>
      </c>
      <c r="AD132" s="23"/>
    </row>
    <row r="133" spans="1:30" x14ac:dyDescent="0.25">
      <c r="A133" s="24">
        <v>2016</v>
      </c>
      <c r="B133" s="25" t="s">
        <v>36</v>
      </c>
      <c r="C133" s="25" t="s">
        <v>38</v>
      </c>
      <c r="D133" s="25" t="s">
        <v>43</v>
      </c>
      <c r="E133" s="25" t="s">
        <v>44</v>
      </c>
      <c r="F133" s="25" t="s">
        <v>41</v>
      </c>
      <c r="G133" s="25" t="s">
        <v>45</v>
      </c>
      <c r="H133" s="26">
        <v>83.645339123286931</v>
      </c>
      <c r="I133" s="26">
        <v>13.819186556156103</v>
      </c>
      <c r="J133" s="27">
        <v>97.464525679443028</v>
      </c>
      <c r="K133" s="26">
        <v>320.96532112823155</v>
      </c>
      <c r="L133" s="26">
        <v>37.957923227382764</v>
      </c>
      <c r="M133" s="27">
        <v>358.92324435561432</v>
      </c>
      <c r="N133" s="26">
        <v>44.23346797686132</v>
      </c>
      <c r="O133" s="26">
        <v>38.403103375638345</v>
      </c>
      <c r="P133" s="26">
        <v>6.9839711619248623</v>
      </c>
      <c r="Q133" s="26">
        <v>4.6064236061772581</v>
      </c>
      <c r="R133" s="26">
        <v>22.251226921250563</v>
      </c>
      <c r="S133" s="26">
        <v>42.295332464864011</v>
      </c>
      <c r="T133" s="26">
        <v>160.86224575766536</v>
      </c>
      <c r="U133" s="26">
        <v>5.9096664730212103</v>
      </c>
      <c r="V133" s="27">
        <v>325.54543773740289</v>
      </c>
      <c r="W133" s="27">
        <v>781.21846363078089</v>
      </c>
      <c r="X133" s="26">
        <v>76.563304910335361</v>
      </c>
      <c r="Y133" s="28">
        <v>857.78176854111632</v>
      </c>
      <c r="Z133" s="17" t="str">
        <f>SUBSTITUTE(SUBSTITUTE(SUBSTITUTE(SUBSTITUTE(IF(E133="","",VLOOKUP(E133,[1]Esquemas_NORM!$A$2:$H$126,8,FALSE)),"PROVINCIA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3" s="17" t="str">
        <f>IF($E133="","",INDEX([1]Esquemas_NORM!$H$2:$K$126,MATCH($E133,[1]Esquemas_NORM!$A$2:$A$126,0),MATCH(AA$4,[1]Esquemas_NORM!$H$1:$K$1,0)))</f>
        <v>A la fecha no ha conformado un EAT Región</v>
      </c>
      <c r="AB133" s="17" t="str">
        <f>IF($E133="","",INDEX([1]Esquemas_NORM!$H$2:$K$126,MATCH($E133,[1]Esquemas_NORM!$A$2:$A$126,0),MATCH(AB$4,[1]Esquemas_NORM!$H$1:$K$1,0)))</f>
        <v>Área Metropolitana del Valle de Aburrá</v>
      </c>
      <c r="AC133" s="17" t="str">
        <f>IF($E133="","",INDEX([1]Esquemas_NORM!$H$2:$K$126,MATCH($E133,[1]Esquemas_NORM!$A$2:$A$126,0),MATCH(AC$4,[1]Esquemas_NORM!$H$1:$K$1,0)))</f>
        <v>A la fecha no ha conformado un EAT asociación - unión</v>
      </c>
      <c r="AD133" s="23"/>
    </row>
    <row r="134" spans="1:30" x14ac:dyDescent="0.25">
      <c r="A134" s="24">
        <v>2016</v>
      </c>
      <c r="B134" s="25" t="s">
        <v>36</v>
      </c>
      <c r="C134" s="25" t="s">
        <v>38</v>
      </c>
      <c r="D134" s="25" t="s">
        <v>43</v>
      </c>
      <c r="E134" s="25" t="s">
        <v>46</v>
      </c>
      <c r="F134" s="25" t="s">
        <v>41</v>
      </c>
      <c r="G134" s="25" t="s">
        <v>47</v>
      </c>
      <c r="H134" s="26">
        <v>24.292498353792745</v>
      </c>
      <c r="I134" s="26">
        <v>0.7395998817313526</v>
      </c>
      <c r="J134" s="27">
        <v>25.032098235524096</v>
      </c>
      <c r="K134" s="26">
        <v>599.54998436976734</v>
      </c>
      <c r="L134" s="26">
        <v>435.8469303179391</v>
      </c>
      <c r="M134" s="27">
        <v>1035.3969146877064</v>
      </c>
      <c r="N134" s="26">
        <v>206.31513339456453</v>
      </c>
      <c r="O134" s="26">
        <v>1237.8182548899947</v>
      </c>
      <c r="P134" s="26">
        <v>136.0071332323347</v>
      </c>
      <c r="Q134" s="26">
        <v>188.37992863758367</v>
      </c>
      <c r="R134" s="26">
        <v>650.67174781825986</v>
      </c>
      <c r="S134" s="26">
        <v>453.93382783156773</v>
      </c>
      <c r="T134" s="26">
        <v>435.84219421540951</v>
      </c>
      <c r="U134" s="26">
        <v>191.02277503463381</v>
      </c>
      <c r="V134" s="27">
        <v>3499.9909950543483</v>
      </c>
      <c r="W134" s="27">
        <v>4556.9428555503828</v>
      </c>
      <c r="X134" s="26">
        <v>446.60312262331655</v>
      </c>
      <c r="Y134" s="28">
        <v>5003.545978173699</v>
      </c>
      <c r="Z134" s="17" t="str">
        <f>SUBSTITUTE(SUBSTITUTE(SUBSTITUTE(SUBSTITUTE(IF(E134="","",VLOOKUP(E134,[1]Esquemas_NORM!$A$2:$H$126,8,FALSE)),"PROVINCIA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4" s="17" t="str">
        <f>IF($E134="","",INDEX([1]Esquemas_NORM!$H$2:$K$126,MATCH($E134,[1]Esquemas_NORM!$A$2:$A$126,0),MATCH(AA$4,[1]Esquemas_NORM!$H$1:$K$1,0)))</f>
        <v>A la fecha no ha conformado un EAT Región</v>
      </c>
      <c r="AB134" s="17" t="str">
        <f>IF($E134="","",INDEX([1]Esquemas_NORM!$H$2:$K$126,MATCH($E134,[1]Esquemas_NORM!$A$2:$A$126,0),MATCH(AB$4,[1]Esquemas_NORM!$H$1:$K$1,0)))</f>
        <v>Área Metropolitana del Valle de Aburrá</v>
      </c>
      <c r="AC134" s="17" t="str">
        <f>IF($E134="","",INDEX([1]Esquemas_NORM!$H$2:$K$126,MATCH($E134,[1]Esquemas_NORM!$A$2:$A$126,0),MATCH(AC$4,[1]Esquemas_NORM!$H$1:$K$1,0)))</f>
        <v>A la fecha no ha conformado un EAT asociación - unión</v>
      </c>
      <c r="AD134" s="23"/>
    </row>
    <row r="135" spans="1:30" x14ac:dyDescent="0.25">
      <c r="A135" s="24">
        <v>2016</v>
      </c>
      <c r="B135" s="25" t="s">
        <v>36</v>
      </c>
      <c r="C135" s="25" t="s">
        <v>38</v>
      </c>
      <c r="D135" s="25" t="s">
        <v>48</v>
      </c>
      <c r="E135" s="25" t="s">
        <v>49</v>
      </c>
      <c r="F135" s="25" t="s">
        <v>41</v>
      </c>
      <c r="G135" s="25" t="s">
        <v>50</v>
      </c>
      <c r="H135" s="26">
        <v>49.068075346527024</v>
      </c>
      <c r="I135" s="26">
        <v>0</v>
      </c>
      <c r="J135" s="27">
        <v>49.068075346527024</v>
      </c>
      <c r="K135" s="26">
        <v>234.97125862967991</v>
      </c>
      <c r="L135" s="26">
        <v>48.887472910595335</v>
      </c>
      <c r="M135" s="27">
        <v>283.85873154027524</v>
      </c>
      <c r="N135" s="26">
        <v>20.396008536020318</v>
      </c>
      <c r="O135" s="26">
        <v>198.90061729773049</v>
      </c>
      <c r="P135" s="26">
        <v>113.17773408345458</v>
      </c>
      <c r="Q135" s="26">
        <v>22.154570709372525</v>
      </c>
      <c r="R135" s="26">
        <v>72.92354221454363</v>
      </c>
      <c r="S135" s="26">
        <v>61.216030055602488</v>
      </c>
      <c r="T135" s="26">
        <v>74.047612160534428</v>
      </c>
      <c r="U135" s="26">
        <v>15.422847645119884</v>
      </c>
      <c r="V135" s="27">
        <v>578.23896270237833</v>
      </c>
      <c r="W135" s="27">
        <v>911.37191967184447</v>
      </c>
      <c r="X135" s="26">
        <v>89.318992600680232</v>
      </c>
      <c r="Y135" s="28">
        <v>1000.690912272525</v>
      </c>
      <c r="Z135" s="17" t="str">
        <f>SUBSTITUTE(SUBSTITUTE(SUBSTITUTE(SUBSTITUTE(IF(E135="","",VLOOKUP(E135,[1]Esquemas_NORM!$A$2:$H$126,8,FALSE)),"PROVINCIA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5" s="17" t="str">
        <f>IF($E135="","",INDEX([1]Esquemas_NORM!$H$2:$K$126,MATCH($E135,[1]Esquemas_NORM!$A$2:$A$126,0),MATCH(AA$4,[1]Esquemas_NORM!$H$1:$K$1,0)))</f>
        <v>A la fecha no ha conformado un EAT Región</v>
      </c>
      <c r="AB135" s="17" t="str">
        <f>IF($E135="","",INDEX([1]Esquemas_NORM!$H$2:$K$126,MATCH($E135,[1]Esquemas_NORM!$A$2:$A$126,0),MATCH(AB$4,[1]Esquemas_NORM!$H$1:$K$1,0)))</f>
        <v>Área Metropolitana del Valle de Aburrá</v>
      </c>
      <c r="AC135" s="17" t="str">
        <f>IF($E135="","",INDEX([1]Esquemas_NORM!$H$2:$K$126,MATCH($E135,[1]Esquemas_NORM!$A$2:$A$126,0),MATCH(AC$4,[1]Esquemas_NORM!$H$1:$K$1,0)))</f>
        <v>A la fecha no ha conformado un EAT asociación - unión</v>
      </c>
      <c r="AD135" s="23"/>
    </row>
    <row r="136" spans="1:30" x14ac:dyDescent="0.25">
      <c r="A136" s="24">
        <v>2016</v>
      </c>
      <c r="B136" s="25" t="s">
        <v>36</v>
      </c>
      <c r="C136" s="25" t="s">
        <v>38</v>
      </c>
      <c r="D136" s="25" t="s">
        <v>43</v>
      </c>
      <c r="E136" s="25" t="s">
        <v>51</v>
      </c>
      <c r="F136" s="25" t="s">
        <v>41</v>
      </c>
      <c r="G136" s="25" t="s">
        <v>52</v>
      </c>
      <c r="H136" s="26">
        <v>7.5038080623496199</v>
      </c>
      <c r="I136" s="26">
        <v>2.0391711771065857E-3</v>
      </c>
      <c r="J136" s="27">
        <v>7.5058472335267261</v>
      </c>
      <c r="K136" s="26">
        <v>392.11126593515451</v>
      </c>
      <c r="L136" s="26">
        <v>128.18531830963036</v>
      </c>
      <c r="M136" s="27">
        <v>520.29658424478487</v>
      </c>
      <c r="N136" s="26">
        <v>29.30895097121801</v>
      </c>
      <c r="O136" s="26">
        <v>124.10716077888846</v>
      </c>
      <c r="P136" s="26">
        <v>31.54955176193225</v>
      </c>
      <c r="Q136" s="26">
        <v>17.427490745598313</v>
      </c>
      <c r="R136" s="26">
        <v>82.733500613831211</v>
      </c>
      <c r="S136" s="26">
        <v>77.436228924204542</v>
      </c>
      <c r="T136" s="26">
        <v>177.5180788002713</v>
      </c>
      <c r="U136" s="26">
        <v>17.445160422041695</v>
      </c>
      <c r="V136" s="27">
        <v>557.5261230179857</v>
      </c>
      <c r="W136" s="27">
        <v>1073.6349099368633</v>
      </c>
      <c r="X136" s="26">
        <v>105.22157475624033</v>
      </c>
      <c r="Y136" s="28">
        <v>1178.8564846931033</v>
      </c>
      <c r="Z136" s="17" t="str">
        <f>SUBSTITUTE(SUBSTITUTE(SUBSTITUTE(SUBSTITUTE(IF(E136="","",VLOOKUP(E136,[1]Esquemas_NORM!$A$2:$H$126,8,FALSE)),"PROVINCIA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6" s="17" t="str">
        <f>IF($E136="","",INDEX([1]Esquemas_NORM!$H$2:$K$126,MATCH($E136,[1]Esquemas_NORM!$A$2:$A$126,0),MATCH(AA$4,[1]Esquemas_NORM!$H$1:$K$1,0)))</f>
        <v>A la fecha no ha conformado un EAT Región</v>
      </c>
      <c r="AB136" s="17" t="str">
        <f>IF($E136="","",INDEX([1]Esquemas_NORM!$H$2:$K$126,MATCH($E136,[1]Esquemas_NORM!$A$2:$A$126,0),MATCH(AB$4,[1]Esquemas_NORM!$H$1:$K$1,0)))</f>
        <v>Área Metropolitana del Valle de Aburrá</v>
      </c>
      <c r="AC136" s="17" t="str">
        <f>IF($E136="","",INDEX([1]Esquemas_NORM!$H$2:$K$126,MATCH($E136,[1]Esquemas_NORM!$A$2:$A$126,0),MATCH(AC$4,[1]Esquemas_NORM!$H$1:$K$1,0)))</f>
        <v>A la fecha no ha conformado un EAT asociación - unión</v>
      </c>
      <c r="AD136" s="23"/>
    </row>
    <row r="137" spans="1:30" x14ac:dyDescent="0.25">
      <c r="A137" s="24">
        <v>2016</v>
      </c>
      <c r="B137" s="25" t="s">
        <v>36</v>
      </c>
      <c r="C137" s="25" t="s">
        <v>38</v>
      </c>
      <c r="D137" s="25" t="s">
        <v>48</v>
      </c>
      <c r="E137" s="25" t="s">
        <v>53</v>
      </c>
      <c r="F137" s="25" t="s">
        <v>41</v>
      </c>
      <c r="G137" s="25" t="s">
        <v>54</v>
      </c>
      <c r="H137" s="26">
        <v>14.042010293138677</v>
      </c>
      <c r="I137" s="26">
        <v>0</v>
      </c>
      <c r="J137" s="27">
        <v>14.042010293138677</v>
      </c>
      <c r="K137" s="26">
        <v>2313.2509292301756</v>
      </c>
      <c r="L137" s="26">
        <v>554.35835205983881</v>
      </c>
      <c r="M137" s="27">
        <v>2867.6092812900142</v>
      </c>
      <c r="N137" s="26">
        <v>310.45774520325011</v>
      </c>
      <c r="O137" s="26">
        <v>1528.5882936301689</v>
      </c>
      <c r="P137" s="26">
        <v>300.89462851306337</v>
      </c>
      <c r="Q137" s="26">
        <v>259.68793365597361</v>
      </c>
      <c r="R137" s="26">
        <v>1114.5847857097358</v>
      </c>
      <c r="S137" s="26">
        <v>950.69989432922603</v>
      </c>
      <c r="T137" s="26">
        <v>479.33549384939556</v>
      </c>
      <c r="U137" s="26">
        <v>351.22113495029083</v>
      </c>
      <c r="V137" s="27">
        <v>5295.4699098411038</v>
      </c>
      <c r="W137" s="27">
        <v>8112.1216801790861</v>
      </c>
      <c r="X137" s="26">
        <v>795.02837501146621</v>
      </c>
      <c r="Y137" s="28">
        <v>8907.1500551905483</v>
      </c>
      <c r="Z137" s="17" t="str">
        <f>SUBSTITUTE(SUBSTITUTE(SUBSTITUTE(SUBSTITUTE(IF(E137="","",VLOOKUP(E137,[1]Esquemas_NORM!$A$2:$H$126,8,FALSE)),"PROVINCIA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7" s="17" t="str">
        <f>IF($E137="","",INDEX([1]Esquemas_NORM!$H$2:$K$126,MATCH($E137,[1]Esquemas_NORM!$A$2:$A$126,0),MATCH(AA$4,[1]Esquemas_NORM!$H$1:$K$1,0)))</f>
        <v>A la fecha no ha conformado un EAT Región</v>
      </c>
      <c r="AB137" s="17" t="str">
        <f>IF($E137="","",INDEX([1]Esquemas_NORM!$H$2:$K$126,MATCH($E137,[1]Esquemas_NORM!$A$2:$A$126,0),MATCH(AB$4,[1]Esquemas_NORM!$H$1:$K$1,0)))</f>
        <v>Área Metropolitana del Valle de Aburrá</v>
      </c>
      <c r="AC137" s="17" t="str">
        <f>IF($E137="","",INDEX([1]Esquemas_NORM!$H$2:$K$126,MATCH($E137,[1]Esquemas_NORM!$A$2:$A$126,0),MATCH(AC$4,[1]Esquemas_NORM!$H$1:$K$1,0)))</f>
        <v>A la fecha no ha conformado un EAT asociación - unión</v>
      </c>
      <c r="AD137" s="23"/>
    </row>
    <row r="138" spans="1:30" x14ac:dyDescent="0.25">
      <c r="A138" s="24">
        <v>2016</v>
      </c>
      <c r="B138" s="25" t="s">
        <v>36</v>
      </c>
      <c r="C138" s="25" t="s">
        <v>38</v>
      </c>
      <c r="D138" s="25" t="s">
        <v>43</v>
      </c>
      <c r="E138" s="25" t="s">
        <v>55</v>
      </c>
      <c r="F138" s="25" t="s">
        <v>41</v>
      </c>
      <c r="G138" s="25" t="s">
        <v>56</v>
      </c>
      <c r="H138" s="26">
        <v>31.968238908971127</v>
      </c>
      <c r="I138" s="26">
        <v>2.1943843959304399</v>
      </c>
      <c r="J138" s="27">
        <v>34.162623304901565</v>
      </c>
      <c r="K138" s="26">
        <v>1114.0279091400225</v>
      </c>
      <c r="L138" s="26">
        <v>123.2015774149255</v>
      </c>
      <c r="M138" s="27">
        <v>1237.2294865549479</v>
      </c>
      <c r="N138" s="26">
        <v>21.41379239969697</v>
      </c>
      <c r="O138" s="26">
        <v>137.53905033849685</v>
      </c>
      <c r="P138" s="26">
        <v>64.721086605383206</v>
      </c>
      <c r="Q138" s="26">
        <v>9.1466259612596854</v>
      </c>
      <c r="R138" s="26">
        <v>35.769462543557232</v>
      </c>
      <c r="S138" s="26">
        <v>93.041540721778347</v>
      </c>
      <c r="T138" s="26">
        <v>150.64734565250862</v>
      </c>
      <c r="U138" s="26">
        <v>8.1763755844317103</v>
      </c>
      <c r="V138" s="27">
        <v>520.45527980711267</v>
      </c>
      <c r="W138" s="27">
        <v>1761.3846556627057</v>
      </c>
      <c r="X138" s="26">
        <v>172.62447923867066</v>
      </c>
      <c r="Y138" s="28">
        <v>1934.009134901376</v>
      </c>
      <c r="Z138" s="17" t="str">
        <f>SUBSTITUTE(SUBSTITUTE(SUBSTITUTE(SUBSTITUTE(IF(E138="","",VLOOKUP(E138,[1]Esquemas_NORM!$A$2:$H$126,8,FALSE)),"PROVINCIA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8" s="17" t="str">
        <f>IF($E138="","",INDEX([1]Esquemas_NORM!$H$2:$K$126,MATCH($E138,[1]Esquemas_NORM!$A$2:$A$126,0),MATCH(AA$4,[1]Esquemas_NORM!$H$1:$K$1,0)))</f>
        <v>A la fecha no ha conformado un EAT Región</v>
      </c>
      <c r="AB138" s="17" t="str">
        <f>IF($E138="","",INDEX([1]Esquemas_NORM!$H$2:$K$126,MATCH($E138,[1]Esquemas_NORM!$A$2:$A$126,0),MATCH(AB$4,[1]Esquemas_NORM!$H$1:$K$1,0)))</f>
        <v>Área Metropolitana del Valle de Aburrá</v>
      </c>
      <c r="AC138" s="17" t="str">
        <f>IF($E138="","",INDEX([1]Esquemas_NORM!$H$2:$K$126,MATCH($E138,[1]Esquemas_NORM!$A$2:$A$126,0),MATCH(AC$4,[1]Esquemas_NORM!$H$1:$K$1,0)))</f>
        <v>A la fecha no ha conformado un EAT asociación - unión</v>
      </c>
      <c r="AD138" s="23"/>
    </row>
    <row r="139" spans="1:30" x14ac:dyDescent="0.25">
      <c r="A139" s="24">
        <v>2016</v>
      </c>
      <c r="B139" s="25" t="s">
        <v>36</v>
      </c>
      <c r="C139" s="25" t="s">
        <v>38</v>
      </c>
      <c r="D139" s="25" t="s">
        <v>48</v>
      </c>
      <c r="E139" s="25" t="s">
        <v>57</v>
      </c>
      <c r="F139" s="25" t="s">
        <v>41</v>
      </c>
      <c r="G139" s="25" t="s">
        <v>58</v>
      </c>
      <c r="H139" s="26">
        <v>0.19245641625931284</v>
      </c>
      <c r="I139" s="26">
        <v>0.26384912663182031</v>
      </c>
      <c r="J139" s="27">
        <v>0.45630554289113312</v>
      </c>
      <c r="K139" s="26">
        <v>2514.4447580953806</v>
      </c>
      <c r="L139" s="26">
        <v>477.85115637692064</v>
      </c>
      <c r="M139" s="27">
        <v>2992.2959144723013</v>
      </c>
      <c r="N139" s="26">
        <v>311.41968353270477</v>
      </c>
      <c r="O139" s="26">
        <v>1260.0055713230768</v>
      </c>
      <c r="P139" s="26">
        <v>133.3354932247681</v>
      </c>
      <c r="Q139" s="26">
        <v>258.19599908319071</v>
      </c>
      <c r="R139" s="26">
        <v>677.38359139814781</v>
      </c>
      <c r="S139" s="26">
        <v>730.4549419055013</v>
      </c>
      <c r="T139" s="26">
        <v>272.96263840212009</v>
      </c>
      <c r="U139" s="26">
        <v>147.66803448445049</v>
      </c>
      <c r="V139" s="27">
        <v>3791.4259533539603</v>
      </c>
      <c r="W139" s="27">
        <v>6716.4379322535215</v>
      </c>
      <c r="X139" s="26">
        <v>658.24440826521516</v>
      </c>
      <c r="Y139" s="28">
        <v>7374.6823405187351</v>
      </c>
      <c r="Z139" s="17" t="str">
        <f>SUBSTITUTE(SUBSTITUTE(SUBSTITUTE(SUBSTITUTE(IF(E139="","",VLOOKUP(E139,[1]Esquemas_NORM!$A$2:$H$126,8,FALSE)),"PROVINCIA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39" s="17" t="str">
        <f>IF($E139="","",INDEX([1]Esquemas_NORM!$H$2:$K$126,MATCH($E139,[1]Esquemas_NORM!$A$2:$A$126,0),MATCH(AA$4,[1]Esquemas_NORM!$H$1:$K$1,0)))</f>
        <v>A la fecha no ha conformado un EAT Región</v>
      </c>
      <c r="AB139" s="17" t="str">
        <f>IF($E139="","",INDEX([1]Esquemas_NORM!$H$2:$K$126,MATCH($E139,[1]Esquemas_NORM!$A$2:$A$126,0),MATCH(AB$4,[1]Esquemas_NORM!$H$1:$K$1,0)))</f>
        <v>Área Metropolitana del Valle de Aburrá</v>
      </c>
      <c r="AC139" s="17" t="str">
        <f>IF($E139="","",INDEX([1]Esquemas_NORM!$H$2:$K$126,MATCH($E139,[1]Esquemas_NORM!$A$2:$A$126,0),MATCH(AC$4,[1]Esquemas_NORM!$H$1:$K$1,0)))</f>
        <v>A la fecha no ha conformado un EAT asociación - unión</v>
      </c>
      <c r="AD139" s="23"/>
    </row>
    <row r="140" spans="1:30" x14ac:dyDescent="0.25">
      <c r="A140" s="24">
        <v>2016</v>
      </c>
      <c r="B140" s="25" t="s">
        <v>36</v>
      </c>
      <c r="C140" s="25" t="s">
        <v>38</v>
      </c>
      <c r="D140" s="25" t="s">
        <v>48</v>
      </c>
      <c r="E140" s="25" t="s">
        <v>59</v>
      </c>
      <c r="F140" s="25" t="s">
        <v>41</v>
      </c>
      <c r="G140" s="25" t="s">
        <v>60</v>
      </c>
      <c r="H140" s="26">
        <v>5.1885962284395593</v>
      </c>
      <c r="I140" s="26">
        <v>0</v>
      </c>
      <c r="J140" s="27">
        <v>5.1885962284395593</v>
      </c>
      <c r="K140" s="26">
        <v>618.43742862846068</v>
      </c>
      <c r="L140" s="26">
        <v>113.94064527344537</v>
      </c>
      <c r="M140" s="27">
        <v>732.37807390190608</v>
      </c>
      <c r="N140" s="26">
        <v>53.417928127702673</v>
      </c>
      <c r="O140" s="26">
        <v>215.16506803559682</v>
      </c>
      <c r="P140" s="26">
        <v>59.194385137416567</v>
      </c>
      <c r="Q140" s="26">
        <v>16.084460062872338</v>
      </c>
      <c r="R140" s="26">
        <v>97.007968837462741</v>
      </c>
      <c r="S140" s="26">
        <v>111.36675127083011</v>
      </c>
      <c r="T140" s="26">
        <v>90.470938410403647</v>
      </c>
      <c r="U140" s="26">
        <v>24.72188803202566</v>
      </c>
      <c r="V140" s="27">
        <v>667.4293879143105</v>
      </c>
      <c r="W140" s="27">
        <v>1389.9242779719596</v>
      </c>
      <c r="X140" s="26">
        <v>136.21950997173047</v>
      </c>
      <c r="Y140" s="28">
        <v>1526.1437879436894</v>
      </c>
      <c r="Z140" s="17" t="str">
        <f>SUBSTITUTE(SUBSTITUTE(SUBSTITUTE(SUBSTITUTE(IF(E140="","",VLOOKUP(E140,[1]Esquemas_NORM!$A$2:$H$126,8,FALSE)),"PROVINCIA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0" s="17" t="str">
        <f>IF($E140="","",INDEX([1]Esquemas_NORM!$H$2:$K$126,MATCH($E140,[1]Esquemas_NORM!$A$2:$A$126,0),MATCH(AA$4,[1]Esquemas_NORM!$H$1:$K$1,0)))</f>
        <v>A la fecha no ha conformado un EAT Región</v>
      </c>
      <c r="AB140" s="17" t="str">
        <f>IF($E140="","",INDEX([1]Esquemas_NORM!$H$2:$K$126,MATCH($E140,[1]Esquemas_NORM!$A$2:$A$126,0),MATCH(AB$4,[1]Esquemas_NORM!$H$1:$K$1,0)))</f>
        <v>Área Metropolitana del Valle de Aburrá</v>
      </c>
      <c r="AC140" s="17" t="str">
        <f>IF($E140="","",INDEX([1]Esquemas_NORM!$H$2:$K$126,MATCH($E140,[1]Esquemas_NORM!$A$2:$A$126,0),MATCH(AC$4,[1]Esquemas_NORM!$H$1:$K$1,0)))</f>
        <v>A la fecha no ha conformado un EAT asociación - unión</v>
      </c>
      <c r="AD140" s="23"/>
    </row>
    <row r="141" spans="1:30" x14ac:dyDescent="0.25">
      <c r="A141" s="24">
        <v>2016</v>
      </c>
      <c r="B141" s="25" t="s">
        <v>36</v>
      </c>
      <c r="C141" s="25" t="s">
        <v>38</v>
      </c>
      <c r="D141" s="25" t="s">
        <v>48</v>
      </c>
      <c r="E141" s="25" t="s">
        <v>61</v>
      </c>
      <c r="F141" s="25" t="s">
        <v>41</v>
      </c>
      <c r="G141" s="25" t="s">
        <v>62</v>
      </c>
      <c r="H141" s="26">
        <v>7.0330519514955636</v>
      </c>
      <c r="I141" s="26">
        <v>0</v>
      </c>
      <c r="J141" s="27">
        <v>7.0330519514955636</v>
      </c>
      <c r="K141" s="26">
        <v>1172.4884590272629</v>
      </c>
      <c r="L141" s="26">
        <v>175.20485013593867</v>
      </c>
      <c r="M141" s="27">
        <v>1347.6933091632015</v>
      </c>
      <c r="N141" s="26">
        <v>98.689732755282947</v>
      </c>
      <c r="O141" s="26">
        <v>351.06860456994883</v>
      </c>
      <c r="P141" s="26">
        <v>57.886274568678353</v>
      </c>
      <c r="Q141" s="26">
        <v>56.873781072780609</v>
      </c>
      <c r="R141" s="26">
        <v>297.48966703208612</v>
      </c>
      <c r="S141" s="26">
        <v>276.14072482480327</v>
      </c>
      <c r="T141" s="26">
        <v>305.19307650305069</v>
      </c>
      <c r="U141" s="26">
        <v>59.227647390435074</v>
      </c>
      <c r="V141" s="27">
        <v>1502.5695087170659</v>
      </c>
      <c r="W141" s="27">
        <v>2822.7120032850025</v>
      </c>
      <c r="X141" s="26">
        <v>276.6398515175494</v>
      </c>
      <c r="Y141" s="28">
        <v>3099.3518548025513</v>
      </c>
      <c r="Z141" s="17" t="str">
        <f>SUBSTITUTE(SUBSTITUTE(SUBSTITUTE(SUBSTITUTE(IF(E141="","",VLOOKUP(E141,[1]Esquemas_NORM!$A$2:$H$126,8,FALSE)),"PROVINCIA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1" s="17" t="str">
        <f>IF($E141="","",INDEX([1]Esquemas_NORM!$H$2:$K$126,MATCH($E141,[1]Esquemas_NORM!$A$2:$A$126,0),MATCH(AA$4,[1]Esquemas_NORM!$H$1:$K$1,0)))</f>
        <v>A la fecha no ha conformado un EAT Región</v>
      </c>
      <c r="AB141" s="17" t="str">
        <f>IF($E141="","",INDEX([1]Esquemas_NORM!$H$2:$K$126,MATCH($E141,[1]Esquemas_NORM!$A$2:$A$126,0),MATCH(AB$4,[1]Esquemas_NORM!$H$1:$K$1,0)))</f>
        <v>Área Metropolitana del Valle de Aburrá</v>
      </c>
      <c r="AC141" s="17" t="str">
        <f>IF($E141="","",INDEX([1]Esquemas_NORM!$H$2:$K$126,MATCH($E141,[1]Esquemas_NORM!$A$2:$A$126,0),MATCH(AC$4,[1]Esquemas_NORM!$H$1:$K$1,0)))</f>
        <v>A la fecha no ha conformado un EAT asociación - unión</v>
      </c>
      <c r="AD141" s="23"/>
    </row>
    <row r="142" spans="1:30" x14ac:dyDescent="0.25">
      <c r="A142" s="24">
        <v>2016</v>
      </c>
      <c r="B142" s="25" t="s">
        <v>36</v>
      </c>
      <c r="C142" s="25" t="s">
        <v>63</v>
      </c>
      <c r="D142" s="25" t="s">
        <v>64</v>
      </c>
      <c r="E142" s="25" t="s">
        <v>65</v>
      </c>
      <c r="F142" s="25" t="s">
        <v>66</v>
      </c>
      <c r="G142" s="25" t="s">
        <v>67</v>
      </c>
      <c r="H142" s="26">
        <v>51.234096832242763</v>
      </c>
      <c r="I142" s="26">
        <v>112.96442404127953</v>
      </c>
      <c r="J142" s="27">
        <v>164.19852087352228</v>
      </c>
      <c r="K142" s="26">
        <v>25.404541450702258</v>
      </c>
      <c r="L142" s="26">
        <v>0.38932438191057539</v>
      </c>
      <c r="M142" s="27">
        <v>25.793865832612834</v>
      </c>
      <c r="N142" s="26">
        <v>31.819155070898368</v>
      </c>
      <c r="O142" s="26">
        <v>30.784774084959341</v>
      </c>
      <c r="P142" s="26">
        <v>5.6089525812662213</v>
      </c>
      <c r="Q142" s="26">
        <v>3.7212955499254963</v>
      </c>
      <c r="R142" s="26">
        <v>6.2091884946923921</v>
      </c>
      <c r="S142" s="26">
        <v>30.232004364712022</v>
      </c>
      <c r="T142" s="26">
        <v>91.051893758302725</v>
      </c>
      <c r="U142" s="26">
        <v>3.2648018796985929</v>
      </c>
      <c r="V142" s="27">
        <v>202.69206578445517</v>
      </c>
      <c r="W142" s="27">
        <v>401.12809473918583</v>
      </c>
      <c r="X142" s="26">
        <v>39.312553473080975</v>
      </c>
      <c r="Y142" s="28">
        <v>440.44064821226544</v>
      </c>
      <c r="Z142" s="17" t="str">
        <f>SUBSTITUTE(SUBSTITUTE(SUBSTITUTE(SUBSTITUTE(IF(E142="","",VLOOKUP(E142,[1]Esquemas_NORM!$A$2:$H$126,8,FALSE)),"PROVINCIA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2" s="17" t="str">
        <f>IF($E142="","",INDEX([1]Esquemas_NORM!$H$2:$K$126,MATCH($E142,[1]Esquemas_NORM!$A$2:$A$126,0),MATCH(AA$4,[1]Esquemas_NORM!$H$1:$K$1,0)))</f>
        <v>Región de Planeación y Gestión del Bajo Cauca</v>
      </c>
      <c r="AB142" s="17" t="str">
        <f>IF($E142="","",INDEX([1]Esquemas_NORM!$H$2:$K$126,MATCH($E142,[1]Esquemas_NORM!$A$2:$A$126,0),MATCH(AB$4,[1]Esquemas_NORM!$H$1:$K$1,0)))</f>
        <v>A la fecha no ha conformado un EAT Área Metropolitana</v>
      </c>
      <c r="AC142" s="17" t="str">
        <f>IF($E142="","",INDEX([1]Esquemas_NORM!$H$2:$K$126,MATCH($E142,[1]Esquemas_NORM!$A$2:$A$126,0),MATCH(AC$4,[1]Esquemas_NORM!$H$1:$K$1,0)))</f>
        <v>A la fecha no ha conformado un EAT asociación - unión</v>
      </c>
      <c r="AD142" s="23"/>
    </row>
    <row r="143" spans="1:30" x14ac:dyDescent="0.25">
      <c r="A143" s="24">
        <v>2016</v>
      </c>
      <c r="B143" s="25" t="s">
        <v>36</v>
      </c>
      <c r="C143" s="25" t="s">
        <v>63</v>
      </c>
      <c r="D143" s="25" t="s">
        <v>64</v>
      </c>
      <c r="E143" s="25" t="s">
        <v>68</v>
      </c>
      <c r="F143" s="25" t="s">
        <v>66</v>
      </c>
      <c r="G143" s="25" t="s">
        <v>69</v>
      </c>
      <c r="H143" s="26">
        <v>28.444681007883201</v>
      </c>
      <c r="I143" s="26">
        <v>48.70182289690937</v>
      </c>
      <c r="J143" s="27">
        <v>77.146503904792567</v>
      </c>
      <c r="K143" s="26">
        <v>44.446716513010458</v>
      </c>
      <c r="L143" s="26">
        <v>27.34641980061841</v>
      </c>
      <c r="M143" s="27">
        <v>71.793136313628864</v>
      </c>
      <c r="N143" s="26">
        <v>34.438044605223944</v>
      </c>
      <c r="O143" s="26">
        <v>330.20320782534071</v>
      </c>
      <c r="P143" s="26">
        <v>25.282830215064582</v>
      </c>
      <c r="Q143" s="26">
        <v>23.993367355764708</v>
      </c>
      <c r="R143" s="26">
        <v>41.69913727034826</v>
      </c>
      <c r="S143" s="26">
        <v>83.28055791519273</v>
      </c>
      <c r="T143" s="26">
        <v>109.15253859945454</v>
      </c>
      <c r="U143" s="26">
        <v>15.18763135509961</v>
      </c>
      <c r="V143" s="27">
        <v>663.23731514148915</v>
      </c>
      <c r="W143" s="27">
        <v>824.208749417852</v>
      </c>
      <c r="X143" s="26">
        <v>80.776567284618409</v>
      </c>
      <c r="Y143" s="28">
        <v>904.98531670246973</v>
      </c>
      <c r="Z143" s="17" t="str">
        <f>SUBSTITUTE(SUBSTITUTE(SUBSTITUTE(SUBSTITUTE(IF(E143="","",VLOOKUP(E143,[1]Esquemas_NORM!$A$2:$H$126,8,FALSE)),"PROVINCIA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3" s="17" t="str">
        <f>IF($E143="","",INDEX([1]Esquemas_NORM!$H$2:$K$126,MATCH($E143,[1]Esquemas_NORM!$A$2:$A$126,0),MATCH(AA$4,[1]Esquemas_NORM!$H$1:$K$1,0)))</f>
        <v>Región de Planeación y Gestión del Bajo Cauca</v>
      </c>
      <c r="AB143" s="17" t="str">
        <f>IF($E143="","",INDEX([1]Esquemas_NORM!$H$2:$K$126,MATCH($E143,[1]Esquemas_NORM!$A$2:$A$126,0),MATCH(AB$4,[1]Esquemas_NORM!$H$1:$K$1,0)))</f>
        <v>A la fecha no ha conformado un EAT Área Metropolitana</v>
      </c>
      <c r="AC143" s="17" t="str">
        <f>IF($E143="","",INDEX([1]Esquemas_NORM!$H$2:$K$126,MATCH($E143,[1]Esquemas_NORM!$A$2:$A$126,0),MATCH(AC$4,[1]Esquemas_NORM!$H$1:$K$1,0)))</f>
        <v>A la fecha no ha conformado un EAT asociación - unión</v>
      </c>
      <c r="AD143" s="23"/>
    </row>
    <row r="144" spans="1:30" x14ac:dyDescent="0.25">
      <c r="A144" s="24">
        <v>2016</v>
      </c>
      <c r="B144" s="25" t="s">
        <v>36</v>
      </c>
      <c r="C144" s="25" t="s">
        <v>63</v>
      </c>
      <c r="D144" s="25" t="s">
        <v>64</v>
      </c>
      <c r="E144" s="25" t="s">
        <v>70</v>
      </c>
      <c r="F144" s="25" t="s">
        <v>66</v>
      </c>
      <c r="G144" s="25" t="s">
        <v>71</v>
      </c>
      <c r="H144" s="26">
        <v>19.953695493360893</v>
      </c>
      <c r="I144" s="26">
        <v>628.89083504016344</v>
      </c>
      <c r="J144" s="27">
        <v>648.84453053352433</v>
      </c>
      <c r="K144" s="26">
        <v>23.072104063910722</v>
      </c>
      <c r="L144" s="26">
        <v>9.7474065379705177</v>
      </c>
      <c r="M144" s="27">
        <v>32.819510601881241</v>
      </c>
      <c r="N144" s="26">
        <v>21.248102236462746</v>
      </c>
      <c r="O144" s="26">
        <v>94.06604490195771</v>
      </c>
      <c r="P144" s="26">
        <v>14.140379072388892</v>
      </c>
      <c r="Q144" s="26">
        <v>11.34426587349575</v>
      </c>
      <c r="R144" s="26">
        <v>17.202007946691236</v>
      </c>
      <c r="S144" s="26">
        <v>86.586997369190215</v>
      </c>
      <c r="T144" s="26">
        <v>54.507821845082987</v>
      </c>
      <c r="U144" s="26">
        <v>8.3356826092275309</v>
      </c>
      <c r="V144" s="27">
        <v>307.43130185449706</v>
      </c>
      <c r="W144" s="27">
        <v>1008.6519938527366</v>
      </c>
      <c r="X144" s="26">
        <v>98.852924948823514</v>
      </c>
      <c r="Y144" s="28">
        <v>1107.5049188015512</v>
      </c>
      <c r="Z144" s="17" t="str">
        <f>SUBSTITUTE(SUBSTITUTE(SUBSTITUTE(SUBSTITUTE(IF(E144="","",VLOOKUP(E144,[1]Esquemas_NORM!$A$2:$H$126,8,FALSE)),"PROVINCIA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4" s="17" t="str">
        <f>IF($E144="","",INDEX([1]Esquemas_NORM!$H$2:$K$126,MATCH($E144,[1]Esquemas_NORM!$A$2:$A$126,0),MATCH(AA$4,[1]Esquemas_NORM!$H$1:$K$1,0)))</f>
        <v>Región de Planeación y Gestión del Bajo Cauca</v>
      </c>
      <c r="AB144" s="17" t="str">
        <f>IF($E144="","",INDEX([1]Esquemas_NORM!$H$2:$K$126,MATCH($E144,[1]Esquemas_NORM!$A$2:$A$126,0),MATCH(AB$4,[1]Esquemas_NORM!$H$1:$K$1,0)))</f>
        <v>A la fecha no ha conformado un EAT Área Metropolitana</v>
      </c>
      <c r="AC144" s="17" t="str">
        <f>IF($E144="","",INDEX([1]Esquemas_NORM!$H$2:$K$126,MATCH($E144,[1]Esquemas_NORM!$A$2:$A$126,0),MATCH(AC$4,[1]Esquemas_NORM!$H$1:$K$1,0)))</f>
        <v>A la fecha no ha conformado un EAT asociación - unión</v>
      </c>
      <c r="AD144" s="23"/>
    </row>
    <row r="145" spans="1:30" x14ac:dyDescent="0.25">
      <c r="A145" s="24">
        <v>2016</v>
      </c>
      <c r="B145" s="25" t="s">
        <v>36</v>
      </c>
      <c r="C145" s="25" t="s">
        <v>63</v>
      </c>
      <c r="D145" s="25" t="s">
        <v>64</v>
      </c>
      <c r="E145" s="25" t="s">
        <v>72</v>
      </c>
      <c r="F145" s="25" t="s">
        <v>66</v>
      </c>
      <c r="G145" s="25" t="s">
        <v>73</v>
      </c>
      <c r="H145" s="26">
        <v>25.94424056781871</v>
      </c>
      <c r="I145" s="26">
        <v>117.15093666685024</v>
      </c>
      <c r="J145" s="27">
        <v>143.09517723466894</v>
      </c>
      <c r="K145" s="26">
        <v>6.4107303301975316</v>
      </c>
      <c r="L145" s="26">
        <v>10.503301929902634</v>
      </c>
      <c r="M145" s="27">
        <v>16.914032260100164</v>
      </c>
      <c r="N145" s="26">
        <v>7.2409338082004577</v>
      </c>
      <c r="O145" s="26">
        <v>33.672960667340355</v>
      </c>
      <c r="P145" s="26">
        <v>5.5449369222353049</v>
      </c>
      <c r="Q145" s="26">
        <v>4.4434334427784954</v>
      </c>
      <c r="R145" s="26">
        <v>8.0014020519846252</v>
      </c>
      <c r="S145" s="26">
        <v>25.87129984091461</v>
      </c>
      <c r="T145" s="26">
        <v>45.845678753631809</v>
      </c>
      <c r="U145" s="26">
        <v>3.9696056034439819</v>
      </c>
      <c r="V145" s="27">
        <v>134.59025109052965</v>
      </c>
      <c r="W145" s="27">
        <v>300.46993282519196</v>
      </c>
      <c r="X145" s="26">
        <v>29.447551682783082</v>
      </c>
      <c r="Y145" s="28">
        <v>329.91748450797343</v>
      </c>
      <c r="Z145" s="17" t="str">
        <f>SUBSTITUTE(SUBSTITUTE(SUBSTITUTE(SUBSTITUTE(IF(E145="","",VLOOKUP(E145,[1]Esquemas_NORM!$A$2:$H$126,8,FALSE)),"PROVINCIA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5" s="17" t="str">
        <f>IF($E145="","",INDEX([1]Esquemas_NORM!$H$2:$K$126,MATCH($E145,[1]Esquemas_NORM!$A$2:$A$126,0),MATCH(AA$4,[1]Esquemas_NORM!$H$1:$K$1,0)))</f>
        <v>Región de Planeación y Gestión del Bajo Cauca</v>
      </c>
      <c r="AB145" s="17" t="str">
        <f>IF($E145="","",INDEX([1]Esquemas_NORM!$H$2:$K$126,MATCH($E145,[1]Esquemas_NORM!$A$2:$A$126,0),MATCH(AB$4,[1]Esquemas_NORM!$H$1:$K$1,0)))</f>
        <v>A la fecha no ha conformado un EAT Área Metropolitana</v>
      </c>
      <c r="AC145" s="17" t="str">
        <f>IF($E145="","",INDEX([1]Esquemas_NORM!$H$2:$K$126,MATCH($E145,[1]Esquemas_NORM!$A$2:$A$126,0),MATCH(AC$4,[1]Esquemas_NORM!$H$1:$K$1,0)))</f>
        <v>A la fecha no ha conformado un EAT asociación - unión</v>
      </c>
      <c r="AD145" s="23"/>
    </row>
    <row r="146" spans="1:30" x14ac:dyDescent="0.25">
      <c r="A146" s="24">
        <v>2016</v>
      </c>
      <c r="B146" s="25" t="s">
        <v>36</v>
      </c>
      <c r="C146" s="25" t="s">
        <v>63</v>
      </c>
      <c r="D146" s="25" t="s">
        <v>64</v>
      </c>
      <c r="E146" s="25" t="s">
        <v>74</v>
      </c>
      <c r="F146" s="25" t="s">
        <v>66</v>
      </c>
      <c r="G146" s="25" t="s">
        <v>75</v>
      </c>
      <c r="H146" s="26">
        <v>28.07353014770402</v>
      </c>
      <c r="I146" s="26">
        <v>71.188202917405491</v>
      </c>
      <c r="J146" s="27">
        <v>99.26173306510951</v>
      </c>
      <c r="K146" s="26">
        <v>2.0242694979741258</v>
      </c>
      <c r="L146" s="26">
        <v>17.110349012956043</v>
      </c>
      <c r="M146" s="27">
        <v>19.134618510930167</v>
      </c>
      <c r="N146" s="26">
        <v>9.4901939938626434</v>
      </c>
      <c r="O146" s="26">
        <v>42.725646336409405</v>
      </c>
      <c r="P146" s="26">
        <v>9.0628171914668236</v>
      </c>
      <c r="Q146" s="26">
        <v>7.6629772300733929</v>
      </c>
      <c r="R146" s="26">
        <v>12.722009451114085</v>
      </c>
      <c r="S146" s="26">
        <v>28.632633515490106</v>
      </c>
      <c r="T146" s="26">
        <v>57.842934555474137</v>
      </c>
      <c r="U146" s="26">
        <v>5.1781511705432361</v>
      </c>
      <c r="V146" s="27">
        <v>173.31736344443382</v>
      </c>
      <c r="W146" s="27">
        <v>296.6418889856688</v>
      </c>
      <c r="X146" s="26">
        <v>29.072384298303227</v>
      </c>
      <c r="Y146" s="28">
        <v>325.71427328397118</v>
      </c>
      <c r="Z146" s="17" t="str">
        <f>SUBSTITUTE(SUBSTITUTE(SUBSTITUTE(SUBSTITUTE(IF(E146="","",VLOOKUP(E146,[1]Esquemas_NORM!$A$2:$H$126,8,FALSE)),"PROVINCIA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6" s="17" t="str">
        <f>IF($E146="","",INDEX([1]Esquemas_NORM!$H$2:$K$126,MATCH($E146,[1]Esquemas_NORM!$A$2:$A$126,0),MATCH(AA$4,[1]Esquemas_NORM!$H$1:$K$1,0)))</f>
        <v>Región de Planeación y Gestión del Bajo Cauca</v>
      </c>
      <c r="AB146" s="17" t="str">
        <f>IF($E146="","",INDEX([1]Esquemas_NORM!$H$2:$K$126,MATCH($E146,[1]Esquemas_NORM!$A$2:$A$126,0),MATCH(AB$4,[1]Esquemas_NORM!$H$1:$K$1,0)))</f>
        <v>A la fecha no ha conformado un EAT Área Metropolitana</v>
      </c>
      <c r="AC146" s="17" t="str">
        <f>IF($E146="","",INDEX([1]Esquemas_NORM!$H$2:$K$126,MATCH($E146,[1]Esquemas_NORM!$A$2:$A$126,0),MATCH(AC$4,[1]Esquemas_NORM!$H$1:$K$1,0)))</f>
        <v>A la fecha no ha conformado un EAT asociación - unión</v>
      </c>
      <c r="AD146" s="23"/>
    </row>
    <row r="147" spans="1:30" x14ac:dyDescent="0.25">
      <c r="A147" s="24">
        <v>2016</v>
      </c>
      <c r="B147" s="25" t="s">
        <v>36</v>
      </c>
      <c r="C147" s="25" t="s">
        <v>63</v>
      </c>
      <c r="D147" s="25" t="s">
        <v>64</v>
      </c>
      <c r="E147" s="25" t="s">
        <v>76</v>
      </c>
      <c r="F147" s="25" t="s">
        <v>66</v>
      </c>
      <c r="G147" s="25" t="s">
        <v>77</v>
      </c>
      <c r="H147" s="26">
        <v>20.148461597221051</v>
      </c>
      <c r="I147" s="26">
        <v>268.19006062541666</v>
      </c>
      <c r="J147" s="27">
        <v>288.33852222263772</v>
      </c>
      <c r="K147" s="26">
        <v>3.2202382697988803</v>
      </c>
      <c r="L147" s="26">
        <v>13.537906761442979</v>
      </c>
      <c r="M147" s="27">
        <v>16.75814503124186</v>
      </c>
      <c r="N147" s="26">
        <v>8.7651504555801871</v>
      </c>
      <c r="O147" s="26">
        <v>51.440842974954911</v>
      </c>
      <c r="P147" s="26">
        <v>6.5607340823161353</v>
      </c>
      <c r="Q147" s="26">
        <v>4.8873280446563268</v>
      </c>
      <c r="R147" s="26">
        <v>11.436795874529809</v>
      </c>
      <c r="S147" s="26">
        <v>39.977798636542644</v>
      </c>
      <c r="T147" s="26">
        <v>18.298832436407331</v>
      </c>
      <c r="U147" s="26">
        <v>5.1672416082721817</v>
      </c>
      <c r="V147" s="27">
        <v>146.53472411325953</v>
      </c>
      <c r="W147" s="27">
        <v>461.48217672338961</v>
      </c>
      <c r="X147" s="26">
        <v>45.227554457705558</v>
      </c>
      <c r="Y147" s="28">
        <v>506.70973118109146</v>
      </c>
      <c r="Z147" s="17" t="str">
        <f>SUBSTITUTE(SUBSTITUTE(SUBSTITUTE(SUBSTITUTE(IF(E147="","",VLOOKUP(E147,[1]Esquemas_NORM!$A$2:$H$126,8,FALSE)),"PROVINCIA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7" s="17" t="str">
        <f>IF($E147="","",INDEX([1]Esquemas_NORM!$H$2:$K$126,MATCH($E147,[1]Esquemas_NORM!$A$2:$A$126,0),MATCH(AA$4,[1]Esquemas_NORM!$H$1:$K$1,0)))</f>
        <v>Región de Planeación y Gestión del Bajo Cauca</v>
      </c>
      <c r="AB147" s="17" t="str">
        <f>IF($E147="","",INDEX([1]Esquemas_NORM!$H$2:$K$126,MATCH($E147,[1]Esquemas_NORM!$A$2:$A$126,0),MATCH(AB$4,[1]Esquemas_NORM!$H$1:$K$1,0)))</f>
        <v>A la fecha no ha conformado un EAT Área Metropolitana</v>
      </c>
      <c r="AC147" s="17" t="str">
        <f>IF($E147="","",INDEX([1]Esquemas_NORM!$H$2:$K$126,MATCH($E147,[1]Esquemas_NORM!$A$2:$A$126,0),MATCH(AC$4,[1]Esquemas_NORM!$H$1:$K$1,0)))</f>
        <v>A la fecha no ha conformado un EAT asociación - unión</v>
      </c>
      <c r="AD147" s="23"/>
    </row>
    <row r="148" spans="1:30" x14ac:dyDescent="0.25">
      <c r="A148" s="24">
        <v>2016</v>
      </c>
      <c r="B148" s="25" t="s">
        <v>36</v>
      </c>
      <c r="C148" s="25" t="s">
        <v>78</v>
      </c>
      <c r="D148" s="25" t="s">
        <v>79</v>
      </c>
      <c r="E148" s="25" t="s">
        <v>80</v>
      </c>
      <c r="F148" s="25" t="s">
        <v>81</v>
      </c>
      <c r="G148" s="25" t="s">
        <v>82</v>
      </c>
      <c r="H148" s="26">
        <v>7.3853640015050876</v>
      </c>
      <c r="I148" s="26">
        <v>5.2626890268465765</v>
      </c>
      <c r="J148" s="27">
        <v>12.648053028351665</v>
      </c>
      <c r="K148" s="26">
        <v>2.1185857252907425</v>
      </c>
      <c r="L148" s="26">
        <v>1.9854750638120886</v>
      </c>
      <c r="M148" s="27">
        <v>4.1040607891028316</v>
      </c>
      <c r="N148" s="26">
        <v>2.4926473769966009</v>
      </c>
      <c r="O148" s="26">
        <v>4.3900945855345181</v>
      </c>
      <c r="P148" s="26">
        <v>5.792553904825235</v>
      </c>
      <c r="Q148" s="26">
        <v>0.98008746146364489</v>
      </c>
      <c r="R148" s="26">
        <v>2.7369936684106668</v>
      </c>
      <c r="S148" s="26">
        <v>4.0176428189888558</v>
      </c>
      <c r="T148" s="26">
        <v>11.58179983845357</v>
      </c>
      <c r="U148" s="26">
        <v>1.2753559602751838</v>
      </c>
      <c r="V148" s="27">
        <v>33.267175614948279</v>
      </c>
      <c r="W148" s="27">
        <v>50.785559355501626</v>
      </c>
      <c r="X148" s="26">
        <v>4.9772380543925356</v>
      </c>
      <c r="Y148" s="28">
        <v>55.762797409894155</v>
      </c>
      <c r="Z148" s="17" t="str">
        <f>SUBSTITUTE(SUBSTITUTE(SUBSTITUTE(SUBSTITUTE(IF(E148="","",VLOOKUP(E148,[1]Esquemas_NORM!$A$2:$H$126,8,FALSE)),"PROVINCIA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8" s="17" t="str">
        <f>IF($E148="","",INDEX([1]Esquemas_NORM!$H$2:$K$126,MATCH($E148,[1]Esquemas_NORM!$A$2:$A$126,0),MATCH(AA$4,[1]Esquemas_NORM!$H$1:$K$1,0)))</f>
        <v>A la fecha no ha conformado un EAT Región</v>
      </c>
      <c r="AB148" s="17" t="str">
        <f>IF($E148="","",INDEX([1]Esquemas_NORM!$H$2:$K$126,MATCH($E148,[1]Esquemas_NORM!$A$2:$A$126,0),MATCH(AB$4,[1]Esquemas_NORM!$H$1:$K$1,0)))</f>
        <v>A la fecha no ha conformado un EAT Área Metropolitana</v>
      </c>
      <c r="AC148" s="17" t="str">
        <f>IF($E148="","",INDEX([1]Esquemas_NORM!$H$2:$K$126,MATCH($E148,[1]Esquemas_NORM!$A$2:$A$126,0),MATCH(AC$4,[1]Esquemas_NORM!$H$1:$K$1,0)))</f>
        <v>ASOCIACIÓN DE MUNICIPIOS DEL MAGDALENA MEDIO ANTIOQUEÑO - AMMA</v>
      </c>
      <c r="AD148" s="23"/>
    </row>
    <row r="149" spans="1:30" x14ac:dyDescent="0.25">
      <c r="A149" s="24">
        <v>2016</v>
      </c>
      <c r="B149" s="25" t="s">
        <v>36</v>
      </c>
      <c r="C149" s="25" t="s">
        <v>78</v>
      </c>
      <c r="D149" s="25" t="s">
        <v>79</v>
      </c>
      <c r="E149" s="25" t="s">
        <v>83</v>
      </c>
      <c r="F149" s="25" t="s">
        <v>81</v>
      </c>
      <c r="G149" s="25" t="s">
        <v>84</v>
      </c>
      <c r="H149" s="26">
        <v>17.675594355330333</v>
      </c>
      <c r="I149" s="26">
        <v>5.4852298644016075</v>
      </c>
      <c r="J149" s="27">
        <v>23.160824219731939</v>
      </c>
      <c r="K149" s="26">
        <v>4.4930768668225554</v>
      </c>
      <c r="L149" s="26">
        <v>2.8806600397267217</v>
      </c>
      <c r="M149" s="27">
        <v>7.3737369065492775</v>
      </c>
      <c r="N149" s="26">
        <v>1.1206906954821498</v>
      </c>
      <c r="O149" s="26">
        <v>6.9422816882999658</v>
      </c>
      <c r="P149" s="26">
        <v>1.2797841987819341</v>
      </c>
      <c r="Q149" s="26">
        <v>0.8280631421410285</v>
      </c>
      <c r="R149" s="26">
        <v>2.5290705997101477</v>
      </c>
      <c r="S149" s="26">
        <v>5.8684877482651512</v>
      </c>
      <c r="T149" s="26">
        <v>34.717680748365702</v>
      </c>
      <c r="U149" s="26">
        <v>0.91075482586173606</v>
      </c>
      <c r="V149" s="27">
        <v>54.196813646907813</v>
      </c>
      <c r="W149" s="27">
        <v>86.475859298076074</v>
      </c>
      <c r="X149" s="26">
        <v>8.4750654151835185</v>
      </c>
      <c r="Y149" s="28">
        <v>94.950924713259681</v>
      </c>
      <c r="Z149" s="17" t="str">
        <f>SUBSTITUTE(SUBSTITUTE(SUBSTITUTE(SUBSTITUTE(IF(E149="","",VLOOKUP(E149,[1]Esquemas_NORM!$A$2:$H$126,8,FALSE)),"PROVINCIA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49" s="17" t="str">
        <f>IF($E149="","",INDEX([1]Esquemas_NORM!$H$2:$K$126,MATCH($E149,[1]Esquemas_NORM!$A$2:$A$126,0),MATCH(AA$4,[1]Esquemas_NORM!$H$1:$K$1,0)))</f>
        <v>A la fecha no ha conformado un EAT Región</v>
      </c>
      <c r="AB149" s="17" t="str">
        <f>IF($E149="","",INDEX([1]Esquemas_NORM!$H$2:$K$126,MATCH($E149,[1]Esquemas_NORM!$A$2:$A$126,0),MATCH(AB$4,[1]Esquemas_NORM!$H$1:$K$1,0)))</f>
        <v>A la fecha no ha conformado un EAT Área Metropolitana</v>
      </c>
      <c r="AC149" s="17" t="str">
        <f>IF($E149="","",INDEX([1]Esquemas_NORM!$H$2:$K$126,MATCH($E149,[1]Esquemas_NORM!$A$2:$A$126,0),MATCH(AC$4,[1]Esquemas_NORM!$H$1:$K$1,0)))</f>
        <v>ASOCIACIÓN DE MUNICIPIOS DEL MAGDALENA MEDIO ANTIOQUEÑO - AMMA</v>
      </c>
      <c r="AD149" s="23"/>
    </row>
    <row r="150" spans="1:30" x14ac:dyDescent="0.25">
      <c r="A150" s="24">
        <v>2016</v>
      </c>
      <c r="B150" s="25" t="s">
        <v>36</v>
      </c>
      <c r="C150" s="25" t="s">
        <v>78</v>
      </c>
      <c r="D150" s="25" t="s">
        <v>85</v>
      </c>
      <c r="E150" s="25" t="s">
        <v>86</v>
      </c>
      <c r="F150" s="25" t="s">
        <v>81</v>
      </c>
      <c r="G150" s="25" t="s">
        <v>87</v>
      </c>
      <c r="H150" s="26">
        <v>27.712853448599343</v>
      </c>
      <c r="I150" s="26">
        <v>11.455815361425595</v>
      </c>
      <c r="J150" s="27">
        <v>39.16866881002494</v>
      </c>
      <c r="K150" s="26">
        <v>42.534891301300512</v>
      </c>
      <c r="L150" s="26">
        <v>9.5478394887850655</v>
      </c>
      <c r="M150" s="27">
        <v>52.082730790085577</v>
      </c>
      <c r="N150" s="26">
        <v>39.049317933114338</v>
      </c>
      <c r="O150" s="26">
        <v>134.37864197183478</v>
      </c>
      <c r="P150" s="26">
        <v>12.518728464527589</v>
      </c>
      <c r="Q150" s="26">
        <v>18.945719378606295</v>
      </c>
      <c r="R150" s="26">
        <v>39.157653539304398</v>
      </c>
      <c r="S150" s="26">
        <v>49.613297857654885</v>
      </c>
      <c r="T150" s="26">
        <v>63.838461327966279</v>
      </c>
      <c r="U150" s="26">
        <v>15.000085095595011</v>
      </c>
      <c r="V150" s="27">
        <v>372.50190556860355</v>
      </c>
      <c r="W150" s="27">
        <v>468.58099625056298</v>
      </c>
      <c r="X150" s="26">
        <v>45.923274168897855</v>
      </c>
      <c r="Y150" s="28">
        <v>514.50427041946079</v>
      </c>
      <c r="Z150" s="17" t="str">
        <f>SUBSTITUTE(SUBSTITUTE(SUBSTITUTE(SUBSTITUTE(IF(E150="","",VLOOKUP(E150,[1]Esquemas_NORM!$A$2:$H$126,8,FALSE)),"PROVINCIA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50" s="17" t="str">
        <f>IF($E150="","",INDEX([1]Esquemas_NORM!$H$2:$K$126,MATCH($E150,[1]Esquemas_NORM!$A$2:$A$126,0),MATCH(AA$4,[1]Esquemas_NORM!$H$1:$K$1,0)))</f>
        <v>A la fecha no ha conformado un EAT Región</v>
      </c>
      <c r="AB150" s="17" t="str">
        <f>IF($E150="","",INDEX([1]Esquemas_NORM!$H$2:$K$126,MATCH($E150,[1]Esquemas_NORM!$A$2:$A$126,0),MATCH(AB$4,[1]Esquemas_NORM!$H$1:$K$1,0)))</f>
        <v>A la fecha no ha conformado un EAT Área Metropolitana</v>
      </c>
      <c r="AC150" s="17" t="str">
        <f>IF($E150="","",INDEX([1]Esquemas_NORM!$H$2:$K$126,MATCH($E150,[1]Esquemas_NORM!$A$2:$A$126,0),MATCH(AC$4,[1]Esquemas_NORM!$H$1:$K$1,0)))</f>
        <v>ASOCIACIÓN DE MUNICIPIOS DEL MAGDALENA MEDIO ANTIOQUEÑO - AMMA</v>
      </c>
      <c r="AD150" s="23"/>
    </row>
    <row r="151" spans="1:30" x14ac:dyDescent="0.25">
      <c r="A151" s="24">
        <v>2016</v>
      </c>
      <c r="B151" s="25" t="s">
        <v>36</v>
      </c>
      <c r="C151" s="25" t="s">
        <v>78</v>
      </c>
      <c r="D151" s="25" t="s">
        <v>85</v>
      </c>
      <c r="E151" s="25" t="s">
        <v>88</v>
      </c>
      <c r="F151" s="25" t="s">
        <v>81</v>
      </c>
      <c r="G151" s="25" t="s">
        <v>89</v>
      </c>
      <c r="H151" s="26">
        <v>16.296685674168167</v>
      </c>
      <c r="I151" s="26">
        <v>74.323143111351499</v>
      </c>
      <c r="J151" s="27">
        <v>90.619828785519672</v>
      </c>
      <c r="K151" s="26">
        <v>44.756218823086186</v>
      </c>
      <c r="L151" s="26">
        <v>2.5914261056476819</v>
      </c>
      <c r="M151" s="27">
        <v>47.347644928733871</v>
      </c>
      <c r="N151" s="26">
        <v>36.574311322159872</v>
      </c>
      <c r="O151" s="26">
        <v>33.164637891656561</v>
      </c>
      <c r="P151" s="26">
        <v>7.9644915361917104</v>
      </c>
      <c r="Q151" s="26">
        <v>6.5445721151093581</v>
      </c>
      <c r="R151" s="26">
        <v>18.942066579022281</v>
      </c>
      <c r="S151" s="26">
        <v>47.246022469641588</v>
      </c>
      <c r="T151" s="26">
        <v>60.374933887603042</v>
      </c>
      <c r="U151" s="26">
        <v>6.23563448447387</v>
      </c>
      <c r="V151" s="27">
        <v>217.04667028585831</v>
      </c>
      <c r="W151" s="27">
        <v>358.26360192272813</v>
      </c>
      <c r="X151" s="26">
        <v>35.111619437182654</v>
      </c>
      <c r="Y151" s="28">
        <v>393.37522135990969</v>
      </c>
      <c r="Z151" s="17" t="str">
        <f>SUBSTITUTE(SUBSTITUTE(SUBSTITUTE(SUBSTITUTE(IF(E151="","",VLOOKUP(E151,[1]Esquemas_NORM!$A$2:$H$126,8,FALSE)),"PROVINCIA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51" s="17" t="str">
        <f>IF($E151="","",INDEX([1]Esquemas_NORM!$H$2:$K$126,MATCH($E151,[1]Esquemas_NORM!$A$2:$A$126,0),MATCH(AA$4,[1]Esquemas_NORM!$H$1:$K$1,0)))</f>
        <v>A la fecha no ha conformado un EAT Región</v>
      </c>
      <c r="AB151" s="17" t="str">
        <f>IF($E151="","",INDEX([1]Esquemas_NORM!$H$2:$K$126,MATCH($E151,[1]Esquemas_NORM!$A$2:$A$126,0),MATCH(AB$4,[1]Esquemas_NORM!$H$1:$K$1,0)))</f>
        <v>A la fecha no ha conformado un EAT Área Metropolitana</v>
      </c>
      <c r="AC151" s="17" t="str">
        <f>IF($E151="","",INDEX([1]Esquemas_NORM!$H$2:$K$126,MATCH($E151,[1]Esquemas_NORM!$A$2:$A$126,0),MATCH(AC$4,[1]Esquemas_NORM!$H$1:$K$1,0)))</f>
        <v>ASOCIACIÓN DE MUNICIPIOS DEL MAGDALENA MEDIO ANTIOQUEÑO - AMMA</v>
      </c>
      <c r="AD151" s="23"/>
    </row>
    <row r="152" spans="1:30" x14ac:dyDescent="0.25">
      <c r="A152" s="24">
        <v>2016</v>
      </c>
      <c r="B152" s="25" t="s">
        <v>36</v>
      </c>
      <c r="C152" s="25" t="s">
        <v>78</v>
      </c>
      <c r="D152" s="25" t="s">
        <v>85</v>
      </c>
      <c r="E152" s="25" t="s">
        <v>90</v>
      </c>
      <c r="F152" s="25" t="s">
        <v>81</v>
      </c>
      <c r="G152" s="25" t="s">
        <v>91</v>
      </c>
      <c r="H152" s="26">
        <v>13.815657647972428</v>
      </c>
      <c r="I152" s="26">
        <v>16.563489156532917</v>
      </c>
      <c r="J152" s="27">
        <v>30.379146804505346</v>
      </c>
      <c r="K152" s="26">
        <v>5.7038254882186239</v>
      </c>
      <c r="L152" s="26">
        <v>7.1861722374231594</v>
      </c>
      <c r="M152" s="27">
        <v>12.889997725641784</v>
      </c>
      <c r="N152" s="26">
        <v>8.8539126305059668</v>
      </c>
      <c r="O152" s="26">
        <v>45.100083061374136</v>
      </c>
      <c r="P152" s="26">
        <v>3.5032776567565951</v>
      </c>
      <c r="Q152" s="26">
        <v>2.6369128114827465</v>
      </c>
      <c r="R152" s="26">
        <v>12.621610181784568</v>
      </c>
      <c r="S152" s="26">
        <v>13.686639631923809</v>
      </c>
      <c r="T152" s="26">
        <v>22.052805672792946</v>
      </c>
      <c r="U152" s="26">
        <v>2.9752969829026084</v>
      </c>
      <c r="V152" s="27">
        <v>111.43053862952337</v>
      </c>
      <c r="W152" s="27">
        <v>157.57098876559468</v>
      </c>
      <c r="X152" s="26">
        <v>15.442742612375753</v>
      </c>
      <c r="Y152" s="28">
        <v>173.01373137797032</v>
      </c>
      <c r="Z152" s="17" t="str">
        <f>SUBSTITUTE(SUBSTITUTE(SUBSTITUTE(SUBSTITUTE(IF(E152="","",VLOOKUP(E152,[1]Esquemas_NORM!$A$2:$H$126,8,FALSE)),"PROVINCIA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52" s="17" t="str">
        <f>IF($E152="","",INDEX([1]Esquemas_NORM!$H$2:$K$126,MATCH($E152,[1]Esquemas_NORM!$A$2:$A$126,0),MATCH(AA$4,[1]Esquemas_NORM!$H$1:$K$1,0)))</f>
        <v>A la fecha no ha conformado un EAT Región</v>
      </c>
      <c r="AB152" s="17" t="str">
        <f>IF($E152="","",INDEX([1]Esquemas_NORM!$H$2:$K$126,MATCH($E152,[1]Esquemas_NORM!$A$2:$A$126,0),MATCH(AB$4,[1]Esquemas_NORM!$H$1:$K$1,0)))</f>
        <v>A la fecha no ha conformado un EAT Área Metropolitana</v>
      </c>
      <c r="AC152" s="17" t="str">
        <f>IF($E152="","",INDEX([1]Esquemas_NORM!$H$2:$K$126,MATCH($E152,[1]Esquemas_NORM!$A$2:$A$126,0),MATCH(AC$4,[1]Esquemas_NORM!$H$1:$K$1,0)))</f>
        <v>ASOCIACIÓN DE MUNICIPIOS DEL MAGDALENA MEDIO ANTIOQUEÑO - AMMA</v>
      </c>
      <c r="AD152" s="23"/>
    </row>
    <row r="153" spans="1:30" x14ac:dyDescent="0.25">
      <c r="A153" s="24">
        <v>2016</v>
      </c>
      <c r="B153" s="25" t="s">
        <v>36</v>
      </c>
      <c r="C153" s="25" t="s">
        <v>78</v>
      </c>
      <c r="D153" s="25" t="s">
        <v>85</v>
      </c>
      <c r="E153" s="25" t="s">
        <v>92</v>
      </c>
      <c r="F153" s="25" t="s">
        <v>81</v>
      </c>
      <c r="G153" s="25" t="s">
        <v>93</v>
      </c>
      <c r="H153" s="26">
        <v>23.150187958863004</v>
      </c>
      <c r="I153" s="26">
        <v>464.39960776361318</v>
      </c>
      <c r="J153" s="27">
        <v>487.54979572247618</v>
      </c>
      <c r="K153" s="26">
        <v>0.47082870939981625</v>
      </c>
      <c r="L153" s="26">
        <v>14.391348846571725</v>
      </c>
      <c r="M153" s="27">
        <v>14.862177555971542</v>
      </c>
      <c r="N153" s="26">
        <v>8.1275401120140369</v>
      </c>
      <c r="O153" s="26">
        <v>14.05790112560099</v>
      </c>
      <c r="P153" s="26">
        <v>4.0813176737889911</v>
      </c>
      <c r="Q153" s="26">
        <v>2.3632212491191611</v>
      </c>
      <c r="R153" s="26">
        <v>8.9119616591095685</v>
      </c>
      <c r="S153" s="26">
        <v>45.434810962503597</v>
      </c>
      <c r="T153" s="26">
        <v>26.538289505415985</v>
      </c>
      <c r="U153" s="26">
        <v>3.6813906048740126</v>
      </c>
      <c r="V153" s="27">
        <v>113.19643289242634</v>
      </c>
      <c r="W153" s="27">
        <v>629.71130641408138</v>
      </c>
      <c r="X153" s="26">
        <v>61.71484802665033</v>
      </c>
      <c r="Y153" s="28">
        <v>691.42615444072499</v>
      </c>
      <c r="Z153" s="17" t="str">
        <f>SUBSTITUTE(SUBSTITUTE(SUBSTITUTE(SUBSTITUTE(IF(E153="","",VLOOKUP(E153,[1]Esquemas_NORM!$A$2:$H$126,8,FALSE)),"PROVINCIA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53" s="17" t="str">
        <f>IF($E153="","",INDEX([1]Esquemas_NORM!$H$2:$K$126,MATCH($E153,[1]Esquemas_NORM!$A$2:$A$126,0),MATCH(AA$4,[1]Esquemas_NORM!$H$1:$K$1,0)))</f>
        <v>A la fecha no ha conformado un EAT Región</v>
      </c>
      <c r="AB153" s="17" t="str">
        <f>IF($E153="","",INDEX([1]Esquemas_NORM!$H$2:$K$126,MATCH($E153,[1]Esquemas_NORM!$A$2:$A$126,0),MATCH(AB$4,[1]Esquemas_NORM!$H$1:$K$1,0)))</f>
        <v>A la fecha no ha conformado un EAT Área Metropolitana</v>
      </c>
      <c r="AC153" s="17" t="str">
        <f>IF($E153="","",INDEX([1]Esquemas_NORM!$H$2:$K$126,MATCH($E153,[1]Esquemas_NORM!$A$2:$A$126,0),MATCH(AC$4,[1]Esquemas_NORM!$H$1:$K$1,0)))</f>
        <v>ASOCIACIÓN DE MUNICIPIOS DEL MAGDALENA MEDIO ANTIOQUEÑO - AMMA</v>
      </c>
      <c r="AD153" s="23"/>
    </row>
    <row r="154" spans="1:30" x14ac:dyDescent="0.25">
      <c r="A154" s="24">
        <v>2016</v>
      </c>
      <c r="B154" s="25" t="s">
        <v>36</v>
      </c>
      <c r="C154" s="25" t="s">
        <v>94</v>
      </c>
      <c r="D154" s="25" t="s">
        <v>95</v>
      </c>
      <c r="E154" s="25" t="s">
        <v>96</v>
      </c>
      <c r="F154" s="25" t="s">
        <v>97</v>
      </c>
      <c r="G154" s="25" t="s">
        <v>98</v>
      </c>
      <c r="H154" s="26">
        <v>27.073588287026521</v>
      </c>
      <c r="I154" s="26">
        <v>47.999700000915297</v>
      </c>
      <c r="J154" s="27">
        <v>75.073288287941821</v>
      </c>
      <c r="K154" s="26">
        <v>16.87442783453584</v>
      </c>
      <c r="L154" s="26">
        <v>33.767938833725736</v>
      </c>
      <c r="M154" s="27">
        <v>50.642366668261573</v>
      </c>
      <c r="N154" s="26">
        <v>308.09026074604145</v>
      </c>
      <c r="O154" s="26">
        <v>39.957798388337743</v>
      </c>
      <c r="P154" s="26">
        <v>8.6796642444222609</v>
      </c>
      <c r="Q154" s="26">
        <v>11.490467162753752</v>
      </c>
      <c r="R154" s="26">
        <v>20.170485145028696</v>
      </c>
      <c r="S154" s="26">
        <v>50.702468126448473</v>
      </c>
      <c r="T154" s="26">
        <v>38.77653013186405</v>
      </c>
      <c r="U154" s="26">
        <v>8.3288949435801598</v>
      </c>
      <c r="V154" s="27">
        <v>486.19656888847658</v>
      </c>
      <c r="W154" s="27">
        <v>624.47100395029383</v>
      </c>
      <c r="X154" s="26">
        <v>61.201272254771318</v>
      </c>
      <c r="Y154" s="28">
        <v>685.67227620506446</v>
      </c>
      <c r="Z154" s="17" t="str">
        <f>SUBSTITUTE(SUBSTITUTE(SUBSTITUTE(SUBSTITUTE(IF(E154="","",VLOOKUP(E154,[1]Esquemas_NORM!$A$2:$H$126,8,FALSE)),"PROVINCIA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54" s="17" t="str">
        <f>IF($E154="","",INDEX([1]Esquemas_NORM!$H$2:$K$126,MATCH($E154,[1]Esquemas_NORM!$A$2:$A$126,0),MATCH(AA$4,[1]Esquemas_NORM!$H$1:$K$1,0)))</f>
        <v>A la fecha no ha conformado un EAT Región</v>
      </c>
      <c r="AB154" s="17" t="str">
        <f>IF($E154="","",INDEX([1]Esquemas_NORM!$H$2:$K$126,MATCH($E154,[1]Esquemas_NORM!$A$2:$A$126,0),MATCH(AB$4,[1]Esquemas_NORM!$H$1:$K$1,0)))</f>
        <v>A la fecha no ha conformado un EAT Área Metropolitana</v>
      </c>
      <c r="AC154" s="17" t="str">
        <f>IF($E154="","",INDEX([1]Esquemas_NORM!$H$2:$K$126,MATCH($E154,[1]Esquemas_NORM!$A$2:$A$126,0),MATCH(AC$4,[1]Esquemas_NORM!$H$1:$K$1,0)))</f>
        <v>A la fecha no ha conformado un EAT asociación - unión</v>
      </c>
      <c r="AD154" s="23"/>
    </row>
    <row r="155" spans="1:30" x14ac:dyDescent="0.25">
      <c r="A155" s="24">
        <v>2016</v>
      </c>
      <c r="B155" s="25" t="s">
        <v>36</v>
      </c>
      <c r="C155" s="25" t="s">
        <v>94</v>
      </c>
      <c r="D155" s="25" t="s">
        <v>99</v>
      </c>
      <c r="E155" s="25" t="s">
        <v>100</v>
      </c>
      <c r="F155" s="25" t="s">
        <v>97</v>
      </c>
      <c r="G155" s="25" t="s">
        <v>101</v>
      </c>
      <c r="H155" s="26">
        <v>16.969986115667542</v>
      </c>
      <c r="I155" s="26">
        <v>57.985641832285317</v>
      </c>
      <c r="J155" s="27">
        <v>74.955627947952863</v>
      </c>
      <c r="K155" s="26">
        <v>2.2759746075261598</v>
      </c>
      <c r="L155" s="26">
        <v>8.2483413512327868</v>
      </c>
      <c r="M155" s="27">
        <v>10.524315958758947</v>
      </c>
      <c r="N155" s="26">
        <v>56.108501905452812</v>
      </c>
      <c r="O155" s="26">
        <v>8.9146140505643103</v>
      </c>
      <c r="P155" s="26">
        <v>2.3232517833712394</v>
      </c>
      <c r="Q155" s="26">
        <v>1.4979015654738792</v>
      </c>
      <c r="R155" s="26">
        <v>3.7111955727781094</v>
      </c>
      <c r="S155" s="26">
        <v>10.350857784042768</v>
      </c>
      <c r="T155" s="26">
        <v>12.609660345861442</v>
      </c>
      <c r="U155" s="26">
        <v>1.9510484977936113</v>
      </c>
      <c r="V155" s="27">
        <v>97.46703150533817</v>
      </c>
      <c r="W155" s="27">
        <v>187.72076099117743</v>
      </c>
      <c r="X155" s="26">
        <v>18.39757062958277</v>
      </c>
      <c r="Y155" s="28">
        <v>206.11833162075942</v>
      </c>
      <c r="Z155" s="17" t="str">
        <f>SUBSTITUTE(SUBSTITUTE(SUBSTITUTE(SUBSTITUTE(IF(E155="","",VLOOKUP(E155,[1]Esquemas_NORM!$A$2:$H$126,8,FALSE)),"PROVINCIA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55" s="17" t="str">
        <f>IF($E155="","",INDEX([1]Esquemas_NORM!$H$2:$K$126,MATCH($E155,[1]Esquemas_NORM!$A$2:$A$126,0),MATCH(AA$4,[1]Esquemas_NORM!$H$1:$K$1,0)))</f>
        <v>A la fecha no ha conformado un EAT Región</v>
      </c>
      <c r="AB155" s="17" t="str">
        <f>IF($E155="","",INDEX([1]Esquemas_NORM!$H$2:$K$126,MATCH($E155,[1]Esquemas_NORM!$A$2:$A$126,0),MATCH(AB$4,[1]Esquemas_NORM!$H$1:$K$1,0)))</f>
        <v>A la fecha no ha conformado un EAT Área Metropolitana</v>
      </c>
      <c r="AC155" s="17" t="str">
        <f>IF($E155="","",INDEX([1]Esquemas_NORM!$H$2:$K$126,MATCH($E155,[1]Esquemas_NORM!$A$2:$A$126,0),MATCH(AC$4,[1]Esquemas_NORM!$H$1:$K$1,0)))</f>
        <v>A la fecha no ha conformado un EAT asociación - unión</v>
      </c>
      <c r="AD155" s="23"/>
    </row>
    <row r="156" spans="1:30" x14ac:dyDescent="0.25">
      <c r="A156" s="24">
        <v>2016</v>
      </c>
      <c r="B156" s="25" t="s">
        <v>36</v>
      </c>
      <c r="C156" s="25" t="s">
        <v>94</v>
      </c>
      <c r="D156" s="25" t="s">
        <v>79</v>
      </c>
      <c r="E156" s="25" t="s">
        <v>102</v>
      </c>
      <c r="F156" s="25" t="s">
        <v>97</v>
      </c>
      <c r="G156" s="25" t="s">
        <v>103</v>
      </c>
      <c r="H156" s="26">
        <v>3.5699736813733693</v>
      </c>
      <c r="I156" s="26">
        <v>0</v>
      </c>
      <c r="J156" s="27">
        <v>3.5699736813733693</v>
      </c>
      <c r="K156" s="26">
        <v>6.5880421369533533</v>
      </c>
      <c r="L156" s="26">
        <v>2.7253448232043618</v>
      </c>
      <c r="M156" s="27">
        <v>9.3133869601577146</v>
      </c>
      <c r="N156" s="26">
        <v>5.2821175883104239</v>
      </c>
      <c r="O156" s="26">
        <v>18.050711270196057</v>
      </c>
      <c r="P156" s="26">
        <v>2.2754179179394516</v>
      </c>
      <c r="Q156" s="26">
        <v>2.3617220539623345</v>
      </c>
      <c r="R156" s="26">
        <v>7.7357116224842688</v>
      </c>
      <c r="S156" s="26">
        <v>9.4605746473287962</v>
      </c>
      <c r="T156" s="26">
        <v>31.459284058912818</v>
      </c>
      <c r="U156" s="26">
        <v>1.8627072153473574</v>
      </c>
      <c r="V156" s="27">
        <v>78.488246374481506</v>
      </c>
      <c r="W156" s="27">
        <v>91.866029419955879</v>
      </c>
      <c r="X156" s="26">
        <v>9.0033289647214332</v>
      </c>
      <c r="Y156" s="28">
        <v>100.86935838467731</v>
      </c>
      <c r="Z156" s="17" t="str">
        <f>SUBSTITUTE(SUBSTITUTE(SUBSTITUTE(SUBSTITUTE(IF(E156="","",VLOOKUP(E156,[1]Esquemas_NORM!$A$2:$H$126,8,FALSE)),"PROVINCIA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56" s="17" t="str">
        <f>IF($E156="","",INDEX([1]Esquemas_NORM!$H$2:$K$126,MATCH($E156,[1]Esquemas_NORM!$A$2:$A$126,0),MATCH(AA$4,[1]Esquemas_NORM!$H$1:$K$1,0)))</f>
        <v>A la fecha no ha conformado un EAT Región</v>
      </c>
      <c r="AB156" s="17" t="str">
        <f>IF($E156="","",INDEX([1]Esquemas_NORM!$H$2:$K$126,MATCH($E156,[1]Esquemas_NORM!$A$2:$A$126,0),MATCH(AB$4,[1]Esquemas_NORM!$H$1:$K$1,0)))</f>
        <v>A la fecha no ha conformado un EAT Área Metropolitana</v>
      </c>
      <c r="AC156" s="17" t="str">
        <f>IF($E156="","",INDEX([1]Esquemas_NORM!$H$2:$K$126,MATCH($E156,[1]Esquemas_NORM!$A$2:$A$126,0),MATCH(AC$4,[1]Esquemas_NORM!$H$1:$K$1,0)))</f>
        <v>A la fecha no ha conformado un EAT asociación - unión</v>
      </c>
      <c r="AD156" s="23"/>
    </row>
    <row r="157" spans="1:30" x14ac:dyDescent="0.25">
      <c r="A157" s="24">
        <v>2016</v>
      </c>
      <c r="B157" s="25" t="s">
        <v>36</v>
      </c>
      <c r="C157" s="25" t="s">
        <v>94</v>
      </c>
      <c r="D157" s="25" t="s">
        <v>104</v>
      </c>
      <c r="E157" s="25" t="s">
        <v>105</v>
      </c>
      <c r="F157" s="25" t="s">
        <v>97</v>
      </c>
      <c r="G157" s="25" t="s">
        <v>106</v>
      </c>
      <c r="H157" s="26">
        <v>44.019555953436331</v>
      </c>
      <c r="I157" s="26">
        <v>210.6676882850889</v>
      </c>
      <c r="J157" s="27">
        <v>254.68724423852524</v>
      </c>
      <c r="K157" s="26">
        <v>11.055677748183955</v>
      </c>
      <c r="L157" s="26">
        <v>8.5153960221239053</v>
      </c>
      <c r="M157" s="27">
        <v>19.571073770307862</v>
      </c>
      <c r="N157" s="26">
        <v>7.7112409928852523</v>
      </c>
      <c r="O157" s="26">
        <v>49.95080398928112</v>
      </c>
      <c r="P157" s="26">
        <v>6.7885535103850474</v>
      </c>
      <c r="Q157" s="26">
        <v>4.743298872399957</v>
      </c>
      <c r="R157" s="26">
        <v>15.651003968933518</v>
      </c>
      <c r="S157" s="26">
        <v>32.173950181090682</v>
      </c>
      <c r="T157" s="26">
        <v>30.51915734470218</v>
      </c>
      <c r="U157" s="26">
        <v>5.6094169087381953</v>
      </c>
      <c r="V157" s="27">
        <v>153.14742576841593</v>
      </c>
      <c r="W157" s="27">
        <v>437.72287009447984</v>
      </c>
      <c r="X157" s="26">
        <v>42.899023934439441</v>
      </c>
      <c r="Y157" s="28">
        <v>480.62189402891636</v>
      </c>
      <c r="Z157" s="17" t="str">
        <f>SUBSTITUTE(SUBSTITUTE(SUBSTITUTE(SUBSTITUTE(IF(E157="","",VLOOKUP(E157,[1]Esquemas_NORM!$A$2:$H$126,8,FALSE)),"PROVINCIA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57" s="17" t="str">
        <f>IF($E157="","",INDEX([1]Esquemas_NORM!$H$2:$K$126,MATCH($E157,[1]Esquemas_NORM!$A$2:$A$126,0),MATCH(AA$4,[1]Esquemas_NORM!$H$1:$K$1,0)))</f>
        <v>A la fecha no ha conformado un EAT Región</v>
      </c>
      <c r="AB157" s="17" t="str">
        <f>IF($E157="","",INDEX([1]Esquemas_NORM!$H$2:$K$126,MATCH($E157,[1]Esquemas_NORM!$A$2:$A$126,0),MATCH(AB$4,[1]Esquemas_NORM!$H$1:$K$1,0)))</f>
        <v>A la fecha no ha conformado un EAT Área Metropolitana</v>
      </c>
      <c r="AC157" s="17" t="str">
        <f>IF($E157="","",INDEX([1]Esquemas_NORM!$H$2:$K$126,MATCH($E157,[1]Esquemas_NORM!$A$2:$A$126,0),MATCH(AC$4,[1]Esquemas_NORM!$H$1:$K$1,0)))</f>
        <v>A la fecha no ha conformado un EAT asociación - unión</v>
      </c>
      <c r="AD157" s="23"/>
    </row>
    <row r="158" spans="1:30" x14ac:dyDescent="0.25">
      <c r="A158" s="24">
        <v>2016</v>
      </c>
      <c r="B158" s="25" t="s">
        <v>36</v>
      </c>
      <c r="C158" s="25" t="s">
        <v>94</v>
      </c>
      <c r="D158" s="25" t="s">
        <v>79</v>
      </c>
      <c r="E158" s="25" t="s">
        <v>107</v>
      </c>
      <c r="F158" s="25" t="s">
        <v>97</v>
      </c>
      <c r="G158" s="25" t="s">
        <v>108</v>
      </c>
      <c r="H158" s="26">
        <v>27.779344240453597</v>
      </c>
      <c r="I158" s="26">
        <v>12.60689407343291</v>
      </c>
      <c r="J158" s="27">
        <v>40.386238313886508</v>
      </c>
      <c r="K158" s="26">
        <v>3.6910939776879479</v>
      </c>
      <c r="L158" s="26">
        <v>13.041416957714404</v>
      </c>
      <c r="M158" s="27">
        <v>16.732510935402352</v>
      </c>
      <c r="N158" s="26">
        <v>6.7590336608166517</v>
      </c>
      <c r="O158" s="26">
        <v>31.491978859851333</v>
      </c>
      <c r="P158" s="26">
        <v>8.1223949859279507</v>
      </c>
      <c r="Q158" s="26">
        <v>6.2096945482850066</v>
      </c>
      <c r="R158" s="26">
        <v>15.792085193741643</v>
      </c>
      <c r="S158" s="26">
        <v>16.547482743254665</v>
      </c>
      <c r="T158" s="26">
        <v>23.288124960749986</v>
      </c>
      <c r="U158" s="26">
        <v>6.8816151099827021</v>
      </c>
      <c r="V158" s="27">
        <v>115.09241006260994</v>
      </c>
      <c r="W158" s="27">
        <v>175.20988217395245</v>
      </c>
      <c r="X158" s="26">
        <v>17.171442121123121</v>
      </c>
      <c r="Y158" s="28">
        <v>192.38132429507556</v>
      </c>
      <c r="Z158" s="17" t="str">
        <f>SUBSTITUTE(SUBSTITUTE(SUBSTITUTE(SUBSTITUTE(IF(E158="","",VLOOKUP(E158,[1]Esquemas_NORM!$A$2:$H$126,8,FALSE)),"PROVINCIA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58" s="17" t="str">
        <f>IF($E158="","",INDEX([1]Esquemas_NORM!$H$2:$K$126,MATCH($E158,[1]Esquemas_NORM!$A$2:$A$126,0),MATCH(AA$4,[1]Esquemas_NORM!$H$1:$K$1,0)))</f>
        <v>A la fecha no ha conformado un EAT Región</v>
      </c>
      <c r="AB158" s="17" t="str">
        <f>IF($E158="","",INDEX([1]Esquemas_NORM!$H$2:$K$126,MATCH($E158,[1]Esquemas_NORM!$A$2:$A$126,0),MATCH(AB$4,[1]Esquemas_NORM!$H$1:$K$1,0)))</f>
        <v>A la fecha no ha conformado un EAT Área Metropolitana</v>
      </c>
      <c r="AC158" s="17" t="str">
        <f>IF($E158="","",INDEX([1]Esquemas_NORM!$H$2:$K$126,MATCH($E158,[1]Esquemas_NORM!$A$2:$A$126,0),MATCH(AC$4,[1]Esquemas_NORM!$H$1:$K$1,0)))</f>
        <v>A la fecha no ha conformado un EAT asociación - unión</v>
      </c>
      <c r="AD158" s="23"/>
    </row>
    <row r="159" spans="1:30" x14ac:dyDescent="0.25">
      <c r="A159" s="24">
        <v>2016</v>
      </c>
      <c r="B159" s="25" t="s">
        <v>36</v>
      </c>
      <c r="C159" s="25" t="s">
        <v>94</v>
      </c>
      <c r="D159" s="25" t="s">
        <v>79</v>
      </c>
      <c r="E159" s="25" t="s">
        <v>109</v>
      </c>
      <c r="F159" s="25" t="s">
        <v>97</v>
      </c>
      <c r="G159" s="25" t="s">
        <v>110</v>
      </c>
      <c r="H159" s="26">
        <v>58.257574311186524</v>
      </c>
      <c r="I159" s="26">
        <v>4.9381499131106308</v>
      </c>
      <c r="J159" s="27">
        <v>63.195724224297152</v>
      </c>
      <c r="K159" s="26">
        <v>5.1989222770392498</v>
      </c>
      <c r="L159" s="26">
        <v>9.0075876290453234</v>
      </c>
      <c r="M159" s="27">
        <v>14.206509906084573</v>
      </c>
      <c r="N159" s="26">
        <v>2.538651501075039</v>
      </c>
      <c r="O159" s="26">
        <v>15.521786647913167</v>
      </c>
      <c r="P159" s="26">
        <v>2.2287233132363133</v>
      </c>
      <c r="Q159" s="26">
        <v>1.6086352214962201</v>
      </c>
      <c r="R159" s="26">
        <v>6.0464662601229371</v>
      </c>
      <c r="S159" s="26">
        <v>9.1865971633757493</v>
      </c>
      <c r="T159" s="26">
        <v>30.170517477108401</v>
      </c>
      <c r="U159" s="26">
        <v>2.2167545091000918</v>
      </c>
      <c r="V159" s="27">
        <v>69.518132093427909</v>
      </c>
      <c r="W159" s="27">
        <v>152.65335505070419</v>
      </c>
      <c r="X159" s="26">
        <v>14.960789986978561</v>
      </c>
      <c r="Y159" s="28">
        <v>167.61414503768287</v>
      </c>
      <c r="Z159" s="17" t="str">
        <f>SUBSTITUTE(SUBSTITUTE(SUBSTITUTE(SUBSTITUTE(IF(E159="","",VLOOKUP(E159,[1]Esquemas_NORM!$A$2:$H$126,8,FALSE)),"PROVINCIA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59" s="17" t="str">
        <f>IF($E159="","",INDEX([1]Esquemas_NORM!$H$2:$K$126,MATCH($E159,[1]Esquemas_NORM!$A$2:$A$126,0),MATCH(AA$4,[1]Esquemas_NORM!$H$1:$K$1,0)))</f>
        <v>A la fecha no ha conformado un EAT Región</v>
      </c>
      <c r="AB159" s="17" t="str">
        <f>IF($E159="","",INDEX([1]Esquemas_NORM!$H$2:$K$126,MATCH($E159,[1]Esquemas_NORM!$A$2:$A$126,0),MATCH(AB$4,[1]Esquemas_NORM!$H$1:$K$1,0)))</f>
        <v>A la fecha no ha conformado un EAT Área Metropolitana</v>
      </c>
      <c r="AC159" s="17" t="str">
        <f>IF($E159="","",INDEX([1]Esquemas_NORM!$H$2:$K$126,MATCH($E159,[1]Esquemas_NORM!$A$2:$A$126,0),MATCH(AC$4,[1]Esquemas_NORM!$H$1:$K$1,0)))</f>
        <v>A la fecha no ha conformado un EAT asociación - unión</v>
      </c>
      <c r="AD159" s="23"/>
    </row>
    <row r="160" spans="1:30" x14ac:dyDescent="0.25">
      <c r="A160" s="24">
        <v>2016</v>
      </c>
      <c r="B160" s="25" t="s">
        <v>36</v>
      </c>
      <c r="C160" s="25" t="s">
        <v>94</v>
      </c>
      <c r="D160" s="25" t="s">
        <v>104</v>
      </c>
      <c r="E160" s="25" t="s">
        <v>111</v>
      </c>
      <c r="F160" s="25" t="s">
        <v>97</v>
      </c>
      <c r="G160" s="25" t="s">
        <v>112</v>
      </c>
      <c r="H160" s="26">
        <v>13.36996124621915</v>
      </c>
      <c r="I160" s="26">
        <v>212.41071663615259</v>
      </c>
      <c r="J160" s="27">
        <v>225.78067788237175</v>
      </c>
      <c r="K160" s="26">
        <v>23.878461186815123</v>
      </c>
      <c r="L160" s="26">
        <v>3.4968494488165542</v>
      </c>
      <c r="M160" s="27">
        <v>27.375310635631678</v>
      </c>
      <c r="N160" s="26">
        <v>23.675086746261304</v>
      </c>
      <c r="O160" s="26">
        <v>84.150534242908364</v>
      </c>
      <c r="P160" s="26">
        <v>9.944755662717963</v>
      </c>
      <c r="Q160" s="26">
        <v>9.244717943707208</v>
      </c>
      <c r="R160" s="26">
        <v>37.979447860362342</v>
      </c>
      <c r="S160" s="26">
        <v>47.460176173473585</v>
      </c>
      <c r="T160" s="26">
        <v>29.80644286238461</v>
      </c>
      <c r="U160" s="26">
        <v>10.522495640778523</v>
      </c>
      <c r="V160" s="27">
        <v>252.7836571325939</v>
      </c>
      <c r="W160" s="27">
        <v>513.92629432708225</v>
      </c>
      <c r="X160" s="26">
        <v>50.367339490651645</v>
      </c>
      <c r="Y160" s="28">
        <v>564.29363381773089</v>
      </c>
      <c r="Z160" s="17" t="str">
        <f>SUBSTITUTE(SUBSTITUTE(SUBSTITUTE(SUBSTITUTE(IF(E160="","",VLOOKUP(E160,[1]Esquemas_NORM!$A$2:$H$126,8,FALSE)),"PROVINCIA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60" s="17" t="str">
        <f>IF($E160="","",INDEX([1]Esquemas_NORM!$H$2:$K$126,MATCH($E160,[1]Esquemas_NORM!$A$2:$A$126,0),MATCH(AA$4,[1]Esquemas_NORM!$H$1:$K$1,0)))</f>
        <v>A la fecha no ha conformado un EAT Región</v>
      </c>
      <c r="AB160" s="17" t="str">
        <f>IF($E160="","",INDEX([1]Esquemas_NORM!$H$2:$K$126,MATCH($E160,[1]Esquemas_NORM!$A$2:$A$126,0),MATCH(AB$4,[1]Esquemas_NORM!$H$1:$K$1,0)))</f>
        <v>A la fecha no ha conformado un EAT Área Metropolitana</v>
      </c>
      <c r="AC160" s="17" t="str">
        <f>IF($E160="","",INDEX([1]Esquemas_NORM!$H$2:$K$126,MATCH($E160,[1]Esquemas_NORM!$A$2:$A$126,0),MATCH(AC$4,[1]Esquemas_NORM!$H$1:$K$1,0)))</f>
        <v>A la fecha no ha conformado un EAT asociación - unión</v>
      </c>
      <c r="AD160" s="23"/>
    </row>
    <row r="161" spans="1:30" x14ac:dyDescent="0.25">
      <c r="A161" s="24">
        <v>2016</v>
      </c>
      <c r="B161" s="25" t="s">
        <v>36</v>
      </c>
      <c r="C161" s="25" t="s">
        <v>94</v>
      </c>
      <c r="D161" s="25" t="s">
        <v>95</v>
      </c>
      <c r="E161" s="25" t="s">
        <v>113</v>
      </c>
      <c r="F161" s="25" t="s">
        <v>97</v>
      </c>
      <c r="G161" s="25" t="s">
        <v>114</v>
      </c>
      <c r="H161" s="26">
        <v>17.949554284061595</v>
      </c>
      <c r="I161" s="26">
        <v>9.3001830972710131</v>
      </c>
      <c r="J161" s="27">
        <v>27.249737381332608</v>
      </c>
      <c r="K161" s="26">
        <v>1.1453792655633865</v>
      </c>
      <c r="L161" s="26">
        <v>8.7031419324617314</v>
      </c>
      <c r="M161" s="27">
        <v>9.8485211980251179</v>
      </c>
      <c r="N161" s="26">
        <v>3.0913780116822562</v>
      </c>
      <c r="O161" s="26">
        <v>25.174986685134655</v>
      </c>
      <c r="P161" s="26">
        <v>7.9723444280264184</v>
      </c>
      <c r="Q161" s="26">
        <v>3.9257490134658246</v>
      </c>
      <c r="R161" s="26">
        <v>7.3834520409836317</v>
      </c>
      <c r="S161" s="26">
        <v>10.570146604578337</v>
      </c>
      <c r="T161" s="26">
        <v>13.847956565881088</v>
      </c>
      <c r="U161" s="26">
        <v>3.2741320947699668</v>
      </c>
      <c r="V161" s="27">
        <v>75.240145444522184</v>
      </c>
      <c r="W161" s="27">
        <v>114.54568189111914</v>
      </c>
      <c r="X161" s="26">
        <v>11.226047996912568</v>
      </c>
      <c r="Y161" s="28">
        <v>125.77172988803164</v>
      </c>
      <c r="Z161" s="17" t="str">
        <f>SUBSTITUTE(SUBSTITUTE(SUBSTITUTE(SUBSTITUTE(IF(E161="","",VLOOKUP(E161,[1]Esquemas_NORM!$A$2:$H$126,8,FALSE)),"PROVINCIA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61" s="17" t="str">
        <f>IF($E161="","",INDEX([1]Esquemas_NORM!$H$2:$K$126,MATCH($E161,[1]Esquemas_NORM!$A$2:$A$126,0),MATCH(AA$4,[1]Esquemas_NORM!$H$1:$K$1,0)))</f>
        <v>A la fecha no ha conformado un EAT Región</v>
      </c>
      <c r="AB161" s="17" t="str">
        <f>IF($E161="","",INDEX([1]Esquemas_NORM!$H$2:$K$126,MATCH($E161,[1]Esquemas_NORM!$A$2:$A$126,0),MATCH(AB$4,[1]Esquemas_NORM!$H$1:$K$1,0)))</f>
        <v>A la fecha no ha conformado un EAT Área Metropolitana</v>
      </c>
      <c r="AC161" s="17" t="str">
        <f>IF($E161="","",INDEX([1]Esquemas_NORM!$H$2:$K$126,MATCH($E161,[1]Esquemas_NORM!$A$2:$A$126,0),MATCH(AC$4,[1]Esquemas_NORM!$H$1:$K$1,0)))</f>
        <v>A la fecha no ha conformado un EAT asociación - unión</v>
      </c>
      <c r="AD161" s="23"/>
    </row>
    <row r="162" spans="1:30" x14ac:dyDescent="0.25">
      <c r="A162" s="24">
        <v>2016</v>
      </c>
      <c r="B162" s="25" t="s">
        <v>36</v>
      </c>
      <c r="C162" s="25" t="s">
        <v>94</v>
      </c>
      <c r="D162" s="25" t="s">
        <v>95</v>
      </c>
      <c r="E162" s="25" t="s">
        <v>115</v>
      </c>
      <c r="F162" s="25" t="s">
        <v>97</v>
      </c>
      <c r="G162" s="25" t="s">
        <v>116</v>
      </c>
      <c r="H162" s="26">
        <v>9.6742878388635258</v>
      </c>
      <c r="I162" s="26">
        <v>0.76910023165458408</v>
      </c>
      <c r="J162" s="27">
        <v>10.443388070518109</v>
      </c>
      <c r="K162" s="26">
        <v>2.7082874548608507</v>
      </c>
      <c r="L162" s="26">
        <v>2.6236464865353866</v>
      </c>
      <c r="M162" s="27">
        <v>5.3319339413962368</v>
      </c>
      <c r="N162" s="26">
        <v>0.82520062975893949</v>
      </c>
      <c r="O162" s="26">
        <v>5.547448795907771</v>
      </c>
      <c r="P162" s="26">
        <v>2.4266630173468173</v>
      </c>
      <c r="Q162" s="26">
        <v>0.80015483625659556</v>
      </c>
      <c r="R162" s="26">
        <v>2.0430434755082119</v>
      </c>
      <c r="S162" s="26">
        <v>5.1555916943320632</v>
      </c>
      <c r="T162" s="26">
        <v>27.267600329240903</v>
      </c>
      <c r="U162" s="26">
        <v>1.1493454273957953</v>
      </c>
      <c r="V162" s="27">
        <v>45.215048205747095</v>
      </c>
      <c r="W162" s="27">
        <v>61.85201943533572</v>
      </c>
      <c r="X162" s="26">
        <v>6.0618063241074651</v>
      </c>
      <c r="Y162" s="28">
        <v>67.913825759443242</v>
      </c>
      <c r="Z162" s="17" t="str">
        <f>SUBSTITUTE(SUBSTITUTE(SUBSTITUTE(SUBSTITUTE(IF(E162="","",VLOOKUP(E162,[1]Esquemas_NORM!$A$2:$H$126,8,FALSE)),"PROVINCIA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62" s="17" t="str">
        <f>IF($E162="","",INDEX([1]Esquemas_NORM!$H$2:$K$126,MATCH($E162,[1]Esquemas_NORM!$A$2:$A$126,0),MATCH(AA$4,[1]Esquemas_NORM!$H$1:$K$1,0)))</f>
        <v>A la fecha no ha conformado un EAT Región</v>
      </c>
      <c r="AB162" s="17" t="str">
        <f>IF($E162="","",INDEX([1]Esquemas_NORM!$H$2:$K$126,MATCH($E162,[1]Esquemas_NORM!$A$2:$A$126,0),MATCH(AB$4,[1]Esquemas_NORM!$H$1:$K$1,0)))</f>
        <v>A la fecha no ha conformado un EAT Área Metropolitana</v>
      </c>
      <c r="AC162" s="17" t="str">
        <f>IF($E162="","",INDEX([1]Esquemas_NORM!$H$2:$K$126,MATCH($E162,[1]Esquemas_NORM!$A$2:$A$126,0),MATCH(AC$4,[1]Esquemas_NORM!$H$1:$K$1,0)))</f>
        <v>A la fecha no ha conformado un EAT asociación - unión</v>
      </c>
      <c r="AD162" s="23"/>
    </row>
    <row r="163" spans="1:30" x14ac:dyDescent="0.25">
      <c r="A163" s="24">
        <v>2016</v>
      </c>
      <c r="B163" s="25" t="s">
        <v>36</v>
      </c>
      <c r="C163" s="25" t="s">
        <v>94</v>
      </c>
      <c r="D163" s="25" t="s">
        <v>95</v>
      </c>
      <c r="E163" s="25" t="s">
        <v>117</v>
      </c>
      <c r="F163" s="25" t="s">
        <v>97</v>
      </c>
      <c r="G163" s="25" t="s">
        <v>118</v>
      </c>
      <c r="H163" s="26">
        <v>35.183272917434607</v>
      </c>
      <c r="I163" s="26">
        <v>0</v>
      </c>
      <c r="J163" s="27">
        <v>35.183272917434607</v>
      </c>
      <c r="K163" s="26">
        <v>5.1621807595443245</v>
      </c>
      <c r="L163" s="26">
        <v>15.572515550921104</v>
      </c>
      <c r="M163" s="27">
        <v>20.734696310465427</v>
      </c>
      <c r="N163" s="26">
        <v>3.2236442274202459</v>
      </c>
      <c r="O163" s="26">
        <v>40.91171307189169</v>
      </c>
      <c r="P163" s="26">
        <v>5.9691803528600351</v>
      </c>
      <c r="Q163" s="26">
        <v>4.9086180486185071</v>
      </c>
      <c r="R163" s="26">
        <v>11.977761811493856</v>
      </c>
      <c r="S163" s="26">
        <v>15.926516062609039</v>
      </c>
      <c r="T163" s="26">
        <v>31.113041382910811</v>
      </c>
      <c r="U163" s="26">
        <v>4.8865196430429956</v>
      </c>
      <c r="V163" s="27">
        <v>118.91699460084719</v>
      </c>
      <c r="W163" s="27">
        <v>178.61588434195903</v>
      </c>
      <c r="X163" s="26">
        <v>17.505247317302377</v>
      </c>
      <c r="Y163" s="28">
        <v>196.12113165926152</v>
      </c>
      <c r="Z163" s="17" t="str">
        <f>SUBSTITUTE(SUBSTITUTE(SUBSTITUTE(SUBSTITUTE(IF(E163="","",VLOOKUP(E163,[1]Esquemas_NORM!$A$2:$H$126,8,FALSE)),"PROVINCIA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63" s="17" t="str">
        <f>IF($E163="","",INDEX([1]Esquemas_NORM!$H$2:$K$126,MATCH($E163,[1]Esquemas_NORM!$A$2:$A$126,0),MATCH(AA$4,[1]Esquemas_NORM!$H$1:$K$1,0)))</f>
        <v>A la fecha no ha conformado un EAT Región</v>
      </c>
      <c r="AB163" s="17" t="str">
        <f>IF($E163="","",INDEX([1]Esquemas_NORM!$H$2:$K$126,MATCH($E163,[1]Esquemas_NORM!$A$2:$A$126,0),MATCH(AB$4,[1]Esquemas_NORM!$H$1:$K$1,0)))</f>
        <v>A la fecha no ha conformado un EAT Área Metropolitana</v>
      </c>
      <c r="AC163" s="17" t="str">
        <f>IF($E163="","",INDEX([1]Esquemas_NORM!$H$2:$K$126,MATCH($E163,[1]Esquemas_NORM!$A$2:$A$126,0),MATCH(AC$4,[1]Esquemas_NORM!$H$1:$K$1,0)))</f>
        <v>A la fecha no ha conformado un EAT asociación - unión</v>
      </c>
      <c r="AD163" s="23"/>
    </row>
    <row r="164" spans="1:30" x14ac:dyDescent="0.25">
      <c r="A164" s="24">
        <v>2016</v>
      </c>
      <c r="B164" s="25" t="s">
        <v>36</v>
      </c>
      <c r="C164" s="25" t="s">
        <v>119</v>
      </c>
      <c r="D164" s="25" t="s">
        <v>120</v>
      </c>
      <c r="E164" s="25" t="s">
        <v>121</v>
      </c>
      <c r="F164" s="25" t="s">
        <v>122</v>
      </c>
      <c r="G164" s="25" t="s">
        <v>123</v>
      </c>
      <c r="H164" s="26">
        <v>28.108247666997876</v>
      </c>
      <c r="I164" s="26">
        <v>0</v>
      </c>
      <c r="J164" s="27">
        <v>28.108247666997876</v>
      </c>
      <c r="K164" s="26">
        <v>4.335279178887423</v>
      </c>
      <c r="L164" s="26">
        <v>12.842338257142933</v>
      </c>
      <c r="M164" s="27">
        <v>17.177617436030356</v>
      </c>
      <c r="N164" s="26">
        <v>49.581055993277033</v>
      </c>
      <c r="O164" s="26">
        <v>3.9480889434337469</v>
      </c>
      <c r="P164" s="26">
        <v>0.94660417822773346</v>
      </c>
      <c r="Q164" s="26">
        <v>0.71851716679912214</v>
      </c>
      <c r="R164" s="26">
        <v>1.7272190252681325</v>
      </c>
      <c r="S164" s="26">
        <v>5.5249352928781548</v>
      </c>
      <c r="T164" s="26">
        <v>3.3808819405703359</v>
      </c>
      <c r="U164" s="26">
        <v>0.74492987054785742</v>
      </c>
      <c r="V164" s="27">
        <v>66.572232411002119</v>
      </c>
      <c r="W164" s="27">
        <v>115.8681585068211</v>
      </c>
      <c r="X164" s="26">
        <v>11.35565729965653</v>
      </c>
      <c r="Y164" s="28">
        <v>127.22381580647772</v>
      </c>
      <c r="Z164" s="17" t="str">
        <f>SUBSTITUTE(SUBSTITUTE(SUBSTITUTE(SUBSTITUTE(IF(E164="","",VLOOKUP(E164,[1]Esquemas_NORM!$A$2:$H$126,8,FALSE)),"PROVINCIA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64" s="17" t="str">
        <f>IF($E164="","",INDEX([1]Esquemas_NORM!$H$2:$K$126,MATCH($E164,[1]Esquemas_NORM!$A$2:$A$126,0),MATCH(AA$4,[1]Esquemas_NORM!$H$1:$K$1,0)))</f>
        <v>A la fecha no ha conformado un EAT Región</v>
      </c>
      <c r="AB164" s="17" t="str">
        <f>IF($E164="","",INDEX([1]Esquemas_NORM!$H$2:$K$126,MATCH($E164,[1]Esquemas_NORM!$A$2:$A$126,0),MATCH(AB$4,[1]Esquemas_NORM!$H$1:$K$1,0)))</f>
        <v>A la fecha no ha conformado un EAT Área Metropolitana</v>
      </c>
      <c r="AC164" s="17" t="str">
        <f>IF($E164="","",INDEX([1]Esquemas_NORM!$H$2:$K$126,MATCH($E164,[1]Esquemas_NORM!$A$2:$A$126,0),MATCH(AC$4,[1]Esquemas_NORM!$H$1:$K$1,0)))</f>
        <v>ASOCIACION DE MUNICIPIOS DEL NORTE ANTIOQUEÑO - AMUNORTE</v>
      </c>
      <c r="AD164" s="23"/>
    </row>
    <row r="165" spans="1:30" x14ac:dyDescent="0.25">
      <c r="A165" s="24">
        <v>2016</v>
      </c>
      <c r="B165" s="25" t="s">
        <v>36</v>
      </c>
      <c r="C165" s="25" t="s">
        <v>119</v>
      </c>
      <c r="D165" s="25" t="s">
        <v>124</v>
      </c>
      <c r="E165" s="25" t="s">
        <v>125</v>
      </c>
      <c r="F165" s="25" t="s">
        <v>122</v>
      </c>
      <c r="G165" s="25" t="s">
        <v>126</v>
      </c>
      <c r="H165" s="26">
        <v>13.85605296070889</v>
      </c>
      <c r="I165" s="26">
        <v>1.142089585056989E-3</v>
      </c>
      <c r="J165" s="27">
        <v>13.857195050293948</v>
      </c>
      <c r="K165" s="26">
        <v>4.0769333195131079</v>
      </c>
      <c r="L165" s="26">
        <v>1.3957656999066601</v>
      </c>
      <c r="M165" s="27">
        <v>5.4726990194197676</v>
      </c>
      <c r="N165" s="26">
        <v>1.6197781718506754</v>
      </c>
      <c r="O165" s="26">
        <v>8.5184499770707838</v>
      </c>
      <c r="P165" s="26">
        <v>1.9231575118077491</v>
      </c>
      <c r="Q165" s="26">
        <v>0.88934076681804819</v>
      </c>
      <c r="R165" s="26">
        <v>4.5667443851560714</v>
      </c>
      <c r="S165" s="26">
        <v>4.7221030310704855</v>
      </c>
      <c r="T165" s="26">
        <v>17.264938246486647</v>
      </c>
      <c r="U165" s="26">
        <v>1.2262272563851688</v>
      </c>
      <c r="V165" s="27">
        <v>40.730739346645635</v>
      </c>
      <c r="W165" s="27">
        <v>61.389318816689809</v>
      </c>
      <c r="X165" s="26">
        <v>6.0164593562659583</v>
      </c>
      <c r="Y165" s="28">
        <v>67.40577817295582</v>
      </c>
      <c r="Z165" s="17" t="str">
        <f>SUBSTITUTE(SUBSTITUTE(SUBSTITUTE(SUBSTITUTE(IF(E165="","",VLOOKUP(E165,[1]Esquemas_NORM!$A$2:$H$126,8,FALSE)),"PROVINCIA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65" s="17" t="str">
        <f>IF($E165="","",INDEX([1]Esquemas_NORM!$H$2:$K$126,MATCH($E165,[1]Esquemas_NORM!$A$2:$A$126,0),MATCH(AA$4,[1]Esquemas_NORM!$H$1:$K$1,0)))</f>
        <v>A la fecha no ha conformado un EAT Región</v>
      </c>
      <c r="AB165" s="17" t="str">
        <f>IF($E165="","",INDEX([1]Esquemas_NORM!$H$2:$K$126,MATCH($E165,[1]Esquemas_NORM!$A$2:$A$126,0),MATCH(AB$4,[1]Esquemas_NORM!$H$1:$K$1,0)))</f>
        <v>A la fecha no ha conformado un EAT Área Metropolitana</v>
      </c>
      <c r="AC165" s="17" t="str">
        <f>IF($E165="","",INDEX([1]Esquemas_NORM!$H$2:$K$126,MATCH($E165,[1]Esquemas_NORM!$A$2:$A$126,0),MATCH(AC$4,[1]Esquemas_NORM!$H$1:$K$1,0)))</f>
        <v>A la fecha no ha conformado un EAT asociación - unión</v>
      </c>
      <c r="AD165" s="23"/>
    </row>
    <row r="166" spans="1:30" x14ac:dyDescent="0.25">
      <c r="A166" s="24">
        <v>2016</v>
      </c>
      <c r="B166" s="25" t="s">
        <v>36</v>
      </c>
      <c r="C166" s="25" t="s">
        <v>119</v>
      </c>
      <c r="D166" s="25" t="s">
        <v>120</v>
      </c>
      <c r="E166" s="25" t="s">
        <v>127</v>
      </c>
      <c r="F166" s="25" t="s">
        <v>122</v>
      </c>
      <c r="G166" s="25" t="s">
        <v>128</v>
      </c>
      <c r="H166" s="26">
        <v>8.5969679972037731</v>
      </c>
      <c r="I166" s="26">
        <v>0.76460561573050334</v>
      </c>
      <c r="J166" s="27">
        <v>9.3615736129342757</v>
      </c>
      <c r="K166" s="26">
        <v>0.34577420684754767</v>
      </c>
      <c r="L166" s="26">
        <v>4.470731687981206</v>
      </c>
      <c r="M166" s="27">
        <v>4.8165058948287536</v>
      </c>
      <c r="N166" s="26">
        <v>1.0743032457580177</v>
      </c>
      <c r="O166" s="26">
        <v>4.9638143338417224</v>
      </c>
      <c r="P166" s="26">
        <v>2.3495951579332641</v>
      </c>
      <c r="Q166" s="26">
        <v>1.6136106885635144</v>
      </c>
      <c r="R166" s="26">
        <v>3.4264883620559279</v>
      </c>
      <c r="S166" s="26">
        <v>5.3002911110982431</v>
      </c>
      <c r="T166" s="26">
        <v>19.928181355209539</v>
      </c>
      <c r="U166" s="26">
        <v>2.0695899775623388</v>
      </c>
      <c r="V166" s="27">
        <v>40.725874232022569</v>
      </c>
      <c r="W166" s="27">
        <v>55.590140739671526</v>
      </c>
      <c r="X166" s="26">
        <v>5.4481109876469747</v>
      </c>
      <c r="Y166" s="28">
        <v>61.038251727318524</v>
      </c>
      <c r="Z166" s="17" t="str">
        <f>SUBSTITUTE(SUBSTITUTE(SUBSTITUTE(SUBSTITUTE(IF(E166="","",VLOOKUP(E166,[1]Esquemas_NORM!$A$2:$H$126,8,FALSE)),"PROVINCIA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66" s="17" t="str">
        <f>IF($E166="","",INDEX([1]Esquemas_NORM!$H$2:$K$126,MATCH($E166,[1]Esquemas_NORM!$A$2:$A$126,0),MATCH(AA$4,[1]Esquemas_NORM!$H$1:$K$1,0)))</f>
        <v>A la fecha no ha conformado un EAT Región</v>
      </c>
      <c r="AB166" s="17" t="str">
        <f>IF($E166="","",INDEX([1]Esquemas_NORM!$H$2:$K$126,MATCH($E166,[1]Esquemas_NORM!$A$2:$A$126,0),MATCH(AB$4,[1]Esquemas_NORM!$H$1:$K$1,0)))</f>
        <v>A la fecha no ha conformado un EAT Área Metropolitana</v>
      </c>
      <c r="AC166" s="17" t="str">
        <f>IF($E166="","",INDEX([1]Esquemas_NORM!$H$2:$K$126,MATCH($E166,[1]Esquemas_NORM!$A$2:$A$126,0),MATCH(AC$4,[1]Esquemas_NORM!$H$1:$K$1,0)))</f>
        <v>ASOCIACION DE MUNICIPIOS DEL NORTE ANTIOQUEÑO - AMUNORTE</v>
      </c>
      <c r="AD166" s="23"/>
    </row>
    <row r="167" spans="1:30" x14ac:dyDescent="0.25">
      <c r="A167" s="24">
        <v>2016</v>
      </c>
      <c r="B167" s="25" t="s">
        <v>36</v>
      </c>
      <c r="C167" s="25" t="s">
        <v>119</v>
      </c>
      <c r="D167" s="25" t="s">
        <v>120</v>
      </c>
      <c r="E167" s="25" t="s">
        <v>129</v>
      </c>
      <c r="F167" s="25" t="s">
        <v>122</v>
      </c>
      <c r="G167" s="25" t="s">
        <v>130</v>
      </c>
      <c r="H167" s="26">
        <v>4.286872839564202</v>
      </c>
      <c r="I167" s="26">
        <v>0</v>
      </c>
      <c r="J167" s="27">
        <v>4.286872839564202</v>
      </c>
      <c r="K167" s="26">
        <v>4.4736131316520984</v>
      </c>
      <c r="L167" s="26">
        <v>1.0087134404637785</v>
      </c>
      <c r="M167" s="27">
        <v>5.4823265721158769</v>
      </c>
      <c r="N167" s="26">
        <v>2.5732523443219533</v>
      </c>
      <c r="O167" s="26">
        <v>10.32690994660538</v>
      </c>
      <c r="P167" s="26">
        <v>3.1831036760315858</v>
      </c>
      <c r="Q167" s="26">
        <v>2.4105061526170357</v>
      </c>
      <c r="R167" s="26">
        <v>4.9481347790187886</v>
      </c>
      <c r="S167" s="26">
        <v>6.3873093564027101</v>
      </c>
      <c r="T167" s="26">
        <v>13.965468371840826</v>
      </c>
      <c r="U167" s="26">
        <v>2.309008078513465</v>
      </c>
      <c r="V167" s="27">
        <v>46.103692705351747</v>
      </c>
      <c r="W167" s="27">
        <v>56.193442557833755</v>
      </c>
      <c r="X167" s="26">
        <v>5.5072375741367949</v>
      </c>
      <c r="Y167" s="28">
        <v>61.70068013197055</v>
      </c>
      <c r="Z167" s="17" t="str">
        <f>SUBSTITUTE(SUBSTITUTE(SUBSTITUTE(SUBSTITUTE(IF(E167="","",VLOOKUP(E167,[1]Esquemas_NORM!$A$2:$H$126,8,FALSE)),"PROVINCIA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67" s="17" t="str">
        <f>IF($E167="","",INDEX([1]Esquemas_NORM!$H$2:$K$126,MATCH($E167,[1]Esquemas_NORM!$A$2:$A$126,0),MATCH(AA$4,[1]Esquemas_NORM!$H$1:$K$1,0)))</f>
        <v>A la fecha no ha conformado un EAT Región</v>
      </c>
      <c r="AB167" s="17" t="str">
        <f>IF($E167="","",INDEX([1]Esquemas_NORM!$H$2:$K$126,MATCH($E167,[1]Esquemas_NORM!$A$2:$A$126,0),MATCH(AB$4,[1]Esquemas_NORM!$H$1:$K$1,0)))</f>
        <v>A la fecha no ha conformado un EAT Área Metropolitana</v>
      </c>
      <c r="AC167" s="17" t="str">
        <f>IF($E167="","",INDEX([1]Esquemas_NORM!$H$2:$K$126,MATCH($E167,[1]Esquemas_NORM!$A$2:$A$126,0),MATCH(AC$4,[1]Esquemas_NORM!$H$1:$K$1,0)))</f>
        <v>ASOCIACION DE MUNICIPIOS DEL NORTE ANTIOQUEÑO - AMUNORTE</v>
      </c>
      <c r="AD167" s="23"/>
    </row>
    <row r="168" spans="1:30" x14ac:dyDescent="0.25">
      <c r="A168" s="24">
        <v>2016</v>
      </c>
      <c r="B168" s="25" t="s">
        <v>36</v>
      </c>
      <c r="C168" s="25" t="s">
        <v>119</v>
      </c>
      <c r="D168" s="25" t="s">
        <v>99</v>
      </c>
      <c r="E168" s="25" t="s">
        <v>131</v>
      </c>
      <c r="F168" s="25" t="s">
        <v>122</v>
      </c>
      <c r="G168" s="25" t="s">
        <v>132</v>
      </c>
      <c r="H168" s="26">
        <v>4.2762534578984113</v>
      </c>
      <c r="I168" s="26">
        <v>0</v>
      </c>
      <c r="J168" s="27">
        <v>4.2762534578984113</v>
      </c>
      <c r="K168" s="26">
        <v>0.34125501207753189</v>
      </c>
      <c r="L168" s="26">
        <v>2.7831921860508135</v>
      </c>
      <c r="M168" s="27">
        <v>3.1244471981283453</v>
      </c>
      <c r="N168" s="26">
        <v>9.0872432776127159</v>
      </c>
      <c r="O168" s="26">
        <v>2.2093223286628541</v>
      </c>
      <c r="P168" s="26">
        <v>0.63098836556897275</v>
      </c>
      <c r="Q168" s="26">
        <v>0.28976836348139362</v>
      </c>
      <c r="R168" s="26">
        <v>1.6940809276820747</v>
      </c>
      <c r="S168" s="26">
        <v>2.8157011968232264</v>
      </c>
      <c r="T168" s="26">
        <v>9.9220738333497351</v>
      </c>
      <c r="U168" s="26">
        <v>0.78753952984829112</v>
      </c>
      <c r="V168" s="27">
        <v>27.436717823029262</v>
      </c>
      <c r="W168" s="27">
        <v>35.480315034493614</v>
      </c>
      <c r="X168" s="26">
        <v>3.4772477927312493</v>
      </c>
      <c r="Y168" s="28">
        <v>38.957562827224841</v>
      </c>
      <c r="Z168" s="17" t="str">
        <f>SUBSTITUTE(SUBSTITUTE(SUBSTITUTE(SUBSTITUTE(IF(E168="","",VLOOKUP(E168,[1]Esquemas_NORM!$A$2:$H$126,8,FALSE)),"PROVINCIA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68" s="17" t="str">
        <f>IF($E168="","",INDEX([1]Esquemas_NORM!$H$2:$K$126,MATCH($E168,[1]Esquemas_NORM!$A$2:$A$126,0),MATCH(AA$4,[1]Esquemas_NORM!$H$1:$K$1,0)))</f>
        <v>A la fecha no ha conformado un EAT Región</v>
      </c>
      <c r="AB168" s="17" t="str">
        <f>IF($E168="","",INDEX([1]Esquemas_NORM!$H$2:$K$126,MATCH($E168,[1]Esquemas_NORM!$A$2:$A$126,0),MATCH(AB$4,[1]Esquemas_NORM!$H$1:$K$1,0)))</f>
        <v>A la fecha no ha conformado un EAT Área Metropolitana</v>
      </c>
      <c r="AC168" s="17" t="str">
        <f>IF($E168="","",INDEX([1]Esquemas_NORM!$H$2:$K$126,MATCH($E168,[1]Esquemas_NORM!$A$2:$A$126,0),MATCH(AC$4,[1]Esquemas_NORM!$H$1:$K$1,0)))</f>
        <v>A la fecha no ha conformado un EAT asociación - unión</v>
      </c>
      <c r="AD168" s="23"/>
    </row>
    <row r="169" spans="1:30" x14ac:dyDescent="0.25">
      <c r="A169" s="24">
        <v>2016</v>
      </c>
      <c r="B169" s="25" t="s">
        <v>36</v>
      </c>
      <c r="C169" s="25" t="s">
        <v>119</v>
      </c>
      <c r="D169" s="25" t="s">
        <v>124</v>
      </c>
      <c r="E169" s="25" t="s">
        <v>133</v>
      </c>
      <c r="F169" s="25" t="s">
        <v>122</v>
      </c>
      <c r="G169" s="25" t="s">
        <v>134</v>
      </c>
      <c r="H169" s="26">
        <v>121.34008892252473</v>
      </c>
      <c r="I169" s="26">
        <v>1.7476248112346753E-3</v>
      </c>
      <c r="J169" s="27">
        <v>121.34183654733596</v>
      </c>
      <c r="K169" s="26">
        <v>35.842060796767825</v>
      </c>
      <c r="L169" s="26">
        <v>6.0485727984592863</v>
      </c>
      <c r="M169" s="27">
        <v>41.890633595227115</v>
      </c>
      <c r="N169" s="26">
        <v>18.090702853362028</v>
      </c>
      <c r="O169" s="26">
        <v>50.013464030021169</v>
      </c>
      <c r="P169" s="26">
        <v>6.2899803537985193</v>
      </c>
      <c r="Q169" s="26">
        <v>11.713715466550816</v>
      </c>
      <c r="R169" s="26">
        <v>22.161539566038662</v>
      </c>
      <c r="S169" s="26">
        <v>25.05038901218516</v>
      </c>
      <c r="T169" s="26">
        <v>20.654086183597073</v>
      </c>
      <c r="U169" s="26">
        <v>8.1037785038736629</v>
      </c>
      <c r="V169" s="27">
        <v>162.07765596942707</v>
      </c>
      <c r="W169" s="27">
        <v>336.50008339159166</v>
      </c>
      <c r="X169" s="26">
        <v>32.978686099293363</v>
      </c>
      <c r="Y169" s="28">
        <v>369.47876949088572</v>
      </c>
      <c r="Z169" s="17" t="str">
        <f>SUBSTITUTE(SUBSTITUTE(SUBSTITUTE(SUBSTITUTE(IF(E169="","",VLOOKUP(E169,[1]Esquemas_NORM!$A$2:$H$126,8,FALSE)),"PROVINCIA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69" s="17" t="str">
        <f>IF($E169="","",INDEX([1]Esquemas_NORM!$H$2:$K$126,MATCH($E169,[1]Esquemas_NORM!$A$2:$A$126,0),MATCH(AA$4,[1]Esquemas_NORM!$H$1:$K$1,0)))</f>
        <v>A la fecha no ha conformado un EAT Región</v>
      </c>
      <c r="AB169" s="17" t="str">
        <f>IF($E169="","",INDEX([1]Esquemas_NORM!$H$2:$K$126,MATCH($E169,[1]Esquemas_NORM!$A$2:$A$126,0),MATCH(AB$4,[1]Esquemas_NORM!$H$1:$K$1,0)))</f>
        <v>A la fecha no ha conformado un EAT Área Metropolitana</v>
      </c>
      <c r="AC169" s="17" t="str">
        <f>IF($E169="","",INDEX([1]Esquemas_NORM!$H$2:$K$126,MATCH($E169,[1]Esquemas_NORM!$A$2:$A$126,0),MATCH(AC$4,[1]Esquemas_NORM!$H$1:$K$1,0)))</f>
        <v>ASOCIACION DE MUNICIPIOS DEL NORTE ANTIOQUEÑO - AMUNORTE</v>
      </c>
      <c r="AD169" s="23"/>
    </row>
    <row r="170" spans="1:30" x14ac:dyDescent="0.25">
      <c r="A170" s="24">
        <v>2016</v>
      </c>
      <c r="B170" s="25" t="s">
        <v>36</v>
      </c>
      <c r="C170" s="25" t="s">
        <v>119</v>
      </c>
      <c r="D170" s="25" t="s">
        <v>124</v>
      </c>
      <c r="E170" s="25" t="s">
        <v>135</v>
      </c>
      <c r="F170" s="25" t="s">
        <v>122</v>
      </c>
      <c r="G170" s="25" t="s">
        <v>136</v>
      </c>
      <c r="H170" s="26">
        <v>39.82463674450009</v>
      </c>
      <c r="I170" s="26">
        <v>0</v>
      </c>
      <c r="J170" s="27">
        <v>39.82463674450009</v>
      </c>
      <c r="K170" s="26">
        <v>116.29055134082259</v>
      </c>
      <c r="L170" s="26">
        <v>49.556952845470967</v>
      </c>
      <c r="M170" s="27">
        <v>165.84750418629355</v>
      </c>
      <c r="N170" s="26">
        <v>5.3826819333985574</v>
      </c>
      <c r="O170" s="26">
        <v>28.926347505087218</v>
      </c>
      <c r="P170" s="26">
        <v>2.6736919674279203</v>
      </c>
      <c r="Q170" s="26">
        <v>3.8832727240208764</v>
      </c>
      <c r="R170" s="26">
        <v>9.042719762997546</v>
      </c>
      <c r="S170" s="26">
        <v>18.460975125582113</v>
      </c>
      <c r="T170" s="26">
        <v>15.272657810306475</v>
      </c>
      <c r="U170" s="26">
        <v>4.1319260353331453</v>
      </c>
      <c r="V170" s="27">
        <v>87.774272864153843</v>
      </c>
      <c r="W170" s="27">
        <v>293.51033995305312</v>
      </c>
      <c r="X170" s="26">
        <v>28.765476877897839</v>
      </c>
      <c r="Y170" s="28">
        <v>322.27581683095116</v>
      </c>
      <c r="Z170" s="17" t="str">
        <f>SUBSTITUTE(SUBSTITUTE(SUBSTITUTE(SUBSTITUTE(IF(E170="","",VLOOKUP(E170,[1]Esquemas_NORM!$A$2:$H$126,8,FALSE)),"PROVINCIA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70" s="17" t="str">
        <f>IF($E170="","",INDEX([1]Esquemas_NORM!$H$2:$K$126,MATCH($E170,[1]Esquemas_NORM!$A$2:$A$126,0),MATCH(AA$4,[1]Esquemas_NORM!$H$1:$K$1,0)))</f>
        <v>A la fecha no ha conformado un EAT Región</v>
      </c>
      <c r="AB170" s="17" t="str">
        <f>IF($E170="","",INDEX([1]Esquemas_NORM!$H$2:$K$126,MATCH($E170,[1]Esquemas_NORM!$A$2:$A$126,0),MATCH(AB$4,[1]Esquemas_NORM!$H$1:$K$1,0)))</f>
        <v>A la fecha no ha conformado un EAT Área Metropolitana</v>
      </c>
      <c r="AC170" s="17" t="str">
        <f>IF($E170="","",INDEX([1]Esquemas_NORM!$H$2:$K$126,MATCH($E170,[1]Esquemas_NORM!$A$2:$A$126,0),MATCH(AC$4,[1]Esquemas_NORM!$H$1:$K$1,0)))</f>
        <v>A la fecha no ha conformado un EAT asociación - unión</v>
      </c>
      <c r="AD170" s="23"/>
    </row>
    <row r="171" spans="1:30" x14ac:dyDescent="0.25">
      <c r="A171" s="24">
        <v>2016</v>
      </c>
      <c r="B171" s="25" t="s">
        <v>36</v>
      </c>
      <c r="C171" s="25" t="s">
        <v>119</v>
      </c>
      <c r="D171" s="25" t="s">
        <v>99</v>
      </c>
      <c r="E171" s="25" t="s">
        <v>137</v>
      </c>
      <c r="F171" s="25" t="s">
        <v>122</v>
      </c>
      <c r="G171" s="25" t="s">
        <v>138</v>
      </c>
      <c r="H171" s="26">
        <v>14.599635496920088</v>
      </c>
      <c r="I171" s="26">
        <v>0.26112903413469851</v>
      </c>
      <c r="J171" s="27">
        <v>14.860764531054787</v>
      </c>
      <c r="K171" s="26">
        <v>13.164992393711184</v>
      </c>
      <c r="L171" s="26">
        <v>10.163253876357137</v>
      </c>
      <c r="M171" s="27">
        <v>23.32824627006832</v>
      </c>
      <c r="N171" s="26">
        <v>131.32695847193725</v>
      </c>
      <c r="O171" s="26">
        <v>16.555638412687866</v>
      </c>
      <c r="P171" s="26">
        <v>8.698404713153149</v>
      </c>
      <c r="Q171" s="26">
        <v>2.057287775095006</v>
      </c>
      <c r="R171" s="26">
        <v>8.2600365070196613</v>
      </c>
      <c r="S171" s="26">
        <v>19.283369866263531</v>
      </c>
      <c r="T171" s="26">
        <v>23.110383433297066</v>
      </c>
      <c r="U171" s="26">
        <v>3.5920852010477726</v>
      </c>
      <c r="V171" s="27">
        <v>212.88416438050132</v>
      </c>
      <c r="W171" s="27">
        <v>256.26835844606939</v>
      </c>
      <c r="X171" s="26">
        <v>25.115576986478771</v>
      </c>
      <c r="Y171" s="28">
        <v>281.38393543254818</v>
      </c>
      <c r="Z171" s="17" t="str">
        <f>SUBSTITUTE(SUBSTITUTE(SUBSTITUTE(SUBSTITUTE(IF(E171="","",VLOOKUP(E171,[1]Esquemas_NORM!$A$2:$H$126,8,FALSE)),"PROVINCIA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71" s="17" t="str">
        <f>IF($E171="","",INDEX([1]Esquemas_NORM!$H$2:$K$126,MATCH($E171,[1]Esquemas_NORM!$A$2:$A$126,0),MATCH(AA$4,[1]Esquemas_NORM!$H$1:$K$1,0)))</f>
        <v>A la fecha no ha conformado un EAT Región</v>
      </c>
      <c r="AB171" s="17" t="str">
        <f>IF($E171="","",INDEX([1]Esquemas_NORM!$H$2:$K$126,MATCH($E171,[1]Esquemas_NORM!$A$2:$A$126,0),MATCH(AB$4,[1]Esquemas_NORM!$H$1:$K$1,0)))</f>
        <v>A la fecha no ha conformado un EAT Área Metropolitana</v>
      </c>
      <c r="AC171" s="17" t="str">
        <f>IF($E171="","",INDEX([1]Esquemas_NORM!$H$2:$K$126,MATCH($E171,[1]Esquemas_NORM!$A$2:$A$126,0),MATCH(AC$4,[1]Esquemas_NORM!$H$1:$K$1,0)))</f>
        <v>ASOCIACION DE MUNICIPIOS DEL NORTE ANTIOQUEÑO - AMUNORTE</v>
      </c>
      <c r="AD171" s="23"/>
    </row>
    <row r="172" spans="1:30" x14ac:dyDescent="0.25">
      <c r="A172" s="24">
        <v>2016</v>
      </c>
      <c r="B172" s="25" t="s">
        <v>36</v>
      </c>
      <c r="C172" s="25" t="s">
        <v>119</v>
      </c>
      <c r="D172" s="25" t="s">
        <v>99</v>
      </c>
      <c r="E172" s="25" t="s">
        <v>139</v>
      </c>
      <c r="F172" s="25" t="s">
        <v>122</v>
      </c>
      <c r="G172" s="25" t="s">
        <v>140</v>
      </c>
      <c r="H172" s="26">
        <v>5.8525476433585997</v>
      </c>
      <c r="I172" s="26">
        <v>0</v>
      </c>
      <c r="J172" s="27">
        <v>5.8525476433585997</v>
      </c>
      <c r="K172" s="26">
        <v>1.1995038911603502</v>
      </c>
      <c r="L172" s="26">
        <v>3.6563540473117513</v>
      </c>
      <c r="M172" s="27">
        <v>4.8558579384721012</v>
      </c>
      <c r="N172" s="26">
        <v>22.125822302789764</v>
      </c>
      <c r="O172" s="26">
        <v>1.3994830328730594</v>
      </c>
      <c r="P172" s="26">
        <v>0.46524317055597725</v>
      </c>
      <c r="Q172" s="26">
        <v>0.37164421179994134</v>
      </c>
      <c r="R172" s="26">
        <v>0.75840169243418853</v>
      </c>
      <c r="S172" s="26">
        <v>2.9206080936434611</v>
      </c>
      <c r="T172" s="26">
        <v>8.7400370821918383</v>
      </c>
      <c r="U172" s="26">
        <v>0.49753983651159367</v>
      </c>
      <c r="V172" s="27">
        <v>37.278779422799822</v>
      </c>
      <c r="W172" s="27">
        <v>49.149266688196803</v>
      </c>
      <c r="X172" s="26">
        <v>4.8168732137712409</v>
      </c>
      <c r="Y172" s="28">
        <v>53.966139901968106</v>
      </c>
      <c r="Z172" s="17" t="str">
        <f>SUBSTITUTE(SUBSTITUTE(SUBSTITUTE(SUBSTITUTE(IF(E172="","",VLOOKUP(E172,[1]Esquemas_NORM!$A$2:$H$126,8,FALSE)),"PROVINCIA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72" s="17" t="str">
        <f>IF($E172="","",INDEX([1]Esquemas_NORM!$H$2:$K$126,MATCH($E172,[1]Esquemas_NORM!$A$2:$A$126,0),MATCH(AA$4,[1]Esquemas_NORM!$H$1:$K$1,0)))</f>
        <v>A la fecha no ha conformado un EAT Región</v>
      </c>
      <c r="AB172" s="17" t="str">
        <f>IF($E172="","",INDEX([1]Esquemas_NORM!$H$2:$K$126,MATCH($E172,[1]Esquemas_NORM!$A$2:$A$126,0),MATCH(AB$4,[1]Esquemas_NORM!$H$1:$K$1,0)))</f>
        <v>A la fecha no ha conformado un EAT Área Metropolitana</v>
      </c>
      <c r="AC172" s="17" t="str">
        <f>IF($E172="","",INDEX([1]Esquemas_NORM!$H$2:$K$126,MATCH($E172,[1]Esquemas_NORM!$A$2:$A$126,0),MATCH(AC$4,[1]Esquemas_NORM!$H$1:$K$1,0)))</f>
        <v>A la fecha no ha conformado un EAT asociación - unión</v>
      </c>
      <c r="AD172" s="23"/>
    </row>
    <row r="173" spans="1:30" x14ac:dyDescent="0.25">
      <c r="A173" s="24">
        <v>2016</v>
      </c>
      <c r="B173" s="25" t="s">
        <v>36</v>
      </c>
      <c r="C173" s="25" t="s">
        <v>119</v>
      </c>
      <c r="D173" s="25" t="s">
        <v>141</v>
      </c>
      <c r="E173" s="25" t="s">
        <v>142</v>
      </c>
      <c r="F173" s="25" t="s">
        <v>122</v>
      </c>
      <c r="G173" s="25" t="s">
        <v>143</v>
      </c>
      <c r="H173" s="26">
        <v>32.691727476617956</v>
      </c>
      <c r="I173" s="26">
        <v>5.3381436674097689</v>
      </c>
      <c r="J173" s="27">
        <v>38.029871144027723</v>
      </c>
      <c r="K173" s="26">
        <v>9.103823963697911</v>
      </c>
      <c r="L173" s="26">
        <v>9.7273308020464366</v>
      </c>
      <c r="M173" s="27">
        <v>18.831154765744348</v>
      </c>
      <c r="N173" s="26">
        <v>8.7775060099602573</v>
      </c>
      <c r="O173" s="26">
        <v>29.078145027384771</v>
      </c>
      <c r="P173" s="26">
        <v>16.79563018838212</v>
      </c>
      <c r="Q173" s="26">
        <v>9.259890735327069</v>
      </c>
      <c r="R173" s="26">
        <v>21.564740953145414</v>
      </c>
      <c r="S173" s="26">
        <v>19.281665757944239</v>
      </c>
      <c r="T173" s="26">
        <v>25.901431802690766</v>
      </c>
      <c r="U173" s="26">
        <v>6.8131075351594763</v>
      </c>
      <c r="V173" s="27">
        <v>137.47211800999412</v>
      </c>
      <c r="W173" s="27">
        <v>197.04803856173044</v>
      </c>
      <c r="X173" s="26">
        <v>19.311690341097595</v>
      </c>
      <c r="Y173" s="28">
        <v>216.35972890282801</v>
      </c>
      <c r="Z173" s="17" t="str">
        <f>SUBSTITUTE(SUBSTITUTE(SUBSTITUTE(SUBSTITUTE(IF(E173="","",VLOOKUP(E173,[1]Esquemas_NORM!$A$2:$H$126,8,FALSE)),"PROVINCIA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73" s="17" t="str">
        <f>IF($E173="","",INDEX([1]Esquemas_NORM!$H$2:$K$126,MATCH($E173,[1]Esquemas_NORM!$A$2:$A$126,0),MATCH(AA$4,[1]Esquemas_NORM!$H$1:$K$1,0)))</f>
        <v>A la fecha no ha conformado un EAT Región</v>
      </c>
      <c r="AB173" s="17" t="str">
        <f>IF($E173="","",INDEX([1]Esquemas_NORM!$H$2:$K$126,MATCH($E173,[1]Esquemas_NORM!$A$2:$A$126,0),MATCH(AB$4,[1]Esquemas_NORM!$H$1:$K$1,0)))</f>
        <v>A la fecha no ha conformado un EAT Área Metropolitana</v>
      </c>
      <c r="AC173" s="17" t="str">
        <f>IF($E173="","",INDEX([1]Esquemas_NORM!$H$2:$K$126,MATCH($E173,[1]Esquemas_NORM!$A$2:$A$126,0),MATCH(AC$4,[1]Esquemas_NORM!$H$1:$K$1,0)))</f>
        <v>ASOCIACION DE MUNICIPIOS DEL NORTE ANTIOQUEÑO - AMUNORTE</v>
      </c>
      <c r="AD173" s="23"/>
    </row>
    <row r="174" spans="1:30" x14ac:dyDescent="0.25">
      <c r="A174" s="24">
        <v>2016</v>
      </c>
      <c r="B174" s="25" t="s">
        <v>36</v>
      </c>
      <c r="C174" s="25" t="s">
        <v>119</v>
      </c>
      <c r="D174" s="25" t="s">
        <v>141</v>
      </c>
      <c r="E174" s="25" t="s">
        <v>144</v>
      </c>
      <c r="F174" s="25" t="s">
        <v>122</v>
      </c>
      <c r="G174" s="25" t="s">
        <v>145</v>
      </c>
      <c r="H174" s="26">
        <v>12.040321570809949</v>
      </c>
      <c r="I174" s="26">
        <v>0</v>
      </c>
      <c r="J174" s="27">
        <v>12.040321570809949</v>
      </c>
      <c r="K174" s="26">
        <v>0.91353155213310722</v>
      </c>
      <c r="L174" s="26">
        <v>4.5103350394469421</v>
      </c>
      <c r="M174" s="27">
        <v>5.4238665915800492</v>
      </c>
      <c r="N174" s="26">
        <v>1.4486736505785467</v>
      </c>
      <c r="O174" s="26">
        <v>7.020737490764283</v>
      </c>
      <c r="P174" s="26">
        <v>4.4490137631212603</v>
      </c>
      <c r="Q174" s="26">
        <v>1.6450492138827051</v>
      </c>
      <c r="R174" s="26">
        <v>9.0460231500532338</v>
      </c>
      <c r="S174" s="26">
        <v>5.480351847470879</v>
      </c>
      <c r="T174" s="26">
        <v>11.039840946828708</v>
      </c>
      <c r="U174" s="26">
        <v>3.3240948774812091</v>
      </c>
      <c r="V174" s="27">
        <v>43.453784940180817</v>
      </c>
      <c r="W174" s="27">
        <v>61.866216639059452</v>
      </c>
      <c r="X174" s="26">
        <v>6.0631977208651859</v>
      </c>
      <c r="Y174" s="28">
        <v>67.929414359924706</v>
      </c>
      <c r="Z174" s="17" t="str">
        <f>SUBSTITUTE(SUBSTITUTE(SUBSTITUTE(SUBSTITUTE(IF(E174="","",VLOOKUP(E174,[1]Esquemas_NORM!$A$2:$H$126,8,FALSE)),"PROVINCIA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74" s="17" t="str">
        <f>IF($E174="","",INDEX([1]Esquemas_NORM!$H$2:$K$126,MATCH($E174,[1]Esquemas_NORM!$A$2:$A$126,0),MATCH(AA$4,[1]Esquemas_NORM!$H$1:$K$1,0)))</f>
        <v>A la fecha no ha conformado un EAT Región</v>
      </c>
      <c r="AB174" s="17" t="str">
        <f>IF($E174="","",INDEX([1]Esquemas_NORM!$H$2:$K$126,MATCH($E174,[1]Esquemas_NORM!$A$2:$A$126,0),MATCH(AB$4,[1]Esquemas_NORM!$H$1:$K$1,0)))</f>
        <v>A la fecha no ha conformado un EAT Área Metropolitana</v>
      </c>
      <c r="AC174" s="17" t="str">
        <f>IF($E174="","",INDEX([1]Esquemas_NORM!$H$2:$K$126,MATCH($E174,[1]Esquemas_NORM!$A$2:$A$126,0),MATCH(AC$4,[1]Esquemas_NORM!$H$1:$K$1,0)))</f>
        <v>ASOCIACION DE MUNICIPIOS DEL NORTE ANTIOQUEÑO - AMUNORTE</v>
      </c>
      <c r="AD174" s="23"/>
    </row>
    <row r="175" spans="1:30" x14ac:dyDescent="0.25">
      <c r="A175" s="24">
        <v>2016</v>
      </c>
      <c r="B175" s="25" t="s">
        <v>36</v>
      </c>
      <c r="C175" s="25" t="s">
        <v>119</v>
      </c>
      <c r="D175" s="25" t="s">
        <v>124</v>
      </c>
      <c r="E175" s="25" t="s">
        <v>146</v>
      </c>
      <c r="F175" s="25" t="s">
        <v>122</v>
      </c>
      <c r="G175" s="25" t="s">
        <v>147</v>
      </c>
      <c r="H175" s="26">
        <v>3.2546362333823966</v>
      </c>
      <c r="I175" s="26">
        <v>0</v>
      </c>
      <c r="J175" s="27">
        <v>3.2546362333823966</v>
      </c>
      <c r="K175" s="26">
        <v>1.4693607220480038</v>
      </c>
      <c r="L175" s="26">
        <v>1.3392278252397343</v>
      </c>
      <c r="M175" s="27">
        <v>2.8085885472877381</v>
      </c>
      <c r="N175" s="26">
        <v>0.75945698850317289</v>
      </c>
      <c r="O175" s="26">
        <v>2.5504635294860822</v>
      </c>
      <c r="P175" s="26">
        <v>0.62384225386438552</v>
      </c>
      <c r="Q175" s="26">
        <v>0.4534608952172407</v>
      </c>
      <c r="R175" s="26">
        <v>1.3480298932215968</v>
      </c>
      <c r="S175" s="26">
        <v>2.721537576803343</v>
      </c>
      <c r="T175" s="26">
        <v>14.404851931669056</v>
      </c>
      <c r="U175" s="26">
        <v>0.55486756335279508</v>
      </c>
      <c r="V175" s="27">
        <v>23.416510632117671</v>
      </c>
      <c r="W175" s="27">
        <v>29.7420172087587</v>
      </c>
      <c r="X175" s="26">
        <v>2.9148659923111544</v>
      </c>
      <c r="Y175" s="28">
        <v>32.656883201069839</v>
      </c>
      <c r="Z175" s="17" t="str">
        <f>SUBSTITUTE(SUBSTITUTE(SUBSTITUTE(SUBSTITUTE(IF(E175="","",VLOOKUP(E175,[1]Esquemas_NORM!$A$2:$H$126,8,FALSE)),"PROVINCIA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75" s="17" t="str">
        <f>IF($E175="","",INDEX([1]Esquemas_NORM!$H$2:$K$126,MATCH($E175,[1]Esquemas_NORM!$A$2:$A$126,0),MATCH(AA$4,[1]Esquemas_NORM!$H$1:$K$1,0)))</f>
        <v>A la fecha no ha conformado un EAT Región</v>
      </c>
      <c r="AB175" s="17" t="str">
        <f>IF($E175="","",INDEX([1]Esquemas_NORM!$H$2:$K$126,MATCH($E175,[1]Esquemas_NORM!$A$2:$A$126,0),MATCH(AB$4,[1]Esquemas_NORM!$H$1:$K$1,0)))</f>
        <v>A la fecha no ha conformado un EAT Área Metropolitana</v>
      </c>
      <c r="AC175" s="17" t="str">
        <f>IF($E175="","",INDEX([1]Esquemas_NORM!$H$2:$K$126,MATCH($E175,[1]Esquemas_NORM!$A$2:$A$126,0),MATCH(AC$4,[1]Esquemas_NORM!$H$1:$K$1,0)))</f>
        <v>ASOCIACION DE MUNICIPIOS DEL NORTE ANTIOQUEÑO - AMUNORTE</v>
      </c>
      <c r="AD175" s="23"/>
    </row>
    <row r="176" spans="1:30" x14ac:dyDescent="0.25">
      <c r="A176" s="24">
        <v>2016</v>
      </c>
      <c r="B176" s="25" t="s">
        <v>36</v>
      </c>
      <c r="C176" s="25" t="s">
        <v>119</v>
      </c>
      <c r="D176" s="25" t="s">
        <v>124</v>
      </c>
      <c r="E176" s="25" t="s">
        <v>148</v>
      </c>
      <c r="F176" s="25" t="s">
        <v>122</v>
      </c>
      <c r="G176" s="25" t="s">
        <v>149</v>
      </c>
      <c r="H176" s="26">
        <v>84.433859670668809</v>
      </c>
      <c r="I176" s="26">
        <v>5.998079557920144E-3</v>
      </c>
      <c r="J176" s="27">
        <v>84.439857750226736</v>
      </c>
      <c r="K176" s="26">
        <v>375.60550900162809</v>
      </c>
      <c r="L176" s="26">
        <v>70.521036980755923</v>
      </c>
      <c r="M176" s="27">
        <v>446.12654598238402</v>
      </c>
      <c r="N176" s="26">
        <v>14.270265450126734</v>
      </c>
      <c r="O176" s="26">
        <v>52.442348230005841</v>
      </c>
      <c r="P176" s="26">
        <v>7.6228529671902514</v>
      </c>
      <c r="Q176" s="26">
        <v>8.9896549408040052</v>
      </c>
      <c r="R176" s="26">
        <v>21.544746242635416</v>
      </c>
      <c r="S176" s="26">
        <v>45.489313377891449</v>
      </c>
      <c r="T176" s="26">
        <v>36.427695926857979</v>
      </c>
      <c r="U176" s="26">
        <v>5.6516427883713574</v>
      </c>
      <c r="V176" s="27">
        <v>192.43851992388304</v>
      </c>
      <c r="W176" s="27">
        <v>719.24343771012821</v>
      </c>
      <c r="X176" s="26">
        <v>70.489443337299264</v>
      </c>
      <c r="Y176" s="28">
        <v>789.73288104742767</v>
      </c>
      <c r="Z176" s="17" t="str">
        <f>SUBSTITUTE(SUBSTITUTE(SUBSTITUTE(SUBSTITUTE(IF(E176="","",VLOOKUP(E176,[1]Esquemas_NORM!$A$2:$H$126,8,FALSE)),"PROVINCIA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76" s="17" t="str">
        <f>IF($E176="","",INDEX([1]Esquemas_NORM!$H$2:$K$126,MATCH($E176,[1]Esquemas_NORM!$A$2:$A$126,0),MATCH(AA$4,[1]Esquemas_NORM!$H$1:$K$1,0)))</f>
        <v>A la fecha no ha conformado un EAT Región</v>
      </c>
      <c r="AB176" s="17" t="str">
        <f>IF($E176="","",INDEX([1]Esquemas_NORM!$H$2:$K$126,MATCH($E176,[1]Esquemas_NORM!$A$2:$A$126,0),MATCH(AB$4,[1]Esquemas_NORM!$H$1:$K$1,0)))</f>
        <v>A la fecha no ha conformado un EAT Área Metropolitana</v>
      </c>
      <c r="AC176" s="17" t="str">
        <f>IF($E176="","",INDEX([1]Esquemas_NORM!$H$2:$K$126,MATCH($E176,[1]Esquemas_NORM!$A$2:$A$126,0),MATCH(AC$4,[1]Esquemas_NORM!$H$1:$K$1,0)))</f>
        <v>A la fecha no ha conformado un EAT asociación - unión</v>
      </c>
      <c r="AD176" s="23"/>
    </row>
    <row r="177" spans="1:30" x14ac:dyDescent="0.25">
      <c r="A177" s="24">
        <v>2016</v>
      </c>
      <c r="B177" s="25" t="s">
        <v>36</v>
      </c>
      <c r="C177" s="25" t="s">
        <v>119</v>
      </c>
      <c r="D177" s="25" t="s">
        <v>124</v>
      </c>
      <c r="E177" s="25" t="s">
        <v>150</v>
      </c>
      <c r="F177" s="25" t="s">
        <v>122</v>
      </c>
      <c r="G177" s="25" t="s">
        <v>151</v>
      </c>
      <c r="H177" s="26">
        <v>230.75173779964427</v>
      </c>
      <c r="I177" s="26">
        <v>2.1063476942595121</v>
      </c>
      <c r="J177" s="27">
        <v>232.85808549390379</v>
      </c>
      <c r="K177" s="26">
        <v>121.20498109290746</v>
      </c>
      <c r="L177" s="26">
        <v>32.284802273690751</v>
      </c>
      <c r="M177" s="27">
        <v>153.4897833665982</v>
      </c>
      <c r="N177" s="26">
        <v>22.252324271142466</v>
      </c>
      <c r="O177" s="26">
        <v>81.897903869600299</v>
      </c>
      <c r="P177" s="26">
        <v>12.001183579190485</v>
      </c>
      <c r="Q177" s="26">
        <v>11.38509815080182</v>
      </c>
      <c r="R177" s="26">
        <v>26.754554509635845</v>
      </c>
      <c r="S177" s="26">
        <v>47.808161489813365</v>
      </c>
      <c r="T177" s="26">
        <v>94.971794494247675</v>
      </c>
      <c r="U177" s="26">
        <v>9.6898279868485311</v>
      </c>
      <c r="V177" s="27">
        <v>306.76084835128046</v>
      </c>
      <c r="W177" s="27">
        <v>712.8780151400116</v>
      </c>
      <c r="X177" s="26">
        <v>69.865600184809765</v>
      </c>
      <c r="Y177" s="28">
        <v>782.7436153248226</v>
      </c>
      <c r="Z177" s="17" t="str">
        <f>SUBSTITUTE(SUBSTITUTE(SUBSTITUTE(SUBSTITUTE(IF(E177="","",VLOOKUP(E177,[1]Esquemas_NORM!$A$2:$H$126,8,FALSE)),"PROVINCIA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77" s="17" t="str">
        <f>IF($E177="","",INDEX([1]Esquemas_NORM!$H$2:$K$126,MATCH($E177,[1]Esquemas_NORM!$A$2:$A$126,0),MATCH(AA$4,[1]Esquemas_NORM!$H$1:$K$1,0)))</f>
        <v>A la fecha no ha conformado un EAT Región</v>
      </c>
      <c r="AB177" s="17" t="str">
        <f>IF($E177="","",INDEX([1]Esquemas_NORM!$H$2:$K$126,MATCH($E177,[1]Esquemas_NORM!$A$2:$A$126,0),MATCH(AB$4,[1]Esquemas_NORM!$H$1:$K$1,0)))</f>
        <v>A la fecha no ha conformado un EAT Área Metropolitana</v>
      </c>
      <c r="AC177" s="17" t="str">
        <f>IF($E177="","",INDEX([1]Esquemas_NORM!$H$2:$K$126,MATCH($E177,[1]Esquemas_NORM!$A$2:$A$126,0),MATCH(AC$4,[1]Esquemas_NORM!$H$1:$K$1,0)))</f>
        <v>A la fecha no ha conformado un EAT asociación - unión</v>
      </c>
      <c r="AD177" s="23"/>
    </row>
    <row r="178" spans="1:30" x14ac:dyDescent="0.25">
      <c r="A178" s="24">
        <v>2016</v>
      </c>
      <c r="B178" s="25" t="s">
        <v>36</v>
      </c>
      <c r="C178" s="25" t="s">
        <v>119</v>
      </c>
      <c r="D178" s="25" t="s">
        <v>141</v>
      </c>
      <c r="E178" s="25" t="s">
        <v>152</v>
      </c>
      <c r="F178" s="25" t="s">
        <v>122</v>
      </c>
      <c r="G178" s="25" t="s">
        <v>153</v>
      </c>
      <c r="H178" s="26">
        <v>7.868370514179885</v>
      </c>
      <c r="I178" s="26">
        <v>0</v>
      </c>
      <c r="J178" s="27">
        <v>7.868370514179885</v>
      </c>
      <c r="K178" s="26">
        <v>5.1521103271442392</v>
      </c>
      <c r="L178" s="26">
        <v>0.13383686947670667</v>
      </c>
      <c r="M178" s="27">
        <v>5.2859471966209455</v>
      </c>
      <c r="N178" s="26">
        <v>7.8040338993292293</v>
      </c>
      <c r="O178" s="26">
        <v>6.9524141713851906</v>
      </c>
      <c r="P178" s="26">
        <v>1.7392752864566805</v>
      </c>
      <c r="Q178" s="26">
        <v>0.87168711814444499</v>
      </c>
      <c r="R178" s="26">
        <v>2.3328941919431889</v>
      </c>
      <c r="S178" s="26">
        <v>4.8769710931963903</v>
      </c>
      <c r="T178" s="26">
        <v>18.083843411812285</v>
      </c>
      <c r="U178" s="26">
        <v>1.2347925978551293</v>
      </c>
      <c r="V178" s="27">
        <v>43.895911770122531</v>
      </c>
      <c r="W178" s="27">
        <v>57.959287030740263</v>
      </c>
      <c r="X178" s="26">
        <v>5.6802991377030647</v>
      </c>
      <c r="Y178" s="28">
        <v>63.639586168443351</v>
      </c>
      <c r="Z178" s="17" t="str">
        <f>SUBSTITUTE(SUBSTITUTE(SUBSTITUTE(SUBSTITUTE(IF(E178="","",VLOOKUP(E178,[1]Esquemas_NORM!$A$2:$H$126,8,FALSE)),"PROVINCIA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78" s="17" t="str">
        <f>IF($E178="","",INDEX([1]Esquemas_NORM!$H$2:$K$126,MATCH($E178,[1]Esquemas_NORM!$A$2:$A$126,0),MATCH(AA$4,[1]Esquemas_NORM!$H$1:$K$1,0)))</f>
        <v>A la fecha no ha conformado un EAT Región</v>
      </c>
      <c r="AB178" s="17" t="str">
        <f>IF($E178="","",INDEX([1]Esquemas_NORM!$H$2:$K$126,MATCH($E178,[1]Esquemas_NORM!$A$2:$A$126,0),MATCH(AB$4,[1]Esquemas_NORM!$H$1:$K$1,0)))</f>
        <v>A la fecha no ha conformado un EAT Área Metropolitana</v>
      </c>
      <c r="AC178" s="17" t="str">
        <f>IF($E178="","",INDEX([1]Esquemas_NORM!$H$2:$K$126,MATCH($E178,[1]Esquemas_NORM!$A$2:$A$126,0),MATCH(AC$4,[1]Esquemas_NORM!$H$1:$K$1,0)))</f>
        <v>ASOCIACION DE MUNICIPIOS DEL NORTE ANTIOQUEÑO - AMUNORTE</v>
      </c>
      <c r="AD178" s="23"/>
    </row>
    <row r="179" spans="1:30" x14ac:dyDescent="0.25">
      <c r="A179" s="24">
        <v>2016</v>
      </c>
      <c r="B179" s="25" t="s">
        <v>36</v>
      </c>
      <c r="C179" s="25" t="s">
        <v>119</v>
      </c>
      <c r="D179" s="25" t="s">
        <v>120</v>
      </c>
      <c r="E179" s="25" t="s">
        <v>154</v>
      </c>
      <c r="F179" s="25" t="s">
        <v>122</v>
      </c>
      <c r="G179" s="25" t="s">
        <v>155</v>
      </c>
      <c r="H179" s="26">
        <v>10.167644400798322</v>
      </c>
      <c r="I179" s="26">
        <v>4.6940306514093235</v>
      </c>
      <c r="J179" s="27">
        <v>14.861675052207644</v>
      </c>
      <c r="K179" s="26">
        <v>3.6244759781248717</v>
      </c>
      <c r="L179" s="26">
        <v>5.770624329867891</v>
      </c>
      <c r="M179" s="27">
        <v>9.3951003079927631</v>
      </c>
      <c r="N179" s="26">
        <v>2.3068809605676228</v>
      </c>
      <c r="O179" s="26">
        <v>20.36372449294279</v>
      </c>
      <c r="P179" s="26">
        <v>2.1830123525211094</v>
      </c>
      <c r="Q179" s="26">
        <v>1.9140953965348257</v>
      </c>
      <c r="R179" s="26">
        <v>4.1419276390418425</v>
      </c>
      <c r="S179" s="26">
        <v>9.8816475464547917</v>
      </c>
      <c r="T179" s="26">
        <v>41.77436109753792</v>
      </c>
      <c r="U179" s="26">
        <v>1.9138667545845585</v>
      </c>
      <c r="V179" s="27">
        <v>84.479516240185461</v>
      </c>
      <c r="W179" s="27">
        <v>110.09764193070268</v>
      </c>
      <c r="X179" s="26">
        <v>10.79011790104483</v>
      </c>
      <c r="Y179" s="28">
        <v>120.88775983174749</v>
      </c>
      <c r="Z179" s="17" t="str">
        <f>SUBSTITUTE(SUBSTITUTE(SUBSTITUTE(SUBSTITUTE(IF(E179="","",VLOOKUP(E179,[1]Esquemas_NORM!$A$2:$H$126,8,FALSE)),"PROVINCIA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79" s="17" t="str">
        <f>IF($E179="","",INDEX([1]Esquemas_NORM!$H$2:$K$126,MATCH($E179,[1]Esquemas_NORM!$A$2:$A$126,0),MATCH(AA$4,[1]Esquemas_NORM!$H$1:$K$1,0)))</f>
        <v>A la fecha no ha conformado un EAT Región</v>
      </c>
      <c r="AB179" s="17" t="str">
        <f>IF($E179="","",INDEX([1]Esquemas_NORM!$H$2:$K$126,MATCH($E179,[1]Esquemas_NORM!$A$2:$A$126,0),MATCH(AB$4,[1]Esquemas_NORM!$H$1:$K$1,0)))</f>
        <v>A la fecha no ha conformado un EAT Área Metropolitana</v>
      </c>
      <c r="AC179" s="17" t="str">
        <f>IF($E179="","",INDEX([1]Esquemas_NORM!$H$2:$K$126,MATCH($E179,[1]Esquemas_NORM!$A$2:$A$126,0),MATCH(AC$4,[1]Esquemas_NORM!$H$1:$K$1,0)))</f>
        <v>A la fecha no ha conformado un EAT asociación - unión</v>
      </c>
      <c r="AD179" s="23"/>
    </row>
    <row r="180" spans="1:30" x14ac:dyDescent="0.25">
      <c r="A180" s="24">
        <v>2016</v>
      </c>
      <c r="B180" s="25" t="s">
        <v>36</v>
      </c>
      <c r="C180" s="25" t="s">
        <v>119</v>
      </c>
      <c r="D180" s="25" t="s">
        <v>120</v>
      </c>
      <c r="E180" s="25" t="s">
        <v>156</v>
      </c>
      <c r="F180" s="25" t="s">
        <v>122</v>
      </c>
      <c r="G180" s="25" t="s">
        <v>157</v>
      </c>
      <c r="H180" s="26">
        <v>41.52157677426684</v>
      </c>
      <c r="I180" s="26">
        <v>9.230630150174067E-2</v>
      </c>
      <c r="J180" s="27">
        <v>41.613883075768584</v>
      </c>
      <c r="K180" s="26">
        <v>82.899804453238332</v>
      </c>
      <c r="L180" s="26">
        <v>31.750490921089646</v>
      </c>
      <c r="M180" s="27">
        <v>114.65029537432798</v>
      </c>
      <c r="N180" s="26">
        <v>22.366402634399662</v>
      </c>
      <c r="O180" s="26">
        <v>123.47739374470716</v>
      </c>
      <c r="P180" s="26">
        <v>11.495650540444448</v>
      </c>
      <c r="Q180" s="26">
        <v>18.281491345603634</v>
      </c>
      <c r="R180" s="26">
        <v>37.675664833957988</v>
      </c>
      <c r="S180" s="26">
        <v>44.759630537077896</v>
      </c>
      <c r="T180" s="26">
        <v>32.48900925409577</v>
      </c>
      <c r="U180" s="26">
        <v>14.640159055902473</v>
      </c>
      <c r="V180" s="27">
        <v>305.18540194618902</v>
      </c>
      <c r="W180" s="27">
        <v>464.93756693748128</v>
      </c>
      <c r="X180" s="26">
        <v>45.56619992858456</v>
      </c>
      <c r="Y180" s="28">
        <v>510.50376686606592</v>
      </c>
      <c r="Z180" s="17" t="str">
        <f>SUBSTITUTE(SUBSTITUTE(SUBSTITUTE(SUBSTITUTE(IF(E180="","",VLOOKUP(E180,[1]Esquemas_NORM!$A$2:$H$126,8,FALSE)),"PROVINCIA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80" s="17" t="str">
        <f>IF($E180="","",INDEX([1]Esquemas_NORM!$H$2:$K$126,MATCH($E180,[1]Esquemas_NORM!$A$2:$A$126,0),MATCH(AA$4,[1]Esquemas_NORM!$H$1:$K$1,0)))</f>
        <v>A la fecha no ha conformado un EAT Región</v>
      </c>
      <c r="AB180" s="17" t="str">
        <f>IF($E180="","",INDEX([1]Esquemas_NORM!$H$2:$K$126,MATCH($E180,[1]Esquemas_NORM!$A$2:$A$126,0),MATCH(AB$4,[1]Esquemas_NORM!$H$1:$K$1,0)))</f>
        <v>A la fecha no ha conformado un EAT Área Metropolitana</v>
      </c>
      <c r="AC180" s="17" t="str">
        <f>IF($E180="","",INDEX([1]Esquemas_NORM!$H$2:$K$126,MATCH($E180,[1]Esquemas_NORM!$A$2:$A$126,0),MATCH(AC$4,[1]Esquemas_NORM!$H$1:$K$1,0)))</f>
        <v>A la fecha no ha conformado un EAT asociación - unión</v>
      </c>
      <c r="AD180" s="23"/>
    </row>
    <row r="181" spans="1:30" x14ac:dyDescent="0.25">
      <c r="A181" s="24">
        <v>2016</v>
      </c>
      <c r="B181" s="25" t="s">
        <v>36</v>
      </c>
      <c r="C181" s="25" t="s">
        <v>158</v>
      </c>
      <c r="D181" s="25" t="s">
        <v>159</v>
      </c>
      <c r="E181" s="25" t="s">
        <v>160</v>
      </c>
      <c r="F181" s="25" t="s">
        <v>161</v>
      </c>
      <c r="G181" s="25" t="s">
        <v>162</v>
      </c>
      <c r="H181" s="26">
        <v>3.629035266798061</v>
      </c>
      <c r="I181" s="26">
        <v>0</v>
      </c>
      <c r="J181" s="27">
        <v>3.629035266798061</v>
      </c>
      <c r="K181" s="26">
        <v>0.75890792674835272</v>
      </c>
      <c r="L181" s="26">
        <v>0.98655120251783368</v>
      </c>
      <c r="M181" s="27">
        <v>1.7454591292661865</v>
      </c>
      <c r="N181" s="26">
        <v>1.6486426965503407</v>
      </c>
      <c r="O181" s="26">
        <v>1.0453229621505846</v>
      </c>
      <c r="P181" s="26">
        <v>0.34587920663139982</v>
      </c>
      <c r="Q181" s="26">
        <v>0.24161131309923078</v>
      </c>
      <c r="R181" s="26">
        <v>0.6673975759561882</v>
      </c>
      <c r="S181" s="26">
        <v>1.4922249735390227</v>
      </c>
      <c r="T181" s="26">
        <v>7.5311422320342656</v>
      </c>
      <c r="U181" s="26">
        <v>0.27883572892206271</v>
      </c>
      <c r="V181" s="27">
        <v>13.251056688883095</v>
      </c>
      <c r="W181" s="27">
        <v>18.974206988499748</v>
      </c>
      <c r="X181" s="26">
        <v>1.8595668980244791</v>
      </c>
      <c r="Y181" s="28">
        <v>20.833773886524167</v>
      </c>
      <c r="Z181" s="17" t="str">
        <f>SUBSTITUTE(SUBSTITUTE(SUBSTITUTE(SUBSTITUTE(IF(E181="","",VLOOKUP(E181,[1]Esquemas_NORM!$A$2:$H$126,8,FALSE)),"PROVINCIA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81" s="17" t="str">
        <f>IF($E181="","",INDEX([1]Esquemas_NORM!$H$2:$K$126,MATCH($E181,[1]Esquemas_NORM!$A$2:$A$126,0),MATCH(AA$4,[1]Esquemas_NORM!$H$1:$K$1,0)))</f>
        <v>Región de Planeación y Gestión de Occidente</v>
      </c>
      <c r="AB181" s="17" t="str">
        <f>IF($E181="","",INDEX([1]Esquemas_NORM!$H$2:$K$126,MATCH($E181,[1]Esquemas_NORM!$A$2:$A$126,0),MATCH(AB$4,[1]Esquemas_NORM!$H$1:$K$1,0)))</f>
        <v>A la fecha no ha conformado un EAT Área Metropolitana</v>
      </c>
      <c r="AC181" s="17" t="str">
        <f>IF($E181="","",INDEX([1]Esquemas_NORM!$H$2:$K$126,MATCH($E181,[1]Esquemas_NORM!$A$2:$A$126,0),MATCH(AC$4,[1]Esquemas_NORM!$H$1:$K$1,0)))</f>
        <v>ASOCIACION DE MUNICIPIOS DEL NORTE ANTIOQUEÑO - AMUNORTE</v>
      </c>
      <c r="AD181" s="23"/>
    </row>
    <row r="182" spans="1:30" x14ac:dyDescent="0.25">
      <c r="A182" s="24">
        <v>2016</v>
      </c>
      <c r="B182" s="25" t="s">
        <v>36</v>
      </c>
      <c r="C182" s="25" t="s">
        <v>158</v>
      </c>
      <c r="D182" s="25" t="s">
        <v>163</v>
      </c>
      <c r="E182" s="25" t="s">
        <v>164</v>
      </c>
      <c r="F182" s="25" t="s">
        <v>161</v>
      </c>
      <c r="G182" s="25" t="s">
        <v>165</v>
      </c>
      <c r="H182" s="26">
        <v>21.425939953161194</v>
      </c>
      <c r="I182" s="26">
        <v>0</v>
      </c>
      <c r="J182" s="27">
        <v>21.425939953161194</v>
      </c>
      <c r="K182" s="26">
        <v>1.3596629227912942</v>
      </c>
      <c r="L182" s="26">
        <v>4.8530384141993128</v>
      </c>
      <c r="M182" s="27">
        <v>6.212701336990607</v>
      </c>
      <c r="N182" s="26">
        <v>1.2533158838518763</v>
      </c>
      <c r="O182" s="26">
        <v>6.1113514808449452</v>
      </c>
      <c r="P182" s="26">
        <v>2.9897146898242588</v>
      </c>
      <c r="Q182" s="26">
        <v>2.0192751729632405</v>
      </c>
      <c r="R182" s="26">
        <v>4.8021939609849804</v>
      </c>
      <c r="S182" s="26">
        <v>6.6267991249118703</v>
      </c>
      <c r="T182" s="26">
        <v>10.344615801172207</v>
      </c>
      <c r="U182" s="26">
        <v>1.8436692645788659</v>
      </c>
      <c r="V182" s="27">
        <v>35.990935379132239</v>
      </c>
      <c r="W182" s="27">
        <v>65.506803785420729</v>
      </c>
      <c r="X182" s="26">
        <v>6.4199934146619952</v>
      </c>
      <c r="Y182" s="28">
        <v>71.926797200082873</v>
      </c>
      <c r="Z182" s="17" t="str">
        <f>SUBSTITUTE(SUBSTITUTE(SUBSTITUTE(SUBSTITUTE(IF(E182="","",VLOOKUP(E182,[1]Esquemas_NORM!$A$2:$H$126,8,FALSE)),"PROVINCIA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82" s="17" t="str">
        <f>IF($E182="","",INDEX([1]Esquemas_NORM!$H$2:$K$126,MATCH($E182,[1]Esquemas_NORM!$A$2:$A$126,0),MATCH(AA$4,[1]Esquemas_NORM!$H$1:$K$1,0)))</f>
        <v>A la fecha no ha conformado un EAT Región</v>
      </c>
      <c r="AB182" s="17" t="str">
        <f>IF($E182="","",INDEX([1]Esquemas_NORM!$H$2:$K$126,MATCH($E182,[1]Esquemas_NORM!$A$2:$A$126,0),MATCH(AB$4,[1]Esquemas_NORM!$H$1:$K$1,0)))</f>
        <v>A la fecha no ha conformado un EAT Área Metropolitana</v>
      </c>
      <c r="AC182" s="17" t="str">
        <f>IF($E182="","",INDEX([1]Esquemas_NORM!$H$2:$K$126,MATCH($E182,[1]Esquemas_NORM!$A$2:$A$126,0),MATCH(AC$4,[1]Esquemas_NORM!$H$1:$K$1,0)))</f>
        <v>ASOCIACION DE MUNICIPIOS DEL OCCIDENTE ANTIOQUEÑO - AMOCCIDENTE</v>
      </c>
      <c r="AD182" s="23"/>
    </row>
    <row r="183" spans="1:30" x14ac:dyDescent="0.25">
      <c r="A183" s="24">
        <v>2016</v>
      </c>
      <c r="B183" s="25" t="s">
        <v>36</v>
      </c>
      <c r="C183" s="25" t="s">
        <v>158</v>
      </c>
      <c r="D183" s="25" t="s">
        <v>163</v>
      </c>
      <c r="E183" s="25" t="s">
        <v>166</v>
      </c>
      <c r="F183" s="25" t="s">
        <v>161</v>
      </c>
      <c r="G183" s="25" t="s">
        <v>167</v>
      </c>
      <c r="H183" s="26">
        <v>10.134610807643501</v>
      </c>
      <c r="I183" s="26">
        <v>0</v>
      </c>
      <c r="J183" s="27">
        <v>10.134610807643501</v>
      </c>
      <c r="K183" s="26">
        <v>0.99658568910722012</v>
      </c>
      <c r="L183" s="26">
        <v>3.5292854460605247</v>
      </c>
      <c r="M183" s="27">
        <v>4.525871135167745</v>
      </c>
      <c r="N183" s="26">
        <v>0.92532201186264074</v>
      </c>
      <c r="O183" s="26">
        <v>4.8352168189646152</v>
      </c>
      <c r="P183" s="26">
        <v>2.5448553799727707</v>
      </c>
      <c r="Q183" s="26">
        <v>2.30910291310704</v>
      </c>
      <c r="R183" s="26">
        <v>4.0648419571831695</v>
      </c>
      <c r="S183" s="26">
        <v>5.1503292594149412</v>
      </c>
      <c r="T183" s="26">
        <v>14.897697587640481</v>
      </c>
      <c r="U183" s="26">
        <v>2.0214026445426883</v>
      </c>
      <c r="V183" s="27">
        <v>36.748768572688348</v>
      </c>
      <c r="W183" s="27">
        <v>52.1430218780541</v>
      </c>
      <c r="X183" s="26">
        <v>5.1102761504638687</v>
      </c>
      <c r="Y183" s="28">
        <v>57.253298028518039</v>
      </c>
      <c r="Z183" s="17" t="str">
        <f>SUBSTITUTE(SUBSTITUTE(SUBSTITUTE(SUBSTITUTE(IF(E183="","",VLOOKUP(E183,[1]Esquemas_NORM!$A$2:$H$126,8,FALSE)),"PROVINCIA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83" s="17" t="str">
        <f>IF($E183="","",INDEX([1]Esquemas_NORM!$H$2:$K$126,MATCH($E183,[1]Esquemas_NORM!$A$2:$A$126,0),MATCH(AA$4,[1]Esquemas_NORM!$H$1:$K$1,0)))</f>
        <v>Región de Planeación y Gestión de Occidente</v>
      </c>
      <c r="AB183" s="17" t="str">
        <f>IF($E183="","",INDEX([1]Esquemas_NORM!$H$2:$K$126,MATCH($E183,[1]Esquemas_NORM!$A$2:$A$126,0),MATCH(AB$4,[1]Esquemas_NORM!$H$1:$K$1,0)))</f>
        <v>A la fecha no ha conformado un EAT Área Metropolitana</v>
      </c>
      <c r="AC183" s="17" t="str">
        <f>IF($E183="","",INDEX([1]Esquemas_NORM!$H$2:$K$126,MATCH($E183,[1]Esquemas_NORM!$A$2:$A$126,0),MATCH(AC$4,[1]Esquemas_NORM!$H$1:$K$1,0)))</f>
        <v>ASOCIACION DE MUNICIPIOS DEL OCCIDENTE ANTIOQUEÑO - AMOCCIDENTE</v>
      </c>
      <c r="AD183" s="23"/>
    </row>
    <row r="184" spans="1:30" x14ac:dyDescent="0.25">
      <c r="A184" s="24">
        <v>2016</v>
      </c>
      <c r="B184" s="25" t="s">
        <v>36</v>
      </c>
      <c r="C184" s="25" t="s">
        <v>158</v>
      </c>
      <c r="D184" s="25" t="s">
        <v>163</v>
      </c>
      <c r="E184" s="25" t="s">
        <v>168</v>
      </c>
      <c r="F184" s="25" t="s">
        <v>161</v>
      </c>
      <c r="G184" s="25" t="s">
        <v>169</v>
      </c>
      <c r="H184" s="26">
        <v>6.4415064142957217</v>
      </c>
      <c r="I184" s="26">
        <v>33.364983350114123</v>
      </c>
      <c r="J184" s="27">
        <v>39.806489764409847</v>
      </c>
      <c r="K184" s="26">
        <v>3.12961795860347</v>
      </c>
      <c r="L184" s="26">
        <v>2.052981011478701</v>
      </c>
      <c r="M184" s="27">
        <v>5.1825989700821715</v>
      </c>
      <c r="N184" s="26">
        <v>3.6684204900938693</v>
      </c>
      <c r="O184" s="26">
        <v>5.8440276440738579</v>
      </c>
      <c r="P184" s="26">
        <v>3.6246610496883305</v>
      </c>
      <c r="Q184" s="26">
        <v>1.7748480502188131</v>
      </c>
      <c r="R184" s="26">
        <v>7.5480708239509777</v>
      </c>
      <c r="S184" s="26">
        <v>7.5621483556119529</v>
      </c>
      <c r="T184" s="26">
        <v>12.251752172406055</v>
      </c>
      <c r="U184" s="26">
        <v>2.5579743894625362</v>
      </c>
      <c r="V184" s="27">
        <v>44.831902975506395</v>
      </c>
      <c r="W184" s="27">
        <v>91.10748488358</v>
      </c>
      <c r="X184" s="26">
        <v>8.9289878177544395</v>
      </c>
      <c r="Y184" s="28">
        <v>100.03647270133393</v>
      </c>
      <c r="Z184" s="17" t="str">
        <f>SUBSTITUTE(SUBSTITUTE(SUBSTITUTE(SUBSTITUTE(IF(E184="","",VLOOKUP(E184,[1]Esquemas_NORM!$A$2:$H$126,8,FALSE)),"PROVINCIA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84" s="17" t="str">
        <f>IF($E184="","",INDEX([1]Esquemas_NORM!$H$2:$K$126,MATCH($E184,[1]Esquemas_NORM!$A$2:$A$126,0),MATCH(AA$4,[1]Esquemas_NORM!$H$1:$K$1,0)))</f>
        <v>Región de Planeación y Gestión de Occidente</v>
      </c>
      <c r="AB184" s="17" t="str">
        <f>IF($E184="","",INDEX([1]Esquemas_NORM!$H$2:$K$126,MATCH($E184,[1]Esquemas_NORM!$A$2:$A$126,0),MATCH(AB$4,[1]Esquemas_NORM!$H$1:$K$1,0)))</f>
        <v>A la fecha no ha conformado un EAT Área Metropolitana</v>
      </c>
      <c r="AC184" s="17" t="str">
        <f>IF($E184="","",INDEX([1]Esquemas_NORM!$H$2:$K$126,MATCH($E184,[1]Esquemas_NORM!$A$2:$A$126,0),MATCH(AC$4,[1]Esquemas_NORM!$H$1:$K$1,0)))</f>
        <v>ASOCIACION DE MUNICIPIOS DEL OCCIDENTE ANTIOQUEÑO - AMOCCIDENTE</v>
      </c>
      <c r="AD184" s="23"/>
    </row>
    <row r="185" spans="1:30" x14ac:dyDescent="0.25">
      <c r="A185" s="24">
        <v>2016</v>
      </c>
      <c r="B185" s="25" t="s">
        <v>36</v>
      </c>
      <c r="C185" s="25" t="s">
        <v>158</v>
      </c>
      <c r="D185" s="25" t="s">
        <v>163</v>
      </c>
      <c r="E185" s="25" t="s">
        <v>170</v>
      </c>
      <c r="F185" s="25" t="s">
        <v>161</v>
      </c>
      <c r="G185" s="25" t="s">
        <v>171</v>
      </c>
      <c r="H185" s="26">
        <v>19.712327805228565</v>
      </c>
      <c r="I185" s="26">
        <v>1.220349050072415</v>
      </c>
      <c r="J185" s="27">
        <v>20.932676855300979</v>
      </c>
      <c r="K185" s="26">
        <v>2.3456614886746161</v>
      </c>
      <c r="L185" s="26">
        <v>4.1475996606554428</v>
      </c>
      <c r="M185" s="27">
        <v>6.4932611493300589</v>
      </c>
      <c r="N185" s="26">
        <v>0.56044663985685417</v>
      </c>
      <c r="O185" s="26">
        <v>5.9795999392659418</v>
      </c>
      <c r="P185" s="26">
        <v>1.804027244084301</v>
      </c>
      <c r="Q185" s="26">
        <v>1.6669930176023249</v>
      </c>
      <c r="R185" s="26">
        <v>3.7538356336284191</v>
      </c>
      <c r="S185" s="26">
        <v>6.1675845172473034</v>
      </c>
      <c r="T185" s="26">
        <v>24.396428495730849</v>
      </c>
      <c r="U185" s="26">
        <v>1.4677396594959957</v>
      </c>
      <c r="V185" s="27">
        <v>45.796655146911995</v>
      </c>
      <c r="W185" s="27">
        <v>74.957060853894674</v>
      </c>
      <c r="X185" s="26">
        <v>7.3461657302188801</v>
      </c>
      <c r="Y185" s="28">
        <v>82.303226584113588</v>
      </c>
      <c r="Z185" s="17" t="str">
        <f>SUBSTITUTE(SUBSTITUTE(SUBSTITUTE(SUBSTITUTE(IF(E185="","",VLOOKUP(E185,[1]Esquemas_NORM!$A$2:$H$126,8,FALSE)),"PROVINCIA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85" s="17" t="str">
        <f>IF($E185="","",INDEX([1]Esquemas_NORM!$H$2:$K$126,MATCH($E185,[1]Esquemas_NORM!$A$2:$A$126,0),MATCH(AA$4,[1]Esquemas_NORM!$H$1:$K$1,0)))</f>
        <v>A la fecha no ha conformado un EAT Región</v>
      </c>
      <c r="AB185" s="17" t="str">
        <f>IF($E185="","",INDEX([1]Esquemas_NORM!$H$2:$K$126,MATCH($E185,[1]Esquemas_NORM!$A$2:$A$126,0),MATCH(AB$4,[1]Esquemas_NORM!$H$1:$K$1,0)))</f>
        <v>A la fecha no ha conformado un EAT Área Metropolitana</v>
      </c>
      <c r="AC185" s="17" t="str">
        <f>IF($E185="","",INDEX([1]Esquemas_NORM!$H$2:$K$126,MATCH($E185,[1]Esquemas_NORM!$A$2:$A$126,0),MATCH(AC$4,[1]Esquemas_NORM!$H$1:$K$1,0)))</f>
        <v>ASOCIACION DE MUNICIPIOS DEL OCCIDENTE ANTIOQUEÑO - AMOCCIDENTE</v>
      </c>
      <c r="AD185" s="23"/>
    </row>
    <row r="186" spans="1:30" x14ac:dyDescent="0.25">
      <c r="A186" s="24">
        <v>2016</v>
      </c>
      <c r="B186" s="25" t="s">
        <v>36</v>
      </c>
      <c r="C186" s="25" t="s">
        <v>158</v>
      </c>
      <c r="D186" s="25" t="s">
        <v>159</v>
      </c>
      <c r="E186" s="25" t="s">
        <v>172</v>
      </c>
      <c r="F186" s="25" t="s">
        <v>161</v>
      </c>
      <c r="G186" s="25" t="s">
        <v>173</v>
      </c>
      <c r="H186" s="26">
        <v>17.760683128763077</v>
      </c>
      <c r="I186" s="26">
        <v>16.383498263262378</v>
      </c>
      <c r="J186" s="27">
        <v>34.144181392025459</v>
      </c>
      <c r="K186" s="26">
        <v>1.2925429217666384</v>
      </c>
      <c r="L186" s="26">
        <v>9.4505368994132315</v>
      </c>
      <c r="M186" s="27">
        <v>10.743079821179871</v>
      </c>
      <c r="N186" s="26">
        <v>7.7731383226279069</v>
      </c>
      <c r="O186" s="26">
        <v>20.991213392560557</v>
      </c>
      <c r="P186" s="26">
        <v>3.846956708096561</v>
      </c>
      <c r="Q186" s="26">
        <v>3.3112656378540968</v>
      </c>
      <c r="R186" s="26">
        <v>10.460477119114882</v>
      </c>
      <c r="S186" s="26">
        <v>11.767171878448128</v>
      </c>
      <c r="T186" s="26">
        <v>27.590548972771636</v>
      </c>
      <c r="U186" s="26">
        <v>3.2463278302146255</v>
      </c>
      <c r="V186" s="27">
        <v>88.987099861688392</v>
      </c>
      <c r="W186" s="27">
        <v>136.2446002241077</v>
      </c>
      <c r="X186" s="26">
        <v>13.352650193222606</v>
      </c>
      <c r="Y186" s="28">
        <v>149.59725041733012</v>
      </c>
      <c r="Z186" s="17" t="str">
        <f>SUBSTITUTE(SUBSTITUTE(SUBSTITUTE(SUBSTITUTE(IF(E186="","",VLOOKUP(E186,[1]Esquemas_NORM!$A$2:$H$126,8,FALSE)),"PROVINCIA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86" s="17" t="str">
        <f>IF($E186="","",INDEX([1]Esquemas_NORM!$H$2:$K$126,MATCH($E186,[1]Esquemas_NORM!$A$2:$A$126,0),MATCH(AA$4,[1]Esquemas_NORM!$H$1:$K$1,0)))</f>
        <v>Región de Planeación y Gestión de Occidente</v>
      </c>
      <c r="AB186" s="17" t="str">
        <f>IF($E186="","",INDEX([1]Esquemas_NORM!$H$2:$K$126,MATCH($E186,[1]Esquemas_NORM!$A$2:$A$126,0),MATCH(AB$4,[1]Esquemas_NORM!$H$1:$K$1,0)))</f>
        <v>A la fecha no ha conformado un EAT Área Metropolitana</v>
      </c>
      <c r="AC186" s="17" t="str">
        <f>IF($E186="","",INDEX([1]Esquemas_NORM!$H$2:$K$126,MATCH($E186,[1]Esquemas_NORM!$A$2:$A$126,0),MATCH(AC$4,[1]Esquemas_NORM!$H$1:$K$1,0)))</f>
        <v>ASOCIACION DE MUNICIPIOS DEL OCCIDENTE ANTIOQUEÑO - AMOCCIDENTE</v>
      </c>
      <c r="AD186" s="23"/>
    </row>
    <row r="187" spans="1:30" x14ac:dyDescent="0.25">
      <c r="A187" s="24">
        <v>2016</v>
      </c>
      <c r="B187" s="25" t="s">
        <v>36</v>
      </c>
      <c r="C187" s="25" t="s">
        <v>158</v>
      </c>
      <c r="D187" s="25" t="s">
        <v>159</v>
      </c>
      <c r="E187" s="25" t="s">
        <v>174</v>
      </c>
      <c r="F187" s="25" t="s">
        <v>161</v>
      </c>
      <c r="G187" s="25" t="s">
        <v>175</v>
      </c>
      <c r="H187" s="26">
        <v>61.933283044657465</v>
      </c>
      <c r="I187" s="26">
        <v>5.1042181908571654E-2</v>
      </c>
      <c r="J187" s="27">
        <v>61.984325226566035</v>
      </c>
      <c r="K187" s="26">
        <v>4.0810076162065787</v>
      </c>
      <c r="L187" s="26">
        <v>14.716035961127414</v>
      </c>
      <c r="M187" s="27">
        <v>18.797043577333994</v>
      </c>
      <c r="N187" s="26">
        <v>4.5900779750834353</v>
      </c>
      <c r="O187" s="26">
        <v>39.350537423592954</v>
      </c>
      <c r="P187" s="26">
        <v>7.4226365146044815</v>
      </c>
      <c r="Q187" s="26">
        <v>7.009687547084388</v>
      </c>
      <c r="R187" s="26">
        <v>14.679672671850311</v>
      </c>
      <c r="S187" s="26">
        <v>17.564871932335294</v>
      </c>
      <c r="T187" s="26">
        <v>27.773323580735831</v>
      </c>
      <c r="U187" s="26">
        <v>6.4391750804872432</v>
      </c>
      <c r="V187" s="27">
        <v>124.82998272577395</v>
      </c>
      <c r="W187" s="27">
        <v>211.714406387466</v>
      </c>
      <c r="X187" s="26">
        <v>20.749067520514441</v>
      </c>
      <c r="Y187" s="28">
        <v>232.46347390798078</v>
      </c>
      <c r="Z187" s="17" t="str">
        <f>SUBSTITUTE(SUBSTITUTE(SUBSTITUTE(SUBSTITUTE(IF(E187="","",VLOOKUP(E187,[1]Esquemas_NORM!$A$2:$H$126,8,FALSE)),"PROVINCIA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87" s="17" t="str">
        <f>IF($E187="","",INDEX([1]Esquemas_NORM!$H$2:$K$126,MATCH($E187,[1]Esquemas_NORM!$A$2:$A$126,0),MATCH(AA$4,[1]Esquemas_NORM!$H$1:$K$1,0)))</f>
        <v>Región de Planeación y Gestión de Occidente</v>
      </c>
      <c r="AB187" s="17" t="str">
        <f>IF($E187="","",INDEX([1]Esquemas_NORM!$H$2:$K$126,MATCH($E187,[1]Esquemas_NORM!$A$2:$A$126,0),MATCH(AB$4,[1]Esquemas_NORM!$H$1:$K$1,0)))</f>
        <v>A la fecha no ha conformado un EAT Área Metropolitana</v>
      </c>
      <c r="AC187" s="17" t="str">
        <f>IF($E187="","",INDEX([1]Esquemas_NORM!$H$2:$K$126,MATCH($E187,[1]Esquemas_NORM!$A$2:$A$126,0),MATCH(AC$4,[1]Esquemas_NORM!$H$1:$K$1,0)))</f>
        <v>ASOCIACION DE MUNICIPIOS DEL OCCIDENTE ANTIOQUEÑO - AMOCCIDENTE</v>
      </c>
      <c r="AD187" s="23"/>
    </row>
    <row r="188" spans="1:30" x14ac:dyDescent="0.25">
      <c r="A188" s="24">
        <v>2016</v>
      </c>
      <c r="B188" s="25" t="s">
        <v>36</v>
      </c>
      <c r="C188" s="25" t="s">
        <v>158</v>
      </c>
      <c r="D188" s="25" t="s">
        <v>163</v>
      </c>
      <c r="E188" s="25" t="s">
        <v>176</v>
      </c>
      <c r="F188" s="25" t="s">
        <v>161</v>
      </c>
      <c r="G188" s="25" t="s">
        <v>177</v>
      </c>
      <c r="H188" s="26">
        <v>53.649317804376764</v>
      </c>
      <c r="I188" s="26">
        <v>0</v>
      </c>
      <c r="J188" s="27">
        <v>53.649317804376764</v>
      </c>
      <c r="K188" s="26">
        <v>6.413786287950618</v>
      </c>
      <c r="L188" s="26">
        <v>7.3451337201958484</v>
      </c>
      <c r="M188" s="27">
        <v>13.758920008146466</v>
      </c>
      <c r="N188" s="26">
        <v>2.2811401521445918</v>
      </c>
      <c r="O188" s="26">
        <v>10.94089214710357</v>
      </c>
      <c r="P188" s="26">
        <v>3.469709634506712</v>
      </c>
      <c r="Q188" s="26">
        <v>2.7026526477309951</v>
      </c>
      <c r="R188" s="26">
        <v>9.0052893832740786</v>
      </c>
      <c r="S188" s="26">
        <v>10.398679796607363</v>
      </c>
      <c r="T188" s="26">
        <v>29.778007855682581</v>
      </c>
      <c r="U188" s="26">
        <v>4.3261984214665672</v>
      </c>
      <c r="V188" s="27">
        <v>72.902570038516458</v>
      </c>
      <c r="W188" s="27">
        <v>145.06708559095594</v>
      </c>
      <c r="X188" s="26">
        <v>14.217297751681718</v>
      </c>
      <c r="Y188" s="28">
        <v>159.28438334263785</v>
      </c>
      <c r="Z188" s="17" t="str">
        <f>SUBSTITUTE(SUBSTITUTE(SUBSTITUTE(SUBSTITUTE(IF(E188="","",VLOOKUP(E188,[1]Esquemas_NORM!$A$2:$H$126,8,FALSE)),"PROVINCIA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88" s="17" t="str">
        <f>IF($E188="","",INDEX([1]Esquemas_NORM!$H$2:$K$126,MATCH($E188,[1]Esquemas_NORM!$A$2:$A$126,0),MATCH(AA$4,[1]Esquemas_NORM!$H$1:$K$1,0)))</f>
        <v>A la fecha no ha conformado un EAT Región</v>
      </c>
      <c r="AB188" s="17" t="str">
        <f>IF($E188="","",INDEX([1]Esquemas_NORM!$H$2:$K$126,MATCH($E188,[1]Esquemas_NORM!$A$2:$A$126,0),MATCH(AB$4,[1]Esquemas_NORM!$H$1:$K$1,0)))</f>
        <v>A la fecha no ha conformado un EAT Área Metropolitana</v>
      </c>
      <c r="AC188" s="17" t="str">
        <f>IF($E188="","",INDEX([1]Esquemas_NORM!$H$2:$K$126,MATCH($E188,[1]Esquemas_NORM!$A$2:$A$126,0),MATCH(AC$4,[1]Esquemas_NORM!$H$1:$K$1,0)))</f>
        <v>ASOCIACION DE MUNICIPIOS DEL OCCIDENTE ANTIOQUEÑO - AMOCCIDENTE</v>
      </c>
      <c r="AD188" s="23"/>
    </row>
    <row r="189" spans="1:30" x14ac:dyDescent="0.25">
      <c r="A189" s="24">
        <v>2016</v>
      </c>
      <c r="B189" s="25" t="s">
        <v>36</v>
      </c>
      <c r="C189" s="25" t="s">
        <v>158</v>
      </c>
      <c r="D189" s="25" t="s">
        <v>159</v>
      </c>
      <c r="E189" s="25" t="s">
        <v>178</v>
      </c>
      <c r="F189" s="25" t="s">
        <v>161</v>
      </c>
      <c r="G189" s="25" t="s">
        <v>179</v>
      </c>
      <c r="H189" s="26">
        <v>25.92525994659065</v>
      </c>
      <c r="I189" s="26">
        <v>6.2964719002153267</v>
      </c>
      <c r="J189" s="27">
        <v>32.22173184680598</v>
      </c>
      <c r="K189" s="26">
        <v>1.1631789410334015</v>
      </c>
      <c r="L189" s="26">
        <v>14.717584095713258</v>
      </c>
      <c r="M189" s="27">
        <v>15.880763036746659</v>
      </c>
      <c r="N189" s="26">
        <v>11.569822331918571</v>
      </c>
      <c r="O189" s="26">
        <v>22.196180998709668</v>
      </c>
      <c r="P189" s="26">
        <v>5.2701132841898284</v>
      </c>
      <c r="Q189" s="26">
        <v>5.6704852177273013</v>
      </c>
      <c r="R189" s="26">
        <v>9.6277509135968611</v>
      </c>
      <c r="S189" s="26">
        <v>13.520166809365195</v>
      </c>
      <c r="T189" s="26">
        <v>40.608787315505332</v>
      </c>
      <c r="U189" s="26">
        <v>5.4339142810662153</v>
      </c>
      <c r="V189" s="27">
        <v>113.89722115207897</v>
      </c>
      <c r="W189" s="27">
        <v>164.6915248469036</v>
      </c>
      <c r="X189" s="26">
        <v>16.140590654242533</v>
      </c>
      <c r="Y189" s="28">
        <v>180.83211550114618</v>
      </c>
      <c r="Z189" s="17" t="str">
        <f>SUBSTITUTE(SUBSTITUTE(SUBSTITUTE(SUBSTITUTE(IF(E189="","",VLOOKUP(E189,[1]Esquemas_NORM!$A$2:$H$126,8,FALSE)),"PROVINCIA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89" s="17" t="str">
        <f>IF($E189="","",INDEX([1]Esquemas_NORM!$H$2:$K$126,MATCH($E189,[1]Esquemas_NORM!$A$2:$A$126,0),MATCH(AA$4,[1]Esquemas_NORM!$H$1:$K$1,0)))</f>
        <v>Región de Planeación y Gestión de Occidente</v>
      </c>
      <c r="AB189" s="17" t="str">
        <f>IF($E189="","",INDEX([1]Esquemas_NORM!$H$2:$K$126,MATCH($E189,[1]Esquemas_NORM!$A$2:$A$126,0),MATCH(AB$4,[1]Esquemas_NORM!$H$1:$K$1,0)))</f>
        <v>A la fecha no ha conformado un EAT Área Metropolitana</v>
      </c>
      <c r="AC189" s="17" t="str">
        <f>IF($E189="","",INDEX([1]Esquemas_NORM!$H$2:$K$126,MATCH($E189,[1]Esquemas_NORM!$A$2:$A$126,0),MATCH(AC$4,[1]Esquemas_NORM!$H$1:$K$1,0)))</f>
        <v>ASOCIACION DE MUNICIPIOS DEL OCCIDENTE ANTIOQUEÑO - AMOCCIDENTE</v>
      </c>
      <c r="AD189" s="23"/>
    </row>
    <row r="190" spans="1:30" x14ac:dyDescent="0.25">
      <c r="A190" s="24">
        <v>2016</v>
      </c>
      <c r="B190" s="25" t="s">
        <v>36</v>
      </c>
      <c r="C190" s="25" t="s">
        <v>158</v>
      </c>
      <c r="D190" s="25" t="s">
        <v>163</v>
      </c>
      <c r="E190" s="25" t="s">
        <v>180</v>
      </c>
      <c r="F190" s="25" t="s">
        <v>161</v>
      </c>
      <c r="G190" s="25" t="s">
        <v>181</v>
      </c>
      <c r="H190" s="26">
        <v>6.6415895999373253</v>
      </c>
      <c r="I190" s="26">
        <v>0</v>
      </c>
      <c r="J190" s="27">
        <v>6.6415895999373253</v>
      </c>
      <c r="K190" s="26">
        <v>0.67356678169328432</v>
      </c>
      <c r="L190" s="26">
        <v>2.7110214739841227</v>
      </c>
      <c r="M190" s="27">
        <v>3.3845882556774072</v>
      </c>
      <c r="N190" s="26">
        <v>0.82435383142808449</v>
      </c>
      <c r="O190" s="26">
        <v>7.570596716742453</v>
      </c>
      <c r="P190" s="26">
        <v>1.3331666258986412</v>
      </c>
      <c r="Q190" s="26">
        <v>0.84265352104125124</v>
      </c>
      <c r="R190" s="26">
        <v>3.3660701351133597</v>
      </c>
      <c r="S190" s="26">
        <v>3.7697104470180633</v>
      </c>
      <c r="T190" s="26">
        <v>9.8980090403327434</v>
      </c>
      <c r="U190" s="26">
        <v>1.1076828431682213</v>
      </c>
      <c r="V190" s="27">
        <v>28.712243160742815</v>
      </c>
      <c r="W190" s="27">
        <v>39.445095548356797</v>
      </c>
      <c r="X190" s="26">
        <v>3.8658160531043189</v>
      </c>
      <c r="Y190" s="28">
        <v>43.310911601461164</v>
      </c>
      <c r="Z190" s="17" t="str">
        <f>SUBSTITUTE(SUBSTITUTE(SUBSTITUTE(SUBSTITUTE(IF(E190="","",VLOOKUP(E190,[1]Esquemas_NORM!$A$2:$H$126,8,FALSE)),"PROVINCIA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90" s="17" t="str">
        <f>IF($E190="","",INDEX([1]Esquemas_NORM!$H$2:$K$126,MATCH($E190,[1]Esquemas_NORM!$A$2:$A$126,0),MATCH(AA$4,[1]Esquemas_NORM!$H$1:$K$1,0)))</f>
        <v>A la fecha no ha conformado un EAT Región</v>
      </c>
      <c r="AB190" s="17" t="str">
        <f>IF($E190="","",INDEX([1]Esquemas_NORM!$H$2:$K$126,MATCH($E190,[1]Esquemas_NORM!$A$2:$A$126,0),MATCH(AB$4,[1]Esquemas_NORM!$H$1:$K$1,0)))</f>
        <v>A la fecha no ha conformado un EAT Área Metropolitana</v>
      </c>
      <c r="AC190" s="17" t="str">
        <f>IF($E190="","",INDEX([1]Esquemas_NORM!$H$2:$K$126,MATCH($E190,[1]Esquemas_NORM!$A$2:$A$126,0),MATCH(AC$4,[1]Esquemas_NORM!$H$1:$K$1,0)))</f>
        <v>ASOCIACION DE MUNICIPIOS DEL OCCIDENTE ANTIOQUEÑO - AMOCCIDENTE</v>
      </c>
      <c r="AD190" s="23"/>
    </row>
    <row r="191" spans="1:30" x14ac:dyDescent="0.25">
      <c r="A191" s="24">
        <v>2016</v>
      </c>
      <c r="B191" s="25" t="s">
        <v>36</v>
      </c>
      <c r="C191" s="25" t="s">
        <v>158</v>
      </c>
      <c r="D191" s="25" t="s">
        <v>163</v>
      </c>
      <c r="E191" s="25" t="s">
        <v>182</v>
      </c>
      <c r="F191" s="25" t="s">
        <v>161</v>
      </c>
      <c r="G191" s="25" t="s">
        <v>183</v>
      </c>
      <c r="H191" s="26">
        <v>11.017939940255875</v>
      </c>
      <c r="I191" s="26">
        <v>0.15389371218467229</v>
      </c>
      <c r="J191" s="27">
        <v>11.171833652440547</v>
      </c>
      <c r="K191" s="26">
        <v>1.2520423907550344</v>
      </c>
      <c r="L191" s="26">
        <v>3.0424998186264571</v>
      </c>
      <c r="M191" s="27">
        <v>4.2945422093814916</v>
      </c>
      <c r="N191" s="26">
        <v>1.0509910432905654</v>
      </c>
      <c r="O191" s="26">
        <v>3.4488169517944853</v>
      </c>
      <c r="P191" s="26">
        <v>2.1205642456658529</v>
      </c>
      <c r="Q191" s="26">
        <v>1.2308582897558438</v>
      </c>
      <c r="R191" s="26">
        <v>3.679972018459051</v>
      </c>
      <c r="S191" s="26">
        <v>4.2023629152266517</v>
      </c>
      <c r="T191" s="26">
        <v>15.136393214986331</v>
      </c>
      <c r="U191" s="26">
        <v>1.607616248670535</v>
      </c>
      <c r="V191" s="27">
        <v>32.477574927849318</v>
      </c>
      <c r="W191" s="27">
        <v>48.835753017559888</v>
      </c>
      <c r="X191" s="26">
        <v>4.7861473107407475</v>
      </c>
      <c r="Y191" s="28">
        <v>53.621900328300732</v>
      </c>
      <c r="Z191" s="17" t="str">
        <f>SUBSTITUTE(SUBSTITUTE(SUBSTITUTE(SUBSTITUTE(IF(E191="","",VLOOKUP(E191,[1]Esquemas_NORM!$A$2:$H$126,8,FALSE)),"PROVINCIA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91" s="17" t="str">
        <f>IF($E191="","",INDEX([1]Esquemas_NORM!$H$2:$K$126,MATCH($E191,[1]Esquemas_NORM!$A$2:$A$126,0),MATCH(AA$4,[1]Esquemas_NORM!$H$1:$K$1,0)))</f>
        <v>Región de Planeación y Gestión de Occidente</v>
      </c>
      <c r="AB191" s="17" t="str">
        <f>IF($E191="","",INDEX([1]Esquemas_NORM!$H$2:$K$126,MATCH($E191,[1]Esquemas_NORM!$A$2:$A$126,0),MATCH(AB$4,[1]Esquemas_NORM!$H$1:$K$1,0)))</f>
        <v>A la fecha no ha conformado un EAT Área Metropolitana</v>
      </c>
      <c r="AC191" s="17" t="str">
        <f>IF($E191="","",INDEX([1]Esquemas_NORM!$H$2:$K$126,MATCH($E191,[1]Esquemas_NORM!$A$2:$A$126,0),MATCH(AC$4,[1]Esquemas_NORM!$H$1:$K$1,0)))</f>
        <v>ASOCIACION DE MUNICIPIOS DEL OCCIDENTE ANTIOQUEÑO - AMOCCIDENTE</v>
      </c>
      <c r="AD191" s="23"/>
    </row>
    <row r="192" spans="1:30" x14ac:dyDescent="0.25">
      <c r="A192" s="24">
        <v>2016</v>
      </c>
      <c r="B192" s="25" t="s">
        <v>36</v>
      </c>
      <c r="C192" s="25" t="s">
        <v>158</v>
      </c>
      <c r="D192" s="25" t="s">
        <v>163</v>
      </c>
      <c r="E192" s="25" t="s">
        <v>184</v>
      </c>
      <c r="F192" s="25" t="s">
        <v>161</v>
      </c>
      <c r="G192" s="25" t="s">
        <v>185</v>
      </c>
      <c r="H192" s="26">
        <v>16.685480017563151</v>
      </c>
      <c r="I192" s="26">
        <v>0.65316328470950991</v>
      </c>
      <c r="J192" s="27">
        <v>17.338643302272661</v>
      </c>
      <c r="K192" s="26">
        <v>0.8261579529361881</v>
      </c>
      <c r="L192" s="26">
        <v>6.2947153170138757</v>
      </c>
      <c r="M192" s="27">
        <v>7.1208732699500636</v>
      </c>
      <c r="N192" s="26">
        <v>2.6982423726774245</v>
      </c>
      <c r="O192" s="26">
        <v>10.724795786128864</v>
      </c>
      <c r="P192" s="26">
        <v>3.9353029977764034</v>
      </c>
      <c r="Q192" s="26">
        <v>3.6713730604254637</v>
      </c>
      <c r="R192" s="26">
        <v>6.9015860029824365</v>
      </c>
      <c r="S192" s="26">
        <v>8.8744681324909855</v>
      </c>
      <c r="T192" s="26">
        <v>14.006969439041942</v>
      </c>
      <c r="U192" s="26">
        <v>3.5900804935724233</v>
      </c>
      <c r="V192" s="27">
        <v>54.40281828509594</v>
      </c>
      <c r="W192" s="27">
        <v>80.269637814294313</v>
      </c>
      <c r="X192" s="26">
        <v>7.8668247630166963</v>
      </c>
      <c r="Y192" s="28">
        <v>88.136462577311093</v>
      </c>
      <c r="Z192" s="17" t="str">
        <f>SUBSTITUTE(SUBSTITUTE(SUBSTITUTE(SUBSTITUTE(IF(E192="","",VLOOKUP(E192,[1]Esquemas_NORM!$A$2:$H$126,8,FALSE)),"PROVINCIA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92" s="17" t="str">
        <f>IF($E192="","",INDEX([1]Esquemas_NORM!$H$2:$K$126,MATCH($E192,[1]Esquemas_NORM!$A$2:$A$126,0),MATCH(AA$4,[1]Esquemas_NORM!$H$1:$K$1,0)))</f>
        <v>Región de Planeación y Gestión de Occidente</v>
      </c>
      <c r="AB192" s="17" t="str">
        <f>IF($E192="","",INDEX([1]Esquemas_NORM!$H$2:$K$126,MATCH($E192,[1]Esquemas_NORM!$A$2:$A$126,0),MATCH(AB$4,[1]Esquemas_NORM!$H$1:$K$1,0)))</f>
        <v>A la fecha no ha conformado un EAT Área Metropolitana</v>
      </c>
      <c r="AC192" s="17" t="str">
        <f>IF($E192="","",INDEX([1]Esquemas_NORM!$H$2:$K$126,MATCH($E192,[1]Esquemas_NORM!$A$2:$A$126,0),MATCH(AC$4,[1]Esquemas_NORM!$H$1:$K$1,0)))</f>
        <v>ASOCIACION DE MUNICIPIOS DEL OCCIDENTE ANTIOQUEÑO - AMOCCIDENTE</v>
      </c>
      <c r="AD192" s="23"/>
    </row>
    <row r="193" spans="1:30" x14ac:dyDescent="0.25">
      <c r="A193" s="24">
        <v>2016</v>
      </c>
      <c r="B193" s="25" t="s">
        <v>36</v>
      </c>
      <c r="C193" s="25" t="s">
        <v>158</v>
      </c>
      <c r="D193" s="25" t="s">
        <v>163</v>
      </c>
      <c r="E193" s="25" t="s">
        <v>186</v>
      </c>
      <c r="F193" s="25" t="s">
        <v>161</v>
      </c>
      <c r="G193" s="25" t="s">
        <v>187</v>
      </c>
      <c r="H193" s="26">
        <v>4.4801651774248423</v>
      </c>
      <c r="I193" s="26">
        <v>8.8013751567855153E-3</v>
      </c>
      <c r="J193" s="27">
        <v>4.488966552581628</v>
      </c>
      <c r="K193" s="26">
        <v>0.60864746421023042</v>
      </c>
      <c r="L193" s="26">
        <v>2.0591677640938051</v>
      </c>
      <c r="M193" s="27">
        <v>2.6678152283040353</v>
      </c>
      <c r="N193" s="26">
        <v>0.93451857123715032</v>
      </c>
      <c r="O193" s="26">
        <v>3.5771048658318123</v>
      </c>
      <c r="P193" s="26">
        <v>0.7355889960245271</v>
      </c>
      <c r="Q193" s="26">
        <v>0.34780538533181615</v>
      </c>
      <c r="R193" s="26">
        <v>1.619344575352889</v>
      </c>
      <c r="S193" s="26">
        <v>2.719251514116896</v>
      </c>
      <c r="T193" s="26">
        <v>12.523181671270104</v>
      </c>
      <c r="U193" s="26">
        <v>0.48507317125330401</v>
      </c>
      <c r="V193" s="27">
        <v>22.9418687504185</v>
      </c>
      <c r="W193" s="27">
        <v>30.551167885078549</v>
      </c>
      <c r="X193" s="26">
        <v>2.9941667933456273</v>
      </c>
      <c r="Y193" s="28">
        <v>33.545334678424197</v>
      </c>
      <c r="Z193" s="17" t="str">
        <f>SUBSTITUTE(SUBSTITUTE(SUBSTITUTE(SUBSTITUTE(IF(E193="","",VLOOKUP(E193,[1]Esquemas_NORM!$A$2:$H$126,8,FALSE)),"PROVINCIA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93" s="17" t="str">
        <f>IF($E193="","",INDEX([1]Esquemas_NORM!$H$2:$K$126,MATCH($E193,[1]Esquemas_NORM!$A$2:$A$126,0),MATCH(AA$4,[1]Esquemas_NORM!$H$1:$K$1,0)))</f>
        <v>Región de Planeación y Gestión de Occidente</v>
      </c>
      <c r="AB193" s="17" t="str">
        <f>IF($E193="","",INDEX([1]Esquemas_NORM!$H$2:$K$126,MATCH($E193,[1]Esquemas_NORM!$A$2:$A$126,0),MATCH(AB$4,[1]Esquemas_NORM!$H$1:$K$1,0)))</f>
        <v>A la fecha no ha conformado un EAT Área Metropolitana</v>
      </c>
      <c r="AC193" s="17" t="str">
        <f>IF($E193="","",INDEX([1]Esquemas_NORM!$H$2:$K$126,MATCH($E193,[1]Esquemas_NORM!$A$2:$A$126,0),MATCH(AC$4,[1]Esquemas_NORM!$H$1:$K$1,0)))</f>
        <v>ASOCIACION DE MUNICIPIOS DEL OCCIDENTE ANTIOQUEÑO - AMOCCIDENTE</v>
      </c>
      <c r="AD193" s="23"/>
    </row>
    <row r="194" spans="1:30" x14ac:dyDescent="0.25">
      <c r="A194" s="24">
        <v>2016</v>
      </c>
      <c r="B194" s="25" t="s">
        <v>36</v>
      </c>
      <c r="C194" s="25" t="s">
        <v>158</v>
      </c>
      <c r="D194" s="25" t="s">
        <v>159</v>
      </c>
      <c r="E194" s="25" t="s">
        <v>188</v>
      </c>
      <c r="F194" s="25" t="s">
        <v>161</v>
      </c>
      <c r="G194" s="25" t="s">
        <v>189</v>
      </c>
      <c r="H194" s="26">
        <v>12.120293666835838</v>
      </c>
      <c r="I194" s="26">
        <v>0</v>
      </c>
      <c r="J194" s="27">
        <v>12.120293666835838</v>
      </c>
      <c r="K194" s="26">
        <v>2.564466853322259</v>
      </c>
      <c r="L194" s="26">
        <v>2.8310977988626336</v>
      </c>
      <c r="M194" s="27">
        <v>5.395564652184893</v>
      </c>
      <c r="N194" s="26">
        <v>0.63599514662459822</v>
      </c>
      <c r="O194" s="26">
        <v>5.4933436409527614</v>
      </c>
      <c r="P194" s="26">
        <v>2.2442988160370319</v>
      </c>
      <c r="Q194" s="26">
        <v>1.6222408076467014</v>
      </c>
      <c r="R194" s="26">
        <v>3.8046048470263925</v>
      </c>
      <c r="S194" s="26">
        <v>5.5781465659314451</v>
      </c>
      <c r="T194" s="26">
        <v>22.267066335891862</v>
      </c>
      <c r="U194" s="26">
        <v>1.3461400609106757</v>
      </c>
      <c r="V194" s="27">
        <v>42.991836221021465</v>
      </c>
      <c r="W194" s="27">
        <v>61.48421438267097</v>
      </c>
      <c r="X194" s="26">
        <v>6.0257595949199994</v>
      </c>
      <c r="Y194" s="28">
        <v>67.509973977591017</v>
      </c>
      <c r="Z194" s="17" t="str">
        <f>SUBSTITUTE(SUBSTITUTE(SUBSTITUTE(SUBSTITUTE(IF(E194="","",VLOOKUP(E194,[1]Esquemas_NORM!$A$2:$H$126,8,FALSE)),"PROVINCIA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94" s="17" t="str">
        <f>IF($E194="","",INDEX([1]Esquemas_NORM!$H$2:$K$126,MATCH($E194,[1]Esquemas_NORM!$A$2:$A$126,0),MATCH(AA$4,[1]Esquemas_NORM!$H$1:$K$1,0)))</f>
        <v>Región de Planeación y Gestión de Occidente</v>
      </c>
      <c r="AB194" s="17" t="str">
        <f>IF($E194="","",INDEX([1]Esquemas_NORM!$H$2:$K$126,MATCH($E194,[1]Esquemas_NORM!$A$2:$A$126,0),MATCH(AB$4,[1]Esquemas_NORM!$H$1:$K$1,0)))</f>
        <v>A la fecha no ha conformado un EAT Área Metropolitana</v>
      </c>
      <c r="AC194" s="17" t="str">
        <f>IF($E194="","",INDEX([1]Esquemas_NORM!$H$2:$K$126,MATCH($E194,[1]Esquemas_NORM!$A$2:$A$126,0),MATCH(AC$4,[1]Esquemas_NORM!$H$1:$K$1,0)))</f>
        <v>ASOCIACION DE MUNICIPIOS DEL OCCIDENTE ANTIOQUEÑO - AMOCCIDENTE</v>
      </c>
      <c r="AD194" s="23"/>
    </row>
    <row r="195" spans="1:30" x14ac:dyDescent="0.25">
      <c r="A195" s="24">
        <v>2016</v>
      </c>
      <c r="B195" s="25" t="s">
        <v>36</v>
      </c>
      <c r="C195" s="25" t="s">
        <v>158</v>
      </c>
      <c r="D195" s="25" t="s">
        <v>163</v>
      </c>
      <c r="E195" s="25" t="s">
        <v>190</v>
      </c>
      <c r="F195" s="25" t="s">
        <v>161</v>
      </c>
      <c r="G195" s="25" t="s">
        <v>191</v>
      </c>
      <c r="H195" s="26">
        <v>12.916557134617102</v>
      </c>
      <c r="I195" s="26">
        <v>0.94158734612693407</v>
      </c>
      <c r="J195" s="27">
        <v>13.858144480744036</v>
      </c>
      <c r="K195" s="26">
        <v>1.020077083539787</v>
      </c>
      <c r="L195" s="26">
        <v>5.0387209225087579</v>
      </c>
      <c r="M195" s="27">
        <v>6.0587980060485451</v>
      </c>
      <c r="N195" s="26">
        <v>1.2890513743741203</v>
      </c>
      <c r="O195" s="26">
        <v>5.0608115924356154</v>
      </c>
      <c r="P195" s="26">
        <v>2.8927091891128032</v>
      </c>
      <c r="Q195" s="26">
        <v>2.405954505265651</v>
      </c>
      <c r="R195" s="26">
        <v>6.1150683452860708</v>
      </c>
      <c r="S195" s="26">
        <v>6.4050933417827052</v>
      </c>
      <c r="T195" s="26">
        <v>21.239616620922476</v>
      </c>
      <c r="U195" s="26">
        <v>2.03812833773685</v>
      </c>
      <c r="V195" s="27">
        <v>47.44643330691629</v>
      </c>
      <c r="W195" s="27">
        <v>68.337437684459388</v>
      </c>
      <c r="X195" s="26">
        <v>6.6974096514680745</v>
      </c>
      <c r="Y195" s="28">
        <v>75.034847335927495</v>
      </c>
      <c r="Z195" s="17" t="str">
        <f>SUBSTITUTE(SUBSTITUTE(SUBSTITUTE(SUBSTITUTE(IF(E195="","",VLOOKUP(E195,[1]Esquemas_NORM!$A$2:$H$126,8,FALSE)),"PROVINCIA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95" s="17" t="str">
        <f>IF($E195="","",INDEX([1]Esquemas_NORM!$H$2:$K$126,MATCH($E195,[1]Esquemas_NORM!$A$2:$A$126,0),MATCH(AA$4,[1]Esquemas_NORM!$H$1:$K$1,0)))</f>
        <v>A la fecha no ha conformado un EAT Región</v>
      </c>
      <c r="AB195" s="17" t="str">
        <f>IF($E195="","",INDEX([1]Esquemas_NORM!$H$2:$K$126,MATCH($E195,[1]Esquemas_NORM!$A$2:$A$126,0),MATCH(AB$4,[1]Esquemas_NORM!$H$1:$K$1,0)))</f>
        <v>A la fecha no ha conformado un EAT Área Metropolitana</v>
      </c>
      <c r="AC195" s="17" t="str">
        <f>IF($E195="","",INDEX([1]Esquemas_NORM!$H$2:$K$126,MATCH($E195,[1]Esquemas_NORM!$A$2:$A$126,0),MATCH(AC$4,[1]Esquemas_NORM!$H$1:$K$1,0)))</f>
        <v>ASOCIACION DE MUNICIPIOS DEL OCCIDENTE ANTIOQUEÑO - AMOCCIDENTE</v>
      </c>
      <c r="AD195" s="23"/>
    </row>
    <row r="196" spans="1:30" x14ac:dyDescent="0.25">
      <c r="A196" s="24">
        <v>2016</v>
      </c>
      <c r="B196" s="25" t="s">
        <v>36</v>
      </c>
      <c r="C196" s="25" t="s">
        <v>158</v>
      </c>
      <c r="D196" s="25" t="s">
        <v>163</v>
      </c>
      <c r="E196" s="25" t="s">
        <v>192</v>
      </c>
      <c r="F196" s="25" t="s">
        <v>161</v>
      </c>
      <c r="G196" s="25" t="s">
        <v>193</v>
      </c>
      <c r="H196" s="26">
        <v>12.551221392580008</v>
      </c>
      <c r="I196" s="26">
        <v>0</v>
      </c>
      <c r="J196" s="27">
        <v>12.551221392580008</v>
      </c>
      <c r="K196" s="26">
        <v>2.130809691865692</v>
      </c>
      <c r="L196" s="26">
        <v>11.242268904919207</v>
      </c>
      <c r="M196" s="27">
        <v>13.3730785967849</v>
      </c>
      <c r="N196" s="26">
        <v>7.1126027397551885</v>
      </c>
      <c r="O196" s="26">
        <v>31.745890643192585</v>
      </c>
      <c r="P196" s="26">
        <v>2.9632714949288577</v>
      </c>
      <c r="Q196" s="26">
        <v>2.7884566001074353</v>
      </c>
      <c r="R196" s="26">
        <v>18.604013097572171</v>
      </c>
      <c r="S196" s="26">
        <v>13.769013820222929</v>
      </c>
      <c r="T196" s="26">
        <v>45.207736181886041</v>
      </c>
      <c r="U196" s="26">
        <v>2.6834557895251225</v>
      </c>
      <c r="V196" s="27">
        <v>124.87444036719033</v>
      </c>
      <c r="W196" s="27">
        <v>152.51131984430501</v>
      </c>
      <c r="X196" s="26">
        <v>14.946869828509323</v>
      </c>
      <c r="Y196" s="28">
        <v>167.45818967281431</v>
      </c>
      <c r="Z196" s="17" t="str">
        <f>SUBSTITUTE(SUBSTITUTE(SUBSTITUTE(SUBSTITUTE(IF(E196="","",VLOOKUP(E196,[1]Esquemas_NORM!$A$2:$H$126,8,FALSE)),"PROVINCIA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96" s="17" t="str">
        <f>IF($E196="","",INDEX([1]Esquemas_NORM!$H$2:$K$126,MATCH($E196,[1]Esquemas_NORM!$A$2:$A$126,0),MATCH(AA$4,[1]Esquemas_NORM!$H$1:$K$1,0)))</f>
        <v>Región de Planeación y Gestión de Occidente</v>
      </c>
      <c r="AB196" s="17" t="str">
        <f>IF($E196="","",INDEX([1]Esquemas_NORM!$H$2:$K$126,MATCH($E196,[1]Esquemas_NORM!$A$2:$A$126,0),MATCH(AB$4,[1]Esquemas_NORM!$H$1:$K$1,0)))</f>
        <v>A la fecha no ha conformado un EAT Área Metropolitana</v>
      </c>
      <c r="AC196" s="17" t="str">
        <f>IF($E196="","",INDEX([1]Esquemas_NORM!$H$2:$K$126,MATCH($E196,[1]Esquemas_NORM!$A$2:$A$126,0),MATCH(AC$4,[1]Esquemas_NORM!$H$1:$K$1,0)))</f>
        <v>ASOCIACION DE MUNICIPIOS DEL OCCIDENTE ANTIOQUEÑO - AMOCCIDENTE</v>
      </c>
      <c r="AD196" s="23"/>
    </row>
    <row r="197" spans="1:30" x14ac:dyDescent="0.25">
      <c r="A197" s="24">
        <v>2016</v>
      </c>
      <c r="B197" s="25" t="s">
        <v>36</v>
      </c>
      <c r="C197" s="25" t="s">
        <v>158</v>
      </c>
      <c r="D197" s="25" t="s">
        <v>163</v>
      </c>
      <c r="E197" s="25" t="s">
        <v>194</v>
      </c>
      <c r="F197" s="25" t="s">
        <v>161</v>
      </c>
      <c r="G197" s="25" t="s">
        <v>195</v>
      </c>
      <c r="H197" s="26">
        <v>20.275705735838926</v>
      </c>
      <c r="I197" s="26">
        <v>0.99983524084814701</v>
      </c>
      <c r="J197" s="27">
        <v>21.275540976687072</v>
      </c>
      <c r="K197" s="26">
        <v>5.606620657755971</v>
      </c>
      <c r="L197" s="26">
        <v>16.048673184879846</v>
      </c>
      <c r="M197" s="27">
        <v>21.655293842635817</v>
      </c>
      <c r="N197" s="26">
        <v>16.689706810490623</v>
      </c>
      <c r="O197" s="26">
        <v>83.686428822820432</v>
      </c>
      <c r="P197" s="26">
        <v>7.9882189950086548</v>
      </c>
      <c r="Q197" s="26">
        <v>5.9628526075949404</v>
      </c>
      <c r="R197" s="26">
        <v>27.695215127765124</v>
      </c>
      <c r="S197" s="26">
        <v>24.89984038051119</v>
      </c>
      <c r="T197" s="26">
        <v>28.957594589806469</v>
      </c>
      <c r="U197" s="26">
        <v>9.3641425535004075</v>
      </c>
      <c r="V197" s="27">
        <v>205.24399988749784</v>
      </c>
      <c r="W197" s="27">
        <v>252.09557025922288</v>
      </c>
      <c r="X197" s="26">
        <v>24.706622936941109</v>
      </c>
      <c r="Y197" s="28">
        <v>276.80219319616396</v>
      </c>
      <c r="Z197" s="17" t="str">
        <f>SUBSTITUTE(SUBSTITUTE(SUBSTITUTE(SUBSTITUTE(IF(E197="","",VLOOKUP(E197,[1]Esquemas_NORM!$A$2:$H$126,8,FALSE)),"PROVINCIA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97" s="17" t="str">
        <f>IF($E197="","",INDEX([1]Esquemas_NORM!$H$2:$K$126,MATCH($E197,[1]Esquemas_NORM!$A$2:$A$126,0),MATCH(AA$4,[1]Esquemas_NORM!$H$1:$K$1,0)))</f>
        <v>A la fecha no ha conformado un EAT Región</v>
      </c>
      <c r="AB197" s="17" t="str">
        <f>IF($E197="","",INDEX([1]Esquemas_NORM!$H$2:$K$126,MATCH($E197,[1]Esquemas_NORM!$A$2:$A$126,0),MATCH(AB$4,[1]Esquemas_NORM!$H$1:$K$1,0)))</f>
        <v>A la fecha no ha conformado un EAT Área Metropolitana</v>
      </c>
      <c r="AC197" s="17" t="str">
        <f>IF($E197="","",INDEX([1]Esquemas_NORM!$H$2:$K$126,MATCH($E197,[1]Esquemas_NORM!$A$2:$A$126,0),MATCH(AC$4,[1]Esquemas_NORM!$H$1:$K$1,0)))</f>
        <v>ASOCIACION DE MUNICIPIOS DEL OCCIDENTE ANTIOQUEÑO - AMOCCIDENTE</v>
      </c>
      <c r="AD197" s="23"/>
    </row>
    <row r="198" spans="1:30" x14ac:dyDescent="0.25">
      <c r="A198" s="24">
        <v>2016</v>
      </c>
      <c r="B198" s="25" t="s">
        <v>36</v>
      </c>
      <c r="C198" s="25" t="s">
        <v>158</v>
      </c>
      <c r="D198" s="25" t="s">
        <v>163</v>
      </c>
      <c r="E198" s="25" t="s">
        <v>196</v>
      </c>
      <c r="F198" s="25" t="s">
        <v>161</v>
      </c>
      <c r="G198" s="25" t="s">
        <v>197</v>
      </c>
      <c r="H198" s="26">
        <v>15.451315389643424</v>
      </c>
      <c r="I198" s="26">
        <v>0.37426647166521482</v>
      </c>
      <c r="J198" s="27">
        <v>15.825581861308638</v>
      </c>
      <c r="K198" s="26">
        <v>3.6333066980497706</v>
      </c>
      <c r="L198" s="26">
        <v>8.2216015404827942</v>
      </c>
      <c r="M198" s="27">
        <v>11.854908238532564</v>
      </c>
      <c r="N198" s="26">
        <v>6.0692418445616152</v>
      </c>
      <c r="O198" s="26">
        <v>32.053227750150988</v>
      </c>
      <c r="P198" s="26">
        <v>8.8804271445390697</v>
      </c>
      <c r="Q198" s="26">
        <v>3.8117451363463282</v>
      </c>
      <c r="R198" s="26">
        <v>17.274556979852857</v>
      </c>
      <c r="S198" s="26">
        <v>12.652127042969999</v>
      </c>
      <c r="T198" s="26">
        <v>17.881154662094715</v>
      </c>
      <c r="U198" s="26">
        <v>4.1824167252717066</v>
      </c>
      <c r="V198" s="27">
        <v>102.80489728578728</v>
      </c>
      <c r="W198" s="27">
        <v>132.33929362001331</v>
      </c>
      <c r="X198" s="26">
        <v>12.96991067256292</v>
      </c>
      <c r="Y198" s="28">
        <v>145.3092042925762</v>
      </c>
      <c r="Z198" s="17" t="str">
        <f>SUBSTITUTE(SUBSTITUTE(SUBSTITUTE(SUBSTITUTE(IF(E198="","",VLOOKUP(E198,[1]Esquemas_NORM!$A$2:$H$126,8,FALSE)),"PROVINCIA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98" s="17" t="str">
        <f>IF($E198="","",INDEX([1]Esquemas_NORM!$H$2:$K$126,MATCH($E198,[1]Esquemas_NORM!$A$2:$A$126,0),MATCH(AA$4,[1]Esquemas_NORM!$H$1:$K$1,0)))</f>
        <v>A la fecha no ha conformado un EAT Región</v>
      </c>
      <c r="AB198" s="17" t="str">
        <f>IF($E198="","",INDEX([1]Esquemas_NORM!$H$2:$K$126,MATCH($E198,[1]Esquemas_NORM!$A$2:$A$126,0),MATCH(AB$4,[1]Esquemas_NORM!$H$1:$K$1,0)))</f>
        <v>A la fecha no ha conformado un EAT Área Metropolitana</v>
      </c>
      <c r="AC198" s="17" t="str">
        <f>IF($E198="","",INDEX([1]Esquemas_NORM!$H$2:$K$126,MATCH($E198,[1]Esquemas_NORM!$A$2:$A$126,0),MATCH(AC$4,[1]Esquemas_NORM!$H$1:$K$1,0)))</f>
        <v>ASOCIACION DE MUNICIPIOS DEL OCCIDENTE ANTIOQUEÑO - AMOCCIDENTE</v>
      </c>
      <c r="AD198" s="23"/>
    </row>
    <row r="199" spans="1:30" x14ac:dyDescent="0.25">
      <c r="A199" s="24">
        <v>2016</v>
      </c>
      <c r="B199" s="25" t="s">
        <v>36</v>
      </c>
      <c r="C199" s="25" t="s">
        <v>158</v>
      </c>
      <c r="D199" s="25" t="s">
        <v>159</v>
      </c>
      <c r="E199" s="25" t="s">
        <v>198</v>
      </c>
      <c r="F199" s="25" t="s">
        <v>161</v>
      </c>
      <c r="G199" s="25" t="s">
        <v>199</v>
      </c>
      <c r="H199" s="26">
        <v>12.783651219909377</v>
      </c>
      <c r="I199" s="26">
        <v>0</v>
      </c>
      <c r="J199" s="27">
        <v>12.783651219909377</v>
      </c>
      <c r="K199" s="26">
        <v>1.5438969155804161</v>
      </c>
      <c r="L199" s="26">
        <v>3.6311666663894586</v>
      </c>
      <c r="M199" s="27">
        <v>5.1750635819698747</v>
      </c>
      <c r="N199" s="26">
        <v>1.057441027366073</v>
      </c>
      <c r="O199" s="26">
        <v>4.096515246051295</v>
      </c>
      <c r="P199" s="26">
        <v>2.2603860823242936</v>
      </c>
      <c r="Q199" s="26">
        <v>0.88567338710642285</v>
      </c>
      <c r="R199" s="26">
        <v>2.3176952142734573</v>
      </c>
      <c r="S199" s="26">
        <v>4.2908888890133019</v>
      </c>
      <c r="T199" s="26">
        <v>20.104799644630472</v>
      </c>
      <c r="U199" s="26">
        <v>0.90939487908623773</v>
      </c>
      <c r="V199" s="27">
        <v>35.922794369851552</v>
      </c>
      <c r="W199" s="27">
        <v>55.008653681659894</v>
      </c>
      <c r="X199" s="26">
        <v>5.3911223564296096</v>
      </c>
      <c r="Y199" s="28">
        <v>60.39977603808952</v>
      </c>
      <c r="Z199" s="17" t="str">
        <f>SUBSTITUTE(SUBSTITUTE(SUBSTITUTE(SUBSTITUTE(IF(E199="","",VLOOKUP(E199,[1]Esquemas_NORM!$A$2:$H$126,8,FALSE)),"PROVINCIA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99" s="17" t="str">
        <f>IF($E199="","",INDEX([1]Esquemas_NORM!$H$2:$K$126,MATCH($E199,[1]Esquemas_NORM!$A$2:$A$126,0),MATCH(AA$4,[1]Esquemas_NORM!$H$1:$K$1,0)))</f>
        <v>Región de Planeación y Gestión de Occidente</v>
      </c>
      <c r="AB199" s="17" t="str">
        <f>IF($E199="","",INDEX([1]Esquemas_NORM!$H$2:$K$126,MATCH($E199,[1]Esquemas_NORM!$A$2:$A$126,0),MATCH(AB$4,[1]Esquemas_NORM!$H$1:$K$1,0)))</f>
        <v>A la fecha no ha conformado un EAT Área Metropolitana</v>
      </c>
      <c r="AC199" s="17" t="str">
        <f>IF($E199="","",INDEX([1]Esquemas_NORM!$H$2:$K$126,MATCH($E199,[1]Esquemas_NORM!$A$2:$A$126,0),MATCH(AC$4,[1]Esquemas_NORM!$H$1:$K$1,0)))</f>
        <v>ASOCIACION DE MUNICIPIOS DEL OCCIDENTE ANTIOQUEÑO - AMOCCIDENTE</v>
      </c>
      <c r="AD199" s="23"/>
    </row>
    <row r="200" spans="1:30" x14ac:dyDescent="0.25">
      <c r="A200" s="24">
        <v>2016</v>
      </c>
      <c r="B200" s="25" t="s">
        <v>36</v>
      </c>
      <c r="C200" s="25" t="s">
        <v>200</v>
      </c>
      <c r="D200" s="25" t="s">
        <v>201</v>
      </c>
      <c r="E200" s="25" t="s">
        <v>202</v>
      </c>
      <c r="F200" s="25" t="s">
        <v>203</v>
      </c>
      <c r="G200" s="25" t="s">
        <v>204</v>
      </c>
      <c r="H200" s="26">
        <v>57.465136266539432</v>
      </c>
      <c r="I200" s="26">
        <v>1.3471660187348908</v>
      </c>
      <c r="J200" s="27">
        <v>58.81230228527432</v>
      </c>
      <c r="K200" s="26">
        <v>3.1981477815111128</v>
      </c>
      <c r="L200" s="26">
        <v>13.634578171897182</v>
      </c>
      <c r="M200" s="27">
        <v>16.832725953408296</v>
      </c>
      <c r="N200" s="26">
        <v>4.1380619878080918</v>
      </c>
      <c r="O200" s="26">
        <v>23.040279236053969</v>
      </c>
      <c r="P200" s="26">
        <v>8.9660099908955306</v>
      </c>
      <c r="Q200" s="26">
        <v>6.8999738544725204</v>
      </c>
      <c r="R200" s="26">
        <v>26.611082856868432</v>
      </c>
      <c r="S200" s="26">
        <v>14.935223436568696</v>
      </c>
      <c r="T200" s="26">
        <v>18.865074301058225</v>
      </c>
      <c r="U200" s="26">
        <v>6.2170131323026885</v>
      </c>
      <c r="V200" s="27">
        <v>109.67271879602815</v>
      </c>
      <c r="W200" s="27">
        <v>190.30148606994806</v>
      </c>
      <c r="X200" s="26">
        <v>18.650494555829724</v>
      </c>
      <c r="Y200" s="28">
        <v>208.95198062577796</v>
      </c>
      <c r="Z200" s="17" t="str">
        <f>SUBSTITUTE(SUBSTITUTE(SUBSTITUTE(SUBSTITUTE(IF(E200="","",VLOOKUP(E200,[1]Esquemas_NORM!$A$2:$H$126,8,FALSE)),"PROVINCIA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200" s="17" t="str">
        <f>IF($E200="","",INDEX([1]Esquemas_NORM!$H$2:$K$126,MATCH($E200,[1]Esquemas_NORM!$A$2:$A$126,0),MATCH(AA$4,[1]Esquemas_NORM!$H$1:$K$1,0)))</f>
        <v>A la fecha no ha conformado un EAT Región</v>
      </c>
      <c r="AB200" s="17" t="str">
        <f>IF($E200="","",INDEX([1]Esquemas_NORM!$H$2:$K$126,MATCH($E200,[1]Esquemas_NORM!$A$2:$A$126,0),MATCH(AB$4,[1]Esquemas_NORM!$H$1:$K$1,0)))</f>
        <v>A la fecha no ha conformado un EAT Área Metropolitana</v>
      </c>
      <c r="AC200" s="17" t="str">
        <f>IF($E200="","",INDEX([1]Esquemas_NORM!$H$2:$K$126,MATCH($E200,[1]Esquemas_NORM!$A$2:$A$126,0),MATCH(AC$4,[1]Esquemas_NORM!$H$1:$K$1,0)))</f>
        <v>MUNICIPIOS UNIDOS DEL SUR DE ANTIOQUIA - MUSA</v>
      </c>
      <c r="AD200" s="23"/>
    </row>
    <row r="201" spans="1:30" x14ac:dyDescent="0.25">
      <c r="A201" s="24">
        <v>2016</v>
      </c>
      <c r="B201" s="25" t="s">
        <v>36</v>
      </c>
      <c r="C201" s="25" t="s">
        <v>200</v>
      </c>
      <c r="D201" s="25" t="s">
        <v>205</v>
      </c>
      <c r="E201" s="25" t="s">
        <v>206</v>
      </c>
      <c r="F201" s="25" t="s">
        <v>203</v>
      </c>
      <c r="G201" s="25" t="s">
        <v>207</v>
      </c>
      <c r="H201" s="26">
        <v>6.4197383317667063</v>
      </c>
      <c r="I201" s="26">
        <v>0</v>
      </c>
      <c r="J201" s="27">
        <v>6.4197383317667063</v>
      </c>
      <c r="K201" s="26">
        <v>1.3669800187454695</v>
      </c>
      <c r="L201" s="26">
        <v>2.7110788078687817</v>
      </c>
      <c r="M201" s="27">
        <v>4.0780588266142512</v>
      </c>
      <c r="N201" s="26">
        <v>0.97342880645302143</v>
      </c>
      <c r="O201" s="26">
        <v>4.75081477986393</v>
      </c>
      <c r="P201" s="26">
        <v>1.4970600615497802</v>
      </c>
      <c r="Q201" s="26">
        <v>1.0976362696865047</v>
      </c>
      <c r="R201" s="26">
        <v>5.4356687320167421</v>
      </c>
      <c r="S201" s="26">
        <v>4.0649248138579441</v>
      </c>
      <c r="T201" s="26">
        <v>13.852578385704662</v>
      </c>
      <c r="U201" s="26">
        <v>1.1233864541419845</v>
      </c>
      <c r="V201" s="27">
        <v>32.79549830327457</v>
      </c>
      <c r="W201" s="27">
        <v>43.796410927844725</v>
      </c>
      <c r="X201" s="26">
        <v>4.2922666577306874</v>
      </c>
      <c r="Y201" s="28">
        <v>48.088677585575468</v>
      </c>
      <c r="Z201" s="17" t="str">
        <f>SUBSTITUTE(SUBSTITUTE(SUBSTITUTE(SUBSTITUTE(IF(E201="","",VLOOKUP(E201,[1]Esquemas_NORM!$A$2:$H$126,8,FALSE)),"PROVINCIA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01" s="17" t="str">
        <f>IF($E201="","",INDEX([1]Esquemas_NORM!$H$2:$K$126,MATCH($E201,[1]Esquemas_NORM!$A$2:$A$126,0),MATCH(AA$4,[1]Esquemas_NORM!$H$1:$K$1,0)))</f>
        <v>A la fecha no ha conformado un EAT Región</v>
      </c>
      <c r="AB201" s="17" t="str">
        <f>IF($E201="","",INDEX([1]Esquemas_NORM!$H$2:$K$126,MATCH($E201,[1]Esquemas_NORM!$A$2:$A$126,0),MATCH(AB$4,[1]Esquemas_NORM!$H$1:$K$1,0)))</f>
        <v>A la fecha no ha conformado un EAT Área Metropolitana</v>
      </c>
      <c r="AC201" s="17" t="str">
        <f>IF($E201="","",INDEX([1]Esquemas_NORM!$H$2:$K$126,MATCH($E201,[1]Esquemas_NORM!$A$2:$A$126,0),MATCH(AC$4,[1]Esquemas_NORM!$H$1:$K$1,0)))</f>
        <v>A la fecha no ha conformado un EAT asociación - unión</v>
      </c>
      <c r="AD201" s="23"/>
    </row>
    <row r="202" spans="1:30" x14ac:dyDescent="0.25">
      <c r="A202" s="24">
        <v>2016</v>
      </c>
      <c r="B202" s="25" t="s">
        <v>36</v>
      </c>
      <c r="C202" s="25" t="s">
        <v>200</v>
      </c>
      <c r="D202" s="25" t="s">
        <v>201</v>
      </c>
      <c r="E202" s="25" t="s">
        <v>208</v>
      </c>
      <c r="F202" s="25" t="s">
        <v>203</v>
      </c>
      <c r="G202" s="25" t="s">
        <v>209</v>
      </c>
      <c r="H202" s="26">
        <v>11.963124799931668</v>
      </c>
      <c r="I202" s="26">
        <v>0</v>
      </c>
      <c r="J202" s="27">
        <v>11.963124799931668</v>
      </c>
      <c r="K202" s="26">
        <v>1.2855917718681327</v>
      </c>
      <c r="L202" s="26">
        <v>3.7133380341907647</v>
      </c>
      <c r="M202" s="27">
        <v>4.9989298060588974</v>
      </c>
      <c r="N202" s="26">
        <v>0.9016067180604862</v>
      </c>
      <c r="O202" s="26">
        <v>3.1701178118439293</v>
      </c>
      <c r="P202" s="26">
        <v>1.8032456531424601</v>
      </c>
      <c r="Q202" s="26">
        <v>1.4935839439733392</v>
      </c>
      <c r="R202" s="26">
        <v>5.970940805647432</v>
      </c>
      <c r="S202" s="26">
        <v>4.6505503053792454</v>
      </c>
      <c r="T202" s="26">
        <v>18.946836629883737</v>
      </c>
      <c r="U202" s="26">
        <v>1.3181675664815282</v>
      </c>
      <c r="V202" s="27">
        <v>38.255049434412157</v>
      </c>
      <c r="W202" s="27">
        <v>56.120249243461501</v>
      </c>
      <c r="X202" s="26">
        <v>5.5000642643549522</v>
      </c>
      <c r="Y202" s="28">
        <v>61.620313507816512</v>
      </c>
      <c r="Z202" s="17" t="str">
        <f>SUBSTITUTE(SUBSTITUTE(SUBSTITUTE(SUBSTITUTE(IF(E202="","",VLOOKUP(E202,[1]Esquemas_NORM!$A$2:$H$126,8,FALSE)),"PROVINCIA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202" s="17" t="str">
        <f>IF($E202="","",INDEX([1]Esquemas_NORM!$H$2:$K$126,MATCH($E202,[1]Esquemas_NORM!$A$2:$A$126,0),MATCH(AA$4,[1]Esquemas_NORM!$H$1:$K$1,0)))</f>
        <v>A la fecha no ha conformado un EAT Región</v>
      </c>
      <c r="AB202" s="17" t="str">
        <f>IF($E202="","",INDEX([1]Esquemas_NORM!$H$2:$K$126,MATCH($E202,[1]Esquemas_NORM!$A$2:$A$126,0),MATCH(AB$4,[1]Esquemas_NORM!$H$1:$K$1,0)))</f>
        <v>A la fecha no ha conformado un EAT Área Metropolitana</v>
      </c>
      <c r="AC202" s="17" t="str">
        <f>IF($E202="","",INDEX([1]Esquemas_NORM!$H$2:$K$126,MATCH($E202,[1]Esquemas_NORM!$A$2:$A$126,0),MATCH(AC$4,[1]Esquemas_NORM!$H$1:$K$1,0)))</f>
        <v>MUNICIPIOS UNIDOS DEL SUR DE ANTIOQUIA - MUSA</v>
      </c>
      <c r="AD202" s="23"/>
    </row>
    <row r="203" spans="1:30" x14ac:dyDescent="0.25">
      <c r="A203" s="24">
        <v>2016</v>
      </c>
      <c r="B203" s="25" t="s">
        <v>36</v>
      </c>
      <c r="C203" s="25" t="s">
        <v>200</v>
      </c>
      <c r="D203" s="25" t="s">
        <v>210</v>
      </c>
      <c r="E203" s="25" t="s">
        <v>211</v>
      </c>
      <c r="F203" s="25" t="s">
        <v>203</v>
      </c>
      <c r="G203" s="25" t="s">
        <v>212</v>
      </c>
      <c r="H203" s="26">
        <v>14.524690529963184</v>
      </c>
      <c r="I203" s="26">
        <v>0</v>
      </c>
      <c r="J203" s="27">
        <v>14.524690529963184</v>
      </c>
      <c r="K203" s="26">
        <v>8.9133300904256902</v>
      </c>
      <c r="L203" s="26">
        <v>7.066347958529521</v>
      </c>
      <c r="M203" s="27">
        <v>15.979678048955211</v>
      </c>
      <c r="N203" s="26">
        <v>17.427422849011098</v>
      </c>
      <c r="O203" s="26">
        <v>23.463154781208036</v>
      </c>
      <c r="P203" s="26">
        <v>7.1139675361456867</v>
      </c>
      <c r="Q203" s="26">
        <v>3.7639228616823956</v>
      </c>
      <c r="R203" s="26">
        <v>19.986964722701906</v>
      </c>
      <c r="S203" s="26">
        <v>11.715011051919436</v>
      </c>
      <c r="T203" s="26">
        <v>12.800668187773065</v>
      </c>
      <c r="U203" s="26">
        <v>3.9958761712352646</v>
      </c>
      <c r="V203" s="27">
        <v>100.26698816167689</v>
      </c>
      <c r="W203" s="27">
        <v>132.41395709091165</v>
      </c>
      <c r="X203" s="26">
        <v>12.977228065010229</v>
      </c>
      <c r="Y203" s="28">
        <v>145.39118515592199</v>
      </c>
      <c r="Z203" s="17" t="str">
        <f>SUBSTITUTE(SUBSTITUTE(SUBSTITUTE(SUBSTITUTE(IF(E203="","",VLOOKUP(E203,[1]Esquemas_NORM!$A$2:$H$126,8,FALSE)),"PROVINCIA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03" s="17" t="str">
        <f>IF($E203="","",INDEX([1]Esquemas_NORM!$H$2:$K$126,MATCH($E203,[1]Esquemas_NORM!$A$2:$A$126,0),MATCH(AA$4,[1]Esquemas_NORM!$H$1:$K$1,0)))</f>
        <v>A la fecha no ha conformado un EAT Región</v>
      </c>
      <c r="AB203" s="17" t="str">
        <f>IF($E203="","",INDEX([1]Esquemas_NORM!$H$2:$K$126,MATCH($E203,[1]Esquemas_NORM!$A$2:$A$126,0),MATCH(AB$4,[1]Esquemas_NORM!$H$1:$K$1,0)))</f>
        <v>A la fecha no ha conformado un EAT Área Metropolitana</v>
      </c>
      <c r="AC203" s="17" t="str">
        <f>IF($E203="","",INDEX([1]Esquemas_NORM!$H$2:$K$126,MATCH($E203,[1]Esquemas_NORM!$A$2:$A$126,0),MATCH(AC$4,[1]Esquemas_NORM!$H$1:$K$1,0)))</f>
        <v>A la fecha no ha conformado un EAT asociación - unión</v>
      </c>
      <c r="AD203" s="23"/>
    </row>
    <row r="204" spans="1:30" x14ac:dyDescent="0.25">
      <c r="A204" s="24">
        <v>2016</v>
      </c>
      <c r="B204" s="25" t="s">
        <v>36</v>
      </c>
      <c r="C204" s="25" t="s">
        <v>200</v>
      </c>
      <c r="D204" s="25" t="s">
        <v>205</v>
      </c>
      <c r="E204" s="25" t="s">
        <v>213</v>
      </c>
      <c r="F204" s="25" t="s">
        <v>203</v>
      </c>
      <c r="G204" s="25" t="s">
        <v>214</v>
      </c>
      <c r="H204" s="26">
        <v>13.066809733548904</v>
      </c>
      <c r="I204" s="26">
        <v>0</v>
      </c>
      <c r="J204" s="27">
        <v>13.066809733548904</v>
      </c>
      <c r="K204" s="26">
        <v>1.5182026622404017</v>
      </c>
      <c r="L204" s="26">
        <v>3.6046160853856732</v>
      </c>
      <c r="M204" s="27">
        <v>5.1228187476260754</v>
      </c>
      <c r="N204" s="26">
        <v>0.4160462830281132</v>
      </c>
      <c r="O204" s="26">
        <v>1.7478373523280308</v>
      </c>
      <c r="P204" s="26">
        <v>0.70668614585230838</v>
      </c>
      <c r="Q204" s="26">
        <v>0.50308996125469496</v>
      </c>
      <c r="R204" s="26">
        <v>3.3338586904412226</v>
      </c>
      <c r="S204" s="26">
        <v>4.2746612267656099</v>
      </c>
      <c r="T204" s="26">
        <v>20.822475643483827</v>
      </c>
      <c r="U204" s="26">
        <v>0.53523698252155683</v>
      </c>
      <c r="V204" s="27">
        <v>32.339892285675361</v>
      </c>
      <c r="W204" s="27">
        <v>51.62051562105453</v>
      </c>
      <c r="X204" s="26">
        <v>5.0590679318483085</v>
      </c>
      <c r="Y204" s="28">
        <v>56.679583552902905</v>
      </c>
      <c r="Z204" s="17" t="str">
        <f>SUBSTITUTE(SUBSTITUTE(SUBSTITUTE(SUBSTITUTE(IF(E204="","",VLOOKUP(E204,[1]Esquemas_NORM!$A$2:$H$126,8,FALSE)),"PROVINCIA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04" s="17" t="str">
        <f>IF($E204="","",INDEX([1]Esquemas_NORM!$H$2:$K$126,MATCH($E204,[1]Esquemas_NORM!$A$2:$A$126,0),MATCH(AA$4,[1]Esquemas_NORM!$H$1:$K$1,0)))</f>
        <v>A la fecha no ha conformado un EAT Región</v>
      </c>
      <c r="AB204" s="17" t="str">
        <f>IF($E204="","",INDEX([1]Esquemas_NORM!$H$2:$K$126,MATCH($E204,[1]Esquemas_NORM!$A$2:$A$126,0),MATCH(AB$4,[1]Esquemas_NORM!$H$1:$K$1,0)))</f>
        <v>A la fecha no ha conformado un EAT Área Metropolitana</v>
      </c>
      <c r="AC204" s="17" t="str">
        <f>IF($E204="","",INDEX([1]Esquemas_NORM!$H$2:$K$126,MATCH($E204,[1]Esquemas_NORM!$A$2:$A$126,0),MATCH(AC$4,[1]Esquemas_NORM!$H$1:$K$1,0)))</f>
        <v>A la fecha no ha conformado un EAT asociación - unión</v>
      </c>
      <c r="AD204" s="23"/>
    </row>
    <row r="205" spans="1:30" x14ac:dyDescent="0.25">
      <c r="A205" s="24">
        <v>2016</v>
      </c>
      <c r="B205" s="25" t="s">
        <v>36</v>
      </c>
      <c r="C205" s="25" t="s">
        <v>200</v>
      </c>
      <c r="D205" s="25" t="s">
        <v>215</v>
      </c>
      <c r="E205" s="25" t="s">
        <v>216</v>
      </c>
      <c r="F205" s="25" t="s">
        <v>203</v>
      </c>
      <c r="G205" s="25" t="s">
        <v>217</v>
      </c>
      <c r="H205" s="26">
        <v>99.273887510976323</v>
      </c>
      <c r="I205" s="26">
        <v>0</v>
      </c>
      <c r="J205" s="27">
        <v>99.273887510976323</v>
      </c>
      <c r="K205" s="26">
        <v>26.232209331040877</v>
      </c>
      <c r="L205" s="26">
        <v>22.299635670653544</v>
      </c>
      <c r="M205" s="27">
        <v>48.531845001694421</v>
      </c>
      <c r="N205" s="26">
        <v>16.957208361446177</v>
      </c>
      <c r="O205" s="26">
        <v>120.02936309418659</v>
      </c>
      <c r="P205" s="26">
        <v>15.385820685237896</v>
      </c>
      <c r="Q205" s="26">
        <v>19.904645369828049</v>
      </c>
      <c r="R205" s="26">
        <v>76.369612017702948</v>
      </c>
      <c r="S205" s="26">
        <v>44.447871508215982</v>
      </c>
      <c r="T205" s="26">
        <v>56.024907359916526</v>
      </c>
      <c r="U205" s="26">
        <v>20.562272757397498</v>
      </c>
      <c r="V205" s="27">
        <v>369.68170115393173</v>
      </c>
      <c r="W205" s="27">
        <v>527.20869351488011</v>
      </c>
      <c r="X205" s="26">
        <v>51.669080842446434</v>
      </c>
      <c r="Y205" s="28">
        <v>578.87777435732698</v>
      </c>
      <c r="Z205" s="17" t="str">
        <f>SUBSTITUTE(SUBSTITUTE(SUBSTITUTE(SUBSTITUTE(IF(E205="","",VLOOKUP(E205,[1]Esquemas_NORM!$A$2:$H$126,8,FALSE)),"PROVINCIA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05" s="17" t="str">
        <f>IF($E205="","",INDEX([1]Esquemas_NORM!$H$2:$K$126,MATCH($E205,[1]Esquemas_NORM!$A$2:$A$126,0),MATCH(AA$4,[1]Esquemas_NORM!$H$1:$K$1,0)))</f>
        <v>A la fecha no ha conformado un EAT Región</v>
      </c>
      <c r="AB205" s="17" t="str">
        <f>IF($E205="","",INDEX([1]Esquemas_NORM!$H$2:$K$126,MATCH($E205,[1]Esquemas_NORM!$A$2:$A$126,0),MATCH(AB$4,[1]Esquemas_NORM!$H$1:$K$1,0)))</f>
        <v>A la fecha no ha conformado un EAT Área Metropolitana</v>
      </c>
      <c r="AC205" s="17" t="str">
        <f>IF($E205="","",INDEX([1]Esquemas_NORM!$H$2:$K$126,MATCH($E205,[1]Esquemas_NORM!$A$2:$A$126,0),MATCH(AC$4,[1]Esquemas_NORM!$H$1:$K$1,0)))</f>
        <v>MUNICIPIOS ASOCIADOS DEL ALTIPLANO DEL ORIENTE ANTIOQUEÑO - MASORA</v>
      </c>
      <c r="AD205" s="23"/>
    </row>
    <row r="206" spans="1:30" x14ac:dyDescent="0.25">
      <c r="A206" s="24">
        <v>2016</v>
      </c>
      <c r="B206" s="25" t="s">
        <v>36</v>
      </c>
      <c r="C206" s="25" t="s">
        <v>200</v>
      </c>
      <c r="D206" s="25" t="s">
        <v>205</v>
      </c>
      <c r="E206" s="25" t="s">
        <v>218</v>
      </c>
      <c r="F206" s="25" t="s">
        <v>203</v>
      </c>
      <c r="G206" s="25" t="s">
        <v>219</v>
      </c>
      <c r="H206" s="26">
        <v>159.23216316326625</v>
      </c>
      <c r="I206" s="26">
        <v>0</v>
      </c>
      <c r="J206" s="27">
        <v>159.23216316326625</v>
      </c>
      <c r="K206" s="26">
        <v>4.3096750275923013</v>
      </c>
      <c r="L206" s="26">
        <v>25.292033983415433</v>
      </c>
      <c r="M206" s="27">
        <v>29.601709011007735</v>
      </c>
      <c r="N206" s="26">
        <v>4.6772095377000165</v>
      </c>
      <c r="O206" s="26">
        <v>28.231032726318681</v>
      </c>
      <c r="P206" s="26">
        <v>6.9242063294545568</v>
      </c>
      <c r="Q206" s="26">
        <v>2.7658143408116165</v>
      </c>
      <c r="R206" s="26">
        <v>26.379559054903112</v>
      </c>
      <c r="S206" s="26">
        <v>15.360692775769328</v>
      </c>
      <c r="T206" s="26">
        <v>24.10146511989209</v>
      </c>
      <c r="U206" s="26">
        <v>8.6861990287644346</v>
      </c>
      <c r="V206" s="27">
        <v>117.12617891361384</v>
      </c>
      <c r="W206" s="27">
        <v>321.00952509003196</v>
      </c>
      <c r="X206" s="26">
        <v>31.46053414348151</v>
      </c>
      <c r="Y206" s="28">
        <v>352.47005923351435</v>
      </c>
      <c r="Z206" s="17" t="str">
        <f>SUBSTITUTE(SUBSTITUTE(SUBSTITUTE(SUBSTITUTE(IF(E206="","",VLOOKUP(E206,[1]Esquemas_NORM!$A$2:$H$126,8,FALSE)),"PROVINCIA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06" s="17" t="str">
        <f>IF($E206="","",INDEX([1]Esquemas_NORM!$H$2:$K$126,MATCH($E206,[1]Esquemas_NORM!$A$2:$A$126,0),MATCH(AA$4,[1]Esquemas_NORM!$H$1:$K$1,0)))</f>
        <v>A la fecha no ha conformado un EAT Región</v>
      </c>
      <c r="AB206" s="17" t="str">
        <f>IF($E206="","",INDEX([1]Esquemas_NORM!$H$2:$K$126,MATCH($E206,[1]Esquemas_NORM!$A$2:$A$126,0),MATCH(AB$4,[1]Esquemas_NORM!$H$1:$K$1,0)))</f>
        <v>A la fecha no ha conformado un EAT Área Metropolitana</v>
      </c>
      <c r="AC206" s="17" t="str">
        <f>IF($E206="","",INDEX([1]Esquemas_NORM!$H$2:$K$126,MATCH($E206,[1]Esquemas_NORM!$A$2:$A$126,0),MATCH(AC$4,[1]Esquemas_NORM!$H$1:$K$1,0)))</f>
        <v>A la fecha no ha conformado un EAT asociación - unión</v>
      </c>
      <c r="AD206" s="23"/>
    </row>
    <row r="207" spans="1:30" x14ac:dyDescent="0.25">
      <c r="A207" s="24">
        <v>2016</v>
      </c>
      <c r="B207" s="25" t="s">
        <v>36</v>
      </c>
      <c r="C207" s="25" t="s">
        <v>200</v>
      </c>
      <c r="D207" s="25" t="s">
        <v>215</v>
      </c>
      <c r="E207" s="25" t="s">
        <v>220</v>
      </c>
      <c r="F207" s="25" t="s">
        <v>203</v>
      </c>
      <c r="G207" s="25" t="s">
        <v>221</v>
      </c>
      <c r="H207" s="26">
        <v>31.546799087951165</v>
      </c>
      <c r="I207" s="26">
        <v>1.0808487733692841E-2</v>
      </c>
      <c r="J207" s="27">
        <v>31.557607575684859</v>
      </c>
      <c r="K207" s="26">
        <v>23.14007330557142</v>
      </c>
      <c r="L207" s="26">
        <v>17.963564691502437</v>
      </c>
      <c r="M207" s="27">
        <v>41.103637997073861</v>
      </c>
      <c r="N207" s="26">
        <v>17.392616855395769</v>
      </c>
      <c r="O207" s="26">
        <v>65.436895469854591</v>
      </c>
      <c r="P207" s="26">
        <v>9.5252778125356539</v>
      </c>
      <c r="Q207" s="26">
        <v>3.5859292280226867</v>
      </c>
      <c r="R207" s="26">
        <v>58.432206765229381</v>
      </c>
      <c r="S207" s="26">
        <v>35.922063071011905</v>
      </c>
      <c r="T207" s="26">
        <v>59.374486166890691</v>
      </c>
      <c r="U207" s="26">
        <v>10.888454719941596</v>
      </c>
      <c r="V207" s="27">
        <v>260.55793008888224</v>
      </c>
      <c r="W207" s="27">
        <v>336.65802657778033</v>
      </c>
      <c r="X207" s="26">
        <v>32.994165319121606</v>
      </c>
      <c r="Y207" s="28">
        <v>369.65219189690202</v>
      </c>
      <c r="Z207" s="17" t="str">
        <f>SUBSTITUTE(SUBSTITUTE(SUBSTITUTE(SUBSTITUTE(IF(E207="","",VLOOKUP(E207,[1]Esquemas_NORM!$A$2:$H$126,8,FALSE)),"PROVINCIA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07" s="17" t="str">
        <f>IF($E207="","",INDEX([1]Esquemas_NORM!$H$2:$K$126,MATCH($E207,[1]Esquemas_NORM!$A$2:$A$126,0),MATCH(AA$4,[1]Esquemas_NORM!$H$1:$K$1,0)))</f>
        <v>A la fecha no ha conformado un EAT Región</v>
      </c>
      <c r="AB207" s="17" t="str">
        <f>IF($E207="","",INDEX([1]Esquemas_NORM!$H$2:$K$126,MATCH($E207,[1]Esquemas_NORM!$A$2:$A$126,0),MATCH(AB$4,[1]Esquemas_NORM!$H$1:$K$1,0)))</f>
        <v>A la fecha no ha conformado un EAT Área Metropolitana</v>
      </c>
      <c r="AC207" s="17" t="str">
        <f>IF($E207="","",INDEX([1]Esquemas_NORM!$H$2:$K$126,MATCH($E207,[1]Esquemas_NORM!$A$2:$A$126,0),MATCH(AC$4,[1]Esquemas_NORM!$H$1:$K$1,0)))</f>
        <v>MUNICIPIOS ASOCIADOS DEL ALTIPLANO DEL ORIENTE ANTIOQUEÑO - MASORA</v>
      </c>
      <c r="AD207" s="23"/>
    </row>
    <row r="208" spans="1:30" x14ac:dyDescent="0.25">
      <c r="A208" s="24">
        <v>2016</v>
      </c>
      <c r="B208" s="25" t="s">
        <v>36</v>
      </c>
      <c r="C208" s="25" t="s">
        <v>200</v>
      </c>
      <c r="D208" s="25" t="s">
        <v>215</v>
      </c>
      <c r="E208" s="25" t="s">
        <v>222</v>
      </c>
      <c r="F208" s="25" t="s">
        <v>203</v>
      </c>
      <c r="G208" s="25" t="s">
        <v>223</v>
      </c>
      <c r="H208" s="26">
        <v>104.527378594103</v>
      </c>
      <c r="I208" s="26">
        <v>0</v>
      </c>
      <c r="J208" s="27">
        <v>104.527378594103</v>
      </c>
      <c r="K208" s="26">
        <v>24.530093654556659</v>
      </c>
      <c r="L208" s="26">
        <v>16.912270522410527</v>
      </c>
      <c r="M208" s="27">
        <v>41.442364176967189</v>
      </c>
      <c r="N208" s="26">
        <v>8.1147215815945852</v>
      </c>
      <c r="O208" s="26">
        <v>75.82458004337056</v>
      </c>
      <c r="P208" s="26">
        <v>8.3695642534920101</v>
      </c>
      <c r="Q208" s="26">
        <v>12.43734674021584</v>
      </c>
      <c r="R208" s="26">
        <v>43.378570858094086</v>
      </c>
      <c r="S208" s="26">
        <v>24.483064731721445</v>
      </c>
      <c r="T208" s="26">
        <v>21.466468959463683</v>
      </c>
      <c r="U208" s="26">
        <v>9.4458309563322924</v>
      </c>
      <c r="V208" s="27">
        <v>203.52014812428447</v>
      </c>
      <c r="W208" s="27">
        <v>359.49454831580817</v>
      </c>
      <c r="X208" s="26">
        <v>35.232258321668574</v>
      </c>
      <c r="Y208" s="28">
        <v>394.7268066374773</v>
      </c>
      <c r="Z208" s="17" t="str">
        <f>SUBSTITUTE(SUBSTITUTE(SUBSTITUTE(SUBSTITUTE(IF(E208="","",VLOOKUP(E208,[1]Esquemas_NORM!$A$2:$H$126,8,FALSE)),"PROVINCIA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08" s="17" t="str">
        <f>IF($E208="","",INDEX([1]Esquemas_NORM!$H$2:$K$126,MATCH($E208,[1]Esquemas_NORM!$A$2:$A$126,0),MATCH(AA$4,[1]Esquemas_NORM!$H$1:$K$1,0)))</f>
        <v>Región de Planeación y Gestión Aeroportuaria de Oriente</v>
      </c>
      <c r="AB208" s="17" t="str">
        <f>IF($E208="","",INDEX([1]Esquemas_NORM!$H$2:$K$126,MATCH($E208,[1]Esquemas_NORM!$A$2:$A$126,0),MATCH(AB$4,[1]Esquemas_NORM!$H$1:$K$1,0)))</f>
        <v>A la fecha no ha conformado un EAT Área Metropolitana</v>
      </c>
      <c r="AC208" s="17" t="str">
        <f>IF($E208="","",INDEX([1]Esquemas_NORM!$H$2:$K$126,MATCH($E208,[1]Esquemas_NORM!$A$2:$A$126,0),MATCH(AC$4,[1]Esquemas_NORM!$H$1:$K$1,0)))</f>
        <v>MUNICIPIOS ASOCIADOS DEL ALTIPLANO DEL ORIENTE ANTIOQUEÑO - MASORA</v>
      </c>
      <c r="AD208" s="23"/>
    </row>
    <row r="209" spans="1:30" x14ac:dyDescent="0.25">
      <c r="A209" s="24">
        <v>2016</v>
      </c>
      <c r="B209" s="25" t="s">
        <v>36</v>
      </c>
      <c r="C209" s="25" t="s">
        <v>200</v>
      </c>
      <c r="D209" s="25" t="s">
        <v>205</v>
      </c>
      <c r="E209" s="25" t="s">
        <v>224</v>
      </c>
      <c r="F209" s="25" t="s">
        <v>203</v>
      </c>
      <c r="G209" s="25" t="s">
        <v>225</v>
      </c>
      <c r="H209" s="26">
        <v>6.8483902704188564</v>
      </c>
      <c r="I209" s="26">
        <v>0</v>
      </c>
      <c r="J209" s="27">
        <v>6.8483902704188564</v>
      </c>
      <c r="K209" s="26">
        <v>3.9986642153287009</v>
      </c>
      <c r="L209" s="26">
        <v>1.9269958794171036</v>
      </c>
      <c r="M209" s="27">
        <v>5.9256600947458047</v>
      </c>
      <c r="N209" s="26">
        <v>1.3968291358911835</v>
      </c>
      <c r="O209" s="26">
        <v>5.2108337285037347</v>
      </c>
      <c r="P209" s="26">
        <v>2.1150539533122377</v>
      </c>
      <c r="Q209" s="26">
        <v>1.7688828600606512</v>
      </c>
      <c r="R209" s="26">
        <v>11.343438205585135</v>
      </c>
      <c r="S209" s="26">
        <v>7.7135759625245361</v>
      </c>
      <c r="T209" s="26">
        <v>22.674604516214806</v>
      </c>
      <c r="U209" s="26">
        <v>1.4367372280821127</v>
      </c>
      <c r="V209" s="27">
        <v>53.659955590174398</v>
      </c>
      <c r="W209" s="27">
        <v>66.768933531052511</v>
      </c>
      <c r="X209" s="26">
        <v>6.5436884232295274</v>
      </c>
      <c r="Y209" s="28">
        <v>73.312621954282136</v>
      </c>
      <c r="Z209" s="17" t="str">
        <f>SUBSTITUTE(SUBSTITUTE(SUBSTITUTE(SUBSTITUTE(IF(E209="","",VLOOKUP(E209,[1]Esquemas_NORM!$A$2:$H$126,8,FALSE)),"PROVINCIA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09" s="17" t="str">
        <f>IF($E209="","",INDEX([1]Esquemas_NORM!$H$2:$K$126,MATCH($E209,[1]Esquemas_NORM!$A$2:$A$126,0),MATCH(AA$4,[1]Esquemas_NORM!$H$1:$K$1,0)))</f>
        <v>A la fecha no ha conformado un EAT Región</v>
      </c>
      <c r="AB209" s="17" t="str">
        <f>IF($E209="","",INDEX([1]Esquemas_NORM!$H$2:$K$126,MATCH($E209,[1]Esquemas_NORM!$A$2:$A$126,0),MATCH(AB$4,[1]Esquemas_NORM!$H$1:$K$1,0)))</f>
        <v>A la fecha no ha conformado un EAT Área Metropolitana</v>
      </c>
      <c r="AC209" s="17" t="str">
        <f>IF($E209="","",INDEX([1]Esquemas_NORM!$H$2:$K$126,MATCH($E209,[1]Esquemas_NORM!$A$2:$A$126,0),MATCH(AC$4,[1]Esquemas_NORM!$H$1:$K$1,0)))</f>
        <v>A la fecha no ha conformado un EAT asociación - unión</v>
      </c>
      <c r="AD209" s="23"/>
    </row>
    <row r="210" spans="1:30" x14ac:dyDescent="0.25">
      <c r="A210" s="24">
        <v>2016</v>
      </c>
      <c r="B210" s="25" t="s">
        <v>36</v>
      </c>
      <c r="C210" s="25" t="s">
        <v>200</v>
      </c>
      <c r="D210" s="25" t="s">
        <v>215</v>
      </c>
      <c r="E210" s="25" t="s">
        <v>226</v>
      </c>
      <c r="F210" s="25" t="s">
        <v>203</v>
      </c>
      <c r="G210" s="25" t="s">
        <v>227</v>
      </c>
      <c r="H210" s="26">
        <v>53.337083037470869</v>
      </c>
      <c r="I210" s="26">
        <v>0</v>
      </c>
      <c r="J210" s="27">
        <v>53.337083037470869</v>
      </c>
      <c r="K210" s="26">
        <v>558.95250614407018</v>
      </c>
      <c r="L210" s="26">
        <v>159.74323415048039</v>
      </c>
      <c r="M210" s="27">
        <v>718.69574029455055</v>
      </c>
      <c r="N210" s="26">
        <v>27.205699094033967</v>
      </c>
      <c r="O210" s="26">
        <v>128.33450675170474</v>
      </c>
      <c r="P210" s="26">
        <v>12.65417715434797</v>
      </c>
      <c r="Q210" s="26">
        <v>15.130211977923411</v>
      </c>
      <c r="R210" s="26">
        <v>80.965465112974542</v>
      </c>
      <c r="S210" s="26">
        <v>74.86049772434518</v>
      </c>
      <c r="T210" s="26">
        <v>24.986399973548945</v>
      </c>
      <c r="U210" s="26">
        <v>14.78675692274977</v>
      </c>
      <c r="V210" s="27">
        <v>378.92371471162852</v>
      </c>
      <c r="W210" s="27">
        <v>1138.7450523466453</v>
      </c>
      <c r="X210" s="26">
        <v>111.60269337817121</v>
      </c>
      <c r="Y210" s="28">
        <v>1250.3477457248164</v>
      </c>
      <c r="Z210" s="17" t="str">
        <f>SUBSTITUTE(SUBSTITUTE(SUBSTITUTE(SUBSTITUTE(IF(E210="","",VLOOKUP(E210,[1]Esquemas_NORM!$A$2:$H$126,8,FALSE)),"PROVINCIA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10" s="17" t="str">
        <f>IF($E210="","",INDEX([1]Esquemas_NORM!$H$2:$K$126,MATCH($E210,[1]Esquemas_NORM!$A$2:$A$126,0),MATCH(AA$4,[1]Esquemas_NORM!$H$1:$K$1,0)))</f>
        <v>A la fecha no ha conformado un EAT Región</v>
      </c>
      <c r="AB210" s="17" t="str">
        <f>IF($E210="","",INDEX([1]Esquemas_NORM!$H$2:$K$126,MATCH($E210,[1]Esquemas_NORM!$A$2:$A$126,0),MATCH(AB$4,[1]Esquemas_NORM!$H$1:$K$1,0)))</f>
        <v>A la fecha no ha conformado un EAT Área Metropolitana</v>
      </c>
      <c r="AC210" s="17" t="str">
        <f>IF($E210="","",INDEX([1]Esquemas_NORM!$H$2:$K$126,MATCH($E210,[1]Esquemas_NORM!$A$2:$A$126,0),MATCH(AC$4,[1]Esquemas_NORM!$H$1:$K$1,0)))</f>
        <v>MUNICIPIOS ASOCIADOS DEL ALTIPLANO DEL ORIENTE ANTIOQUEÑO - MASORA</v>
      </c>
      <c r="AD210" s="23"/>
    </row>
    <row r="211" spans="1:30" x14ac:dyDescent="0.25">
      <c r="A211" s="24">
        <v>2016</v>
      </c>
      <c r="B211" s="25" t="s">
        <v>36</v>
      </c>
      <c r="C211" s="25" t="s">
        <v>200</v>
      </c>
      <c r="D211" s="25" t="s">
        <v>205</v>
      </c>
      <c r="E211" s="25" t="s">
        <v>228</v>
      </c>
      <c r="F211" s="25" t="s">
        <v>203</v>
      </c>
      <c r="G211" s="25" t="s">
        <v>229</v>
      </c>
      <c r="H211" s="26">
        <v>3.9647177061379666</v>
      </c>
      <c r="I211" s="26">
        <v>0</v>
      </c>
      <c r="J211" s="27">
        <v>3.9647177061379666</v>
      </c>
      <c r="K211" s="26">
        <v>2.6382707898358584</v>
      </c>
      <c r="L211" s="26">
        <v>21.537729702281801</v>
      </c>
      <c r="M211" s="27">
        <v>24.176000492117659</v>
      </c>
      <c r="N211" s="26">
        <v>7.1861316110765499</v>
      </c>
      <c r="O211" s="26">
        <v>57.015586856687584</v>
      </c>
      <c r="P211" s="26">
        <v>6.5824697110645509</v>
      </c>
      <c r="Q211" s="26">
        <v>4.2050242566976195</v>
      </c>
      <c r="R211" s="26">
        <v>35.462038846310506</v>
      </c>
      <c r="S211" s="26">
        <v>40.698116490188006</v>
      </c>
      <c r="T211" s="26">
        <v>91.31953476922898</v>
      </c>
      <c r="U211" s="26">
        <v>6.5928807500984385</v>
      </c>
      <c r="V211" s="27">
        <v>249.06178329135221</v>
      </c>
      <c r="W211" s="27">
        <v>278.32705903367594</v>
      </c>
      <c r="X211" s="26">
        <v>27.277439637761937</v>
      </c>
      <c r="Y211" s="28">
        <v>305.60449867143774</v>
      </c>
      <c r="Z211" s="17" t="str">
        <f>SUBSTITUTE(SUBSTITUTE(SUBSTITUTE(SUBSTITUTE(IF(E211="","",VLOOKUP(E211,[1]Esquemas_NORM!$A$2:$H$126,8,FALSE)),"PROVINCIA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11" s="17" t="str">
        <f>IF($E211="","",INDEX([1]Esquemas_NORM!$H$2:$K$126,MATCH($E211,[1]Esquemas_NORM!$A$2:$A$126,0),MATCH(AA$4,[1]Esquemas_NORM!$H$1:$K$1,0)))</f>
        <v>A la fecha no ha conformado un EAT Región</v>
      </c>
      <c r="AB211" s="17" t="str">
        <f>IF($E211="","",INDEX([1]Esquemas_NORM!$H$2:$K$126,MATCH($E211,[1]Esquemas_NORM!$A$2:$A$126,0),MATCH(AB$4,[1]Esquemas_NORM!$H$1:$K$1,0)))</f>
        <v>A la fecha no ha conformado un EAT Área Metropolitana</v>
      </c>
      <c r="AC211" s="17" t="str">
        <f>IF($E211="","",INDEX([1]Esquemas_NORM!$H$2:$K$126,MATCH($E211,[1]Esquemas_NORM!$A$2:$A$126,0),MATCH(AC$4,[1]Esquemas_NORM!$H$1:$K$1,0)))</f>
        <v>A la fecha no ha conformado un EAT asociación - unión</v>
      </c>
      <c r="AD211" s="23"/>
    </row>
    <row r="212" spans="1:30" x14ac:dyDescent="0.25">
      <c r="A212" s="24">
        <v>2016</v>
      </c>
      <c r="B212" s="25" t="s">
        <v>36</v>
      </c>
      <c r="C212" s="25" t="s">
        <v>200</v>
      </c>
      <c r="D212" s="25" t="s">
        <v>215</v>
      </c>
      <c r="E212" s="25" t="s">
        <v>230</v>
      </c>
      <c r="F212" s="25" t="s">
        <v>203</v>
      </c>
      <c r="G212" s="25" t="s">
        <v>231</v>
      </c>
      <c r="H212" s="26">
        <v>32.36272063674781</v>
      </c>
      <c r="I212" s="26">
        <v>0</v>
      </c>
      <c r="J212" s="27">
        <v>32.36272063674781</v>
      </c>
      <c r="K212" s="26">
        <v>55.536091671033446</v>
      </c>
      <c r="L212" s="26">
        <v>30.807062425757639</v>
      </c>
      <c r="M212" s="27">
        <v>86.343154096791082</v>
      </c>
      <c r="N212" s="26">
        <v>35.230929501657634</v>
      </c>
      <c r="O212" s="26">
        <v>150.35173984873936</v>
      </c>
      <c r="P212" s="26">
        <v>16.941115159351444</v>
      </c>
      <c r="Q212" s="26">
        <v>24.822794631322296</v>
      </c>
      <c r="R212" s="26">
        <v>111.42155417163501</v>
      </c>
      <c r="S212" s="26">
        <v>52.357597504991872</v>
      </c>
      <c r="T212" s="26">
        <v>45.372397708176898</v>
      </c>
      <c r="U212" s="26">
        <v>21.63429456185548</v>
      </c>
      <c r="V212" s="27">
        <v>458.13242308772999</v>
      </c>
      <c r="W212" s="27">
        <v>579.84878903074673</v>
      </c>
      <c r="X212" s="26">
        <v>56.828072688038858</v>
      </c>
      <c r="Y212" s="28">
        <v>636.67686171878574</v>
      </c>
      <c r="Z212" s="17" t="str">
        <f>SUBSTITUTE(SUBSTITUTE(SUBSTITUTE(SUBSTITUTE(IF(E212="","",VLOOKUP(E212,[1]Esquemas_NORM!$A$2:$H$126,8,FALSE)),"PROVINCIA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12" s="17" t="str">
        <f>IF($E212="","",INDEX([1]Esquemas_NORM!$H$2:$K$126,MATCH($E212,[1]Esquemas_NORM!$A$2:$A$126,0),MATCH(AA$4,[1]Esquemas_NORM!$H$1:$K$1,0)))</f>
        <v>Región de Planeación y Gestión Aeroportuaria de Oriente</v>
      </c>
      <c r="AB212" s="17" t="str">
        <f>IF($E212="","",INDEX([1]Esquemas_NORM!$H$2:$K$126,MATCH($E212,[1]Esquemas_NORM!$A$2:$A$126,0),MATCH(AB$4,[1]Esquemas_NORM!$H$1:$K$1,0)))</f>
        <v>A la fecha no ha conformado un EAT Área Metropolitana</v>
      </c>
      <c r="AC212" s="17" t="str">
        <f>IF($E212="","",INDEX([1]Esquemas_NORM!$H$2:$K$126,MATCH($E212,[1]Esquemas_NORM!$A$2:$A$126,0),MATCH(AC$4,[1]Esquemas_NORM!$H$1:$K$1,0)))</f>
        <v>MUNICIPIOS ASOCIADOS DEL ALTIPLANO DEL ORIENTE ANTIOQUEÑO - MASORA</v>
      </c>
      <c r="AD212" s="23"/>
    </row>
    <row r="213" spans="1:30" x14ac:dyDescent="0.25">
      <c r="A213" s="24">
        <v>2016</v>
      </c>
      <c r="B213" s="25" t="s">
        <v>36</v>
      </c>
      <c r="C213" s="25" t="s">
        <v>200</v>
      </c>
      <c r="D213" s="25" t="s">
        <v>215</v>
      </c>
      <c r="E213" s="25" t="s">
        <v>232</v>
      </c>
      <c r="F213" s="25" t="s">
        <v>203</v>
      </c>
      <c r="G213" s="25" t="s">
        <v>233</v>
      </c>
      <c r="H213" s="26">
        <v>19.211852846900925</v>
      </c>
      <c r="I213" s="26">
        <v>8.213239141012961E-2</v>
      </c>
      <c r="J213" s="27">
        <v>19.293985238311055</v>
      </c>
      <c r="K213" s="26">
        <v>19.113144478333094</v>
      </c>
      <c r="L213" s="26">
        <v>5.6598136846384826</v>
      </c>
      <c r="M213" s="27">
        <v>24.772958162971577</v>
      </c>
      <c r="N213" s="26">
        <v>6.9049112363756624</v>
      </c>
      <c r="O213" s="26">
        <v>39.410819032361836</v>
      </c>
      <c r="P213" s="26">
        <v>5.1047074029925685</v>
      </c>
      <c r="Q213" s="26">
        <v>6.9077769718635951</v>
      </c>
      <c r="R213" s="26">
        <v>18.668762889050804</v>
      </c>
      <c r="S213" s="26">
        <v>17.16075750331261</v>
      </c>
      <c r="T213" s="26">
        <v>42.568482102814173</v>
      </c>
      <c r="U213" s="26">
        <v>6.3480327583919571</v>
      </c>
      <c r="V213" s="27">
        <v>143.07424989716318</v>
      </c>
      <c r="W213" s="27">
        <v>188.80642522713688</v>
      </c>
      <c r="X213" s="26">
        <v>18.503971138253707</v>
      </c>
      <c r="Y213" s="28">
        <v>207.31039636539063</v>
      </c>
      <c r="Z213" s="17" t="str">
        <f>SUBSTITUTE(SUBSTITUTE(SUBSTITUTE(SUBSTITUTE(IF(E213="","",VLOOKUP(E213,[1]Esquemas_NORM!$A$2:$H$126,8,FALSE)),"PROVINCIA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213" s="17" t="str">
        <f>IF($E213="","",INDEX([1]Esquemas_NORM!$H$2:$K$126,MATCH($E213,[1]Esquemas_NORM!$A$2:$A$126,0),MATCH(AA$4,[1]Esquemas_NORM!$H$1:$K$1,0)))</f>
        <v>Región de Planeación y Gestión Aeroportuaria de Oriente</v>
      </c>
      <c r="AB213" s="17" t="str">
        <f>IF($E213="","",INDEX([1]Esquemas_NORM!$H$2:$K$126,MATCH($E213,[1]Esquemas_NORM!$A$2:$A$126,0),MATCH(AB$4,[1]Esquemas_NORM!$H$1:$K$1,0)))</f>
        <v>A la fecha no ha conformado un EAT Área Metropolitana</v>
      </c>
      <c r="AC213" s="17" t="str">
        <f>IF($E213="","",INDEX([1]Esquemas_NORM!$H$2:$K$126,MATCH($E213,[1]Esquemas_NORM!$A$2:$A$126,0),MATCH(AC$4,[1]Esquemas_NORM!$H$1:$K$1,0)))</f>
        <v>MUNICIPIOS ASOCIADOS DEL ALTIPLANO DEL ORIENTE ANTIOQUEÑO - MASORA</v>
      </c>
      <c r="AD213" s="23"/>
    </row>
    <row r="214" spans="1:30" x14ac:dyDescent="0.25">
      <c r="A214" s="24">
        <v>2016</v>
      </c>
      <c r="B214" s="25" t="s">
        <v>36</v>
      </c>
      <c r="C214" s="25" t="s">
        <v>200</v>
      </c>
      <c r="D214" s="25" t="s">
        <v>215</v>
      </c>
      <c r="E214" s="25" t="s">
        <v>234</v>
      </c>
      <c r="F214" s="25" t="s">
        <v>203</v>
      </c>
      <c r="G214" s="25" t="s">
        <v>235</v>
      </c>
      <c r="H214" s="26">
        <v>129.97558932241762</v>
      </c>
      <c r="I214" s="26">
        <v>0</v>
      </c>
      <c r="J214" s="27">
        <v>129.97558932241762</v>
      </c>
      <c r="K214" s="26">
        <v>209.27393012252043</v>
      </c>
      <c r="L214" s="26">
        <v>57.071950115284203</v>
      </c>
      <c r="M214" s="27">
        <v>266.34588023780464</v>
      </c>
      <c r="N214" s="26">
        <v>27.228857933635894</v>
      </c>
      <c r="O214" s="26">
        <v>145.91542163620693</v>
      </c>
      <c r="P214" s="26">
        <v>24.117109095323734</v>
      </c>
      <c r="Q214" s="26">
        <v>29.997538324074842</v>
      </c>
      <c r="R214" s="26">
        <v>88.896074728215837</v>
      </c>
      <c r="S214" s="26">
        <v>62.027730488332644</v>
      </c>
      <c r="T214" s="26">
        <v>32.716924787842622</v>
      </c>
      <c r="U214" s="26">
        <v>19.828954852903294</v>
      </c>
      <c r="V214" s="27">
        <v>430.72861184653578</v>
      </c>
      <c r="W214" s="27">
        <v>833.64071394593589</v>
      </c>
      <c r="X214" s="26">
        <v>81.700946839971593</v>
      </c>
      <c r="Y214" s="28">
        <v>915.34166078590806</v>
      </c>
      <c r="Z214" s="17" t="str">
        <f>SUBSTITUTE(SUBSTITUTE(SUBSTITUTE(SUBSTITUTE(IF(E214="","",VLOOKUP(E214,[1]Esquemas_NORM!$A$2:$H$126,8,FALSE)),"PROVINCIA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14" s="17" t="str">
        <f>IF($E214="","",INDEX([1]Esquemas_NORM!$H$2:$K$126,MATCH($E214,[1]Esquemas_NORM!$A$2:$A$126,0),MATCH(AA$4,[1]Esquemas_NORM!$H$1:$K$1,0)))</f>
        <v>A la fecha no ha conformado un EAT Región</v>
      </c>
      <c r="AB214" s="17" t="str">
        <f>IF($E214="","",INDEX([1]Esquemas_NORM!$H$2:$K$126,MATCH($E214,[1]Esquemas_NORM!$A$2:$A$126,0),MATCH(AB$4,[1]Esquemas_NORM!$H$1:$K$1,0)))</f>
        <v>A la fecha no ha conformado un EAT Área Metropolitana</v>
      </c>
      <c r="AC214" s="17" t="str">
        <f>IF($E214="","",INDEX([1]Esquemas_NORM!$H$2:$K$126,MATCH($E214,[1]Esquemas_NORM!$A$2:$A$126,0),MATCH(AC$4,[1]Esquemas_NORM!$H$1:$K$1,0)))</f>
        <v>MUNICIPIOS ASOCIADOS DEL ALTIPLANO DEL ORIENTE ANTIOQUEÑO - MASORA</v>
      </c>
      <c r="AD214" s="23"/>
    </row>
    <row r="215" spans="1:30" x14ac:dyDescent="0.25">
      <c r="A215" s="24">
        <v>2016</v>
      </c>
      <c r="B215" s="25" t="s">
        <v>36</v>
      </c>
      <c r="C215" s="25" t="s">
        <v>200</v>
      </c>
      <c r="D215" s="25" t="s">
        <v>201</v>
      </c>
      <c r="E215" s="25" t="s">
        <v>236</v>
      </c>
      <c r="F215" s="25" t="s">
        <v>203</v>
      </c>
      <c r="G215" s="25" t="s">
        <v>237</v>
      </c>
      <c r="H215" s="26">
        <v>15.969221308560975</v>
      </c>
      <c r="I215" s="26">
        <v>0.30985588966578237</v>
      </c>
      <c r="J215" s="27">
        <v>16.279077198226759</v>
      </c>
      <c r="K215" s="26">
        <v>0.81929150768555903</v>
      </c>
      <c r="L215" s="26">
        <v>10.784479520879772</v>
      </c>
      <c r="M215" s="27">
        <v>11.603771028565331</v>
      </c>
      <c r="N215" s="26">
        <v>0.21159645234144916</v>
      </c>
      <c r="O215" s="26">
        <v>2.4676900198682241</v>
      </c>
      <c r="P215" s="26">
        <v>2.1356738549525986</v>
      </c>
      <c r="Q215" s="26">
        <v>0.4799272348195362</v>
      </c>
      <c r="R215" s="26">
        <v>1.9037471282143399</v>
      </c>
      <c r="S215" s="26">
        <v>8.2442881704990327</v>
      </c>
      <c r="T215" s="26">
        <v>40.914687307021303</v>
      </c>
      <c r="U215" s="26">
        <v>0.44352424993567824</v>
      </c>
      <c r="V215" s="27">
        <v>56.801134417652165</v>
      </c>
      <c r="W215" s="27">
        <v>85.991349765609144</v>
      </c>
      <c r="X215" s="26">
        <v>8.4275810650402878</v>
      </c>
      <c r="Y215" s="28">
        <v>94.418930830649487</v>
      </c>
      <c r="Z215" s="17" t="str">
        <f>SUBSTITUTE(SUBSTITUTE(SUBSTITUTE(SUBSTITUTE(IF(E215="","",VLOOKUP(E215,[1]Esquemas_NORM!$A$2:$H$126,8,FALSE)),"PROVINCIA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215" s="17" t="str">
        <f>IF($E215="","",INDEX([1]Esquemas_NORM!$H$2:$K$126,MATCH($E215,[1]Esquemas_NORM!$A$2:$A$126,0),MATCH(AA$4,[1]Esquemas_NORM!$H$1:$K$1,0)))</f>
        <v>A la fecha no ha conformado un EAT Región</v>
      </c>
      <c r="AB215" s="17" t="str">
        <f>IF($E215="","",INDEX([1]Esquemas_NORM!$H$2:$K$126,MATCH($E215,[1]Esquemas_NORM!$A$2:$A$126,0),MATCH(AB$4,[1]Esquemas_NORM!$H$1:$K$1,0)))</f>
        <v>A la fecha no ha conformado un EAT Área Metropolitana</v>
      </c>
      <c r="AC215" s="17" t="str">
        <f>IF($E215="","",INDEX([1]Esquemas_NORM!$H$2:$K$126,MATCH($E215,[1]Esquemas_NORM!$A$2:$A$126,0),MATCH(AC$4,[1]Esquemas_NORM!$H$1:$K$1,0)))</f>
        <v>MUNICIPIOS UNIDOS DEL SUR DE ANTIOQUIA - MUSA</v>
      </c>
      <c r="AD215" s="23"/>
    </row>
    <row r="216" spans="1:30" x14ac:dyDescent="0.25">
      <c r="A216" s="24">
        <v>2016</v>
      </c>
      <c r="B216" s="25" t="s">
        <v>36</v>
      </c>
      <c r="C216" s="25" t="s">
        <v>200</v>
      </c>
      <c r="D216" s="25" t="s">
        <v>215</v>
      </c>
      <c r="E216" s="25" t="s">
        <v>238</v>
      </c>
      <c r="F216" s="25" t="s">
        <v>203</v>
      </c>
      <c r="G216" s="25" t="s">
        <v>239</v>
      </c>
      <c r="H216" s="26">
        <v>40.760674663560899</v>
      </c>
      <c r="I216" s="26">
        <v>0.13915980795606336</v>
      </c>
      <c r="J216" s="27">
        <v>40.899834471516961</v>
      </c>
      <c r="K216" s="26">
        <v>1267.4605213714067</v>
      </c>
      <c r="L216" s="26">
        <v>189.56964358028253</v>
      </c>
      <c r="M216" s="27">
        <v>1457.0301649516891</v>
      </c>
      <c r="N216" s="26">
        <v>90.182870670993765</v>
      </c>
      <c r="O216" s="26">
        <v>470.22397867743177</v>
      </c>
      <c r="P216" s="26">
        <v>28.018003089402185</v>
      </c>
      <c r="Q216" s="26">
        <v>64.641144807024233</v>
      </c>
      <c r="R216" s="26">
        <v>216.01864677864134</v>
      </c>
      <c r="S216" s="26">
        <v>220.86248142495921</v>
      </c>
      <c r="T216" s="26">
        <v>148.43510976219974</v>
      </c>
      <c r="U216" s="26">
        <v>40.091357207851978</v>
      </c>
      <c r="V216" s="27">
        <v>1278.4735924185045</v>
      </c>
      <c r="W216" s="27">
        <v>2747.4064826362887</v>
      </c>
      <c r="X216" s="26">
        <v>269.25953498987184</v>
      </c>
      <c r="Y216" s="28">
        <v>3016.6660176261598</v>
      </c>
      <c r="Z216" s="17" t="str">
        <f>SUBSTITUTE(SUBSTITUTE(SUBSTITUTE(SUBSTITUTE(IF(E216="","",VLOOKUP(E216,[1]Esquemas_NORM!$A$2:$H$126,8,FALSE)),"PROVINCIA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16" s="17" t="str">
        <f>IF($E216="","",INDEX([1]Esquemas_NORM!$H$2:$K$126,MATCH($E216,[1]Esquemas_NORM!$A$2:$A$126,0),MATCH(AA$4,[1]Esquemas_NORM!$H$1:$K$1,0)))</f>
        <v>Región de Planeación y Gestión Aeroportuaria de Oriente</v>
      </c>
      <c r="AB216" s="17" t="str">
        <f>IF($E216="","",INDEX([1]Esquemas_NORM!$H$2:$K$126,MATCH($E216,[1]Esquemas_NORM!$A$2:$A$126,0),MATCH(AB$4,[1]Esquemas_NORM!$H$1:$K$1,0)))</f>
        <v>A la fecha no ha conformado un EAT Área Metropolitana</v>
      </c>
      <c r="AC216" s="17" t="str">
        <f>IF($E216="","",INDEX([1]Esquemas_NORM!$H$2:$K$126,MATCH($E216,[1]Esquemas_NORM!$A$2:$A$126,0),MATCH(AC$4,[1]Esquemas_NORM!$H$1:$K$1,0)))</f>
        <v>MUNICIPIOS ASOCIADOS DEL ALTIPLANO DEL ORIENTE ANTIOQUEÑO - MASORA</v>
      </c>
      <c r="AD216" s="23"/>
    </row>
    <row r="217" spans="1:30" x14ac:dyDescent="0.25">
      <c r="A217" s="24">
        <v>2016</v>
      </c>
      <c r="B217" s="25" t="s">
        <v>36</v>
      </c>
      <c r="C217" s="25" t="s">
        <v>200</v>
      </c>
      <c r="D217" s="25" t="s">
        <v>205</v>
      </c>
      <c r="E217" s="25" t="s">
        <v>240</v>
      </c>
      <c r="F217" s="25" t="s">
        <v>203</v>
      </c>
      <c r="G217" s="25" t="s">
        <v>241</v>
      </c>
      <c r="H217" s="26">
        <v>15.130393709017348</v>
      </c>
      <c r="I217" s="26">
        <v>15.731158104272597</v>
      </c>
      <c r="J217" s="27">
        <v>30.861551813289942</v>
      </c>
      <c r="K217" s="26">
        <v>45.184170561184438</v>
      </c>
      <c r="L217" s="26">
        <v>8.8549293072806385</v>
      </c>
      <c r="M217" s="27">
        <v>54.039099868465073</v>
      </c>
      <c r="N217" s="26">
        <v>447.43400193905131</v>
      </c>
      <c r="O217" s="26">
        <v>18.307059190359347</v>
      </c>
      <c r="P217" s="26">
        <v>11.847828998923097</v>
      </c>
      <c r="Q217" s="26">
        <v>2.8713615364962011</v>
      </c>
      <c r="R217" s="26">
        <v>14.346058126294359</v>
      </c>
      <c r="S217" s="26">
        <v>17.265823923100221</v>
      </c>
      <c r="T217" s="26">
        <v>16.562115384433863</v>
      </c>
      <c r="U217" s="26">
        <v>3.1379071857610339</v>
      </c>
      <c r="V217" s="27">
        <v>531.77215628441934</v>
      </c>
      <c r="W217" s="27">
        <v>631.36094734435039</v>
      </c>
      <c r="X217" s="26">
        <v>61.876521063452486</v>
      </c>
      <c r="Y217" s="28">
        <v>693.23746840780257</v>
      </c>
      <c r="Z217" s="17" t="str">
        <f>SUBSTITUTE(SUBSTITUTE(SUBSTITUTE(SUBSTITUTE(IF(E217="","",VLOOKUP(E217,[1]Esquemas_NORM!$A$2:$H$126,8,FALSE)),"PROVINCIA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17" s="17" t="str">
        <f>IF($E217="","",INDEX([1]Esquemas_NORM!$H$2:$K$126,MATCH($E217,[1]Esquemas_NORM!$A$2:$A$126,0),MATCH(AA$4,[1]Esquemas_NORM!$H$1:$K$1,0)))</f>
        <v>A la fecha no ha conformado un EAT Región</v>
      </c>
      <c r="AB217" s="17" t="str">
        <f>IF($E217="","",INDEX([1]Esquemas_NORM!$H$2:$K$126,MATCH($E217,[1]Esquemas_NORM!$A$2:$A$126,0),MATCH(AB$4,[1]Esquemas_NORM!$H$1:$K$1,0)))</f>
        <v>A la fecha no ha conformado un EAT Área Metropolitana</v>
      </c>
      <c r="AC217" s="17" t="str">
        <f>IF($E217="","",INDEX([1]Esquemas_NORM!$H$2:$K$126,MATCH($E217,[1]Esquemas_NORM!$A$2:$A$126,0),MATCH(AC$4,[1]Esquemas_NORM!$H$1:$K$1,0)))</f>
        <v>A la fecha no ha conformado un EAT asociación - unión</v>
      </c>
      <c r="AD217" s="23"/>
    </row>
    <row r="218" spans="1:30" x14ac:dyDescent="0.25">
      <c r="A218" s="24">
        <v>2016</v>
      </c>
      <c r="B218" s="25" t="s">
        <v>36</v>
      </c>
      <c r="C218" s="25" t="s">
        <v>200</v>
      </c>
      <c r="D218" s="25" t="s">
        <v>210</v>
      </c>
      <c r="E218" s="25" t="s">
        <v>242</v>
      </c>
      <c r="F218" s="25" t="s">
        <v>203</v>
      </c>
      <c r="G218" s="25" t="s">
        <v>243</v>
      </c>
      <c r="H218" s="26">
        <v>5.1956477119312616</v>
      </c>
      <c r="I218" s="26">
        <v>2.0745119941511763</v>
      </c>
      <c r="J218" s="27">
        <v>7.2701597060824383</v>
      </c>
      <c r="K218" s="26">
        <v>1.3155073357930154</v>
      </c>
      <c r="L218" s="26">
        <v>4.31674090208225</v>
      </c>
      <c r="M218" s="27">
        <v>5.632248237875265</v>
      </c>
      <c r="N218" s="26">
        <v>0.52212449033055175</v>
      </c>
      <c r="O218" s="26">
        <v>6.137229526301768</v>
      </c>
      <c r="P218" s="26">
        <v>15.827696199335687</v>
      </c>
      <c r="Q218" s="26">
        <v>1.0158536820315873</v>
      </c>
      <c r="R218" s="26">
        <v>4.7772054639227379</v>
      </c>
      <c r="S218" s="26">
        <v>5.0779542148938814</v>
      </c>
      <c r="T218" s="26">
        <v>18.232773550627389</v>
      </c>
      <c r="U218" s="26">
        <v>1.063042326086761</v>
      </c>
      <c r="V218" s="27">
        <v>52.653879453530365</v>
      </c>
      <c r="W218" s="27">
        <v>65.919037010599993</v>
      </c>
      <c r="X218" s="26">
        <v>6.460394326298335</v>
      </c>
      <c r="Y218" s="28">
        <v>72.37943133689825</v>
      </c>
      <c r="Z218" s="17" t="str">
        <f>SUBSTITUTE(SUBSTITUTE(SUBSTITUTE(SUBSTITUTE(IF(E218="","",VLOOKUP(E218,[1]Esquemas_NORM!$A$2:$H$126,8,FALSE)),"PROVINCIA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18" s="17" t="str">
        <f>IF($E218="","",INDEX([1]Esquemas_NORM!$H$2:$K$126,MATCH($E218,[1]Esquemas_NORM!$A$2:$A$126,0),MATCH(AA$4,[1]Esquemas_NORM!$H$1:$K$1,0)))</f>
        <v>A la fecha no ha conformado un EAT Región</v>
      </c>
      <c r="AB218" s="17" t="str">
        <f>IF($E218="","",INDEX([1]Esquemas_NORM!$H$2:$K$126,MATCH($E218,[1]Esquemas_NORM!$A$2:$A$126,0),MATCH(AB$4,[1]Esquemas_NORM!$H$1:$K$1,0)))</f>
        <v>A la fecha no ha conformado un EAT Área Metropolitana</v>
      </c>
      <c r="AC218" s="17" t="str">
        <f>IF($E218="","",INDEX([1]Esquemas_NORM!$H$2:$K$126,MATCH($E218,[1]Esquemas_NORM!$A$2:$A$126,0),MATCH(AC$4,[1]Esquemas_NORM!$H$1:$K$1,0)))</f>
        <v>A la fecha no ha conformado un EAT asociación - unión</v>
      </c>
      <c r="AD218" s="23"/>
    </row>
    <row r="219" spans="1:30" x14ac:dyDescent="0.25">
      <c r="A219" s="24">
        <v>2016</v>
      </c>
      <c r="B219" s="25" t="s">
        <v>36</v>
      </c>
      <c r="C219" s="25" t="s">
        <v>200</v>
      </c>
      <c r="D219" s="25" t="s">
        <v>210</v>
      </c>
      <c r="E219" s="25" t="s">
        <v>244</v>
      </c>
      <c r="F219" s="25" t="s">
        <v>203</v>
      </c>
      <c r="G219" s="25" t="s">
        <v>245</v>
      </c>
      <c r="H219" s="26">
        <v>9.6637016746911932</v>
      </c>
      <c r="I219" s="26">
        <v>4.9252455865805178</v>
      </c>
      <c r="J219" s="27">
        <v>14.588947261271711</v>
      </c>
      <c r="K219" s="26">
        <v>2.2200802575932599</v>
      </c>
      <c r="L219" s="26">
        <v>7.3509556377268392</v>
      </c>
      <c r="M219" s="27">
        <v>9.5710358953200991</v>
      </c>
      <c r="N219" s="26">
        <v>2.4796995248523759</v>
      </c>
      <c r="O219" s="26">
        <v>17.260490506790241</v>
      </c>
      <c r="P219" s="26">
        <v>5.9593583611236944</v>
      </c>
      <c r="Q219" s="26">
        <v>2.8418988833494354</v>
      </c>
      <c r="R219" s="26">
        <v>9.4784455834041594</v>
      </c>
      <c r="S219" s="26">
        <v>17.328973258596797</v>
      </c>
      <c r="T219" s="26">
        <v>18.015418000042743</v>
      </c>
      <c r="U219" s="26">
        <v>3.3645552304703532</v>
      </c>
      <c r="V219" s="27">
        <v>76.728839348629805</v>
      </c>
      <c r="W219" s="27">
        <v>101.9490704492998</v>
      </c>
      <c r="X219" s="26">
        <v>9.9915172637606151</v>
      </c>
      <c r="Y219" s="28">
        <v>111.94058771306038</v>
      </c>
      <c r="Z219" s="17" t="str">
        <f>SUBSTITUTE(SUBSTITUTE(SUBSTITUTE(SUBSTITUTE(IF(E219="","",VLOOKUP(E219,[1]Esquemas_NORM!$A$2:$H$126,8,FALSE)),"PROVINCIA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19" s="17" t="str">
        <f>IF($E219="","",INDEX([1]Esquemas_NORM!$H$2:$K$126,MATCH($E219,[1]Esquemas_NORM!$A$2:$A$126,0),MATCH(AA$4,[1]Esquemas_NORM!$H$1:$K$1,0)))</f>
        <v>A la fecha no ha conformado un EAT Región</v>
      </c>
      <c r="AB219" s="17" t="str">
        <f>IF($E219="","",INDEX([1]Esquemas_NORM!$H$2:$K$126,MATCH($E219,[1]Esquemas_NORM!$A$2:$A$126,0),MATCH(AB$4,[1]Esquemas_NORM!$H$1:$K$1,0)))</f>
        <v>A la fecha no ha conformado un EAT Área Metropolitana</v>
      </c>
      <c r="AC219" s="17" t="str">
        <f>IF($E219="","",INDEX([1]Esquemas_NORM!$H$2:$K$126,MATCH($E219,[1]Esquemas_NORM!$A$2:$A$126,0),MATCH(AC$4,[1]Esquemas_NORM!$H$1:$K$1,0)))</f>
        <v>A la fecha no ha conformado un EAT asociación - unión</v>
      </c>
      <c r="AD219" s="23"/>
    </row>
    <row r="220" spans="1:30" x14ac:dyDescent="0.25">
      <c r="A220" s="24">
        <v>2016</v>
      </c>
      <c r="B220" s="25" t="s">
        <v>36</v>
      </c>
      <c r="C220" s="25" t="s">
        <v>200</v>
      </c>
      <c r="D220" s="25" t="s">
        <v>205</v>
      </c>
      <c r="E220" s="25" t="s">
        <v>246</v>
      </c>
      <c r="F220" s="25" t="s">
        <v>203</v>
      </c>
      <c r="G220" s="25" t="s">
        <v>247</v>
      </c>
      <c r="H220" s="26">
        <v>10.070477967706889</v>
      </c>
      <c r="I220" s="26">
        <v>0</v>
      </c>
      <c r="J220" s="27">
        <v>10.070477967706889</v>
      </c>
      <c r="K220" s="26">
        <v>1.5186059269645042</v>
      </c>
      <c r="L220" s="26">
        <v>14.428930462507891</v>
      </c>
      <c r="M220" s="27">
        <v>15.947536389472395</v>
      </c>
      <c r="N220" s="26">
        <v>88.208857523626392</v>
      </c>
      <c r="O220" s="26">
        <v>9.9848704414763212</v>
      </c>
      <c r="P220" s="26">
        <v>7.6946779000447965</v>
      </c>
      <c r="Q220" s="26">
        <v>1.7499333650564999</v>
      </c>
      <c r="R220" s="26">
        <v>9.3895053922027767</v>
      </c>
      <c r="S220" s="26">
        <v>5.6431102588484645</v>
      </c>
      <c r="T220" s="26">
        <v>13.999747416683141</v>
      </c>
      <c r="U220" s="26">
        <v>1.823132292493304</v>
      </c>
      <c r="V220" s="27">
        <v>138.4938345904317</v>
      </c>
      <c r="W220" s="27">
        <v>168.01743983254764</v>
      </c>
      <c r="X220" s="26">
        <v>16.466546907206652</v>
      </c>
      <c r="Y220" s="28">
        <v>184.48398673975433</v>
      </c>
      <c r="Z220" s="17" t="str">
        <f>SUBSTITUTE(SUBSTITUTE(SUBSTITUTE(SUBSTITUTE(IF(E220="","",VLOOKUP(E220,[1]Esquemas_NORM!$A$2:$H$126,8,FALSE)),"PROVINCIA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20" s="17" t="str">
        <f>IF($E220="","",INDEX([1]Esquemas_NORM!$H$2:$K$126,MATCH($E220,[1]Esquemas_NORM!$A$2:$A$126,0),MATCH(AA$4,[1]Esquemas_NORM!$H$1:$K$1,0)))</f>
        <v>A la fecha no ha conformado un EAT Región</v>
      </c>
      <c r="AB220" s="17" t="str">
        <f>IF($E220="","",INDEX([1]Esquemas_NORM!$H$2:$K$126,MATCH($E220,[1]Esquemas_NORM!$A$2:$A$126,0),MATCH(AB$4,[1]Esquemas_NORM!$H$1:$K$1,0)))</f>
        <v>A la fecha no ha conformado un EAT Área Metropolitana</v>
      </c>
      <c r="AC220" s="17" t="str">
        <f>IF($E220="","",INDEX([1]Esquemas_NORM!$H$2:$K$126,MATCH($E220,[1]Esquemas_NORM!$A$2:$A$126,0),MATCH(AC$4,[1]Esquemas_NORM!$H$1:$K$1,0)))</f>
        <v>A la fecha no ha conformado un EAT asociación - unión</v>
      </c>
      <c r="AD220" s="23"/>
    </row>
    <row r="221" spans="1:30" x14ac:dyDescent="0.25">
      <c r="A221" s="24">
        <v>2016</v>
      </c>
      <c r="B221" s="25" t="s">
        <v>36</v>
      </c>
      <c r="C221" s="25" t="s">
        <v>200</v>
      </c>
      <c r="D221" s="25" t="s">
        <v>215</v>
      </c>
      <c r="E221" s="25" t="s">
        <v>248</v>
      </c>
      <c r="F221" s="25" t="s">
        <v>203</v>
      </c>
      <c r="G221" s="25" t="s">
        <v>249</v>
      </c>
      <c r="H221" s="26">
        <v>67.249585567708678</v>
      </c>
      <c r="I221" s="26">
        <v>0</v>
      </c>
      <c r="J221" s="27">
        <v>67.249585567708678</v>
      </c>
      <c r="K221" s="26">
        <v>4.4030550795560659</v>
      </c>
      <c r="L221" s="26">
        <v>13.426730319562232</v>
      </c>
      <c r="M221" s="27">
        <v>17.829785399118297</v>
      </c>
      <c r="N221" s="26">
        <v>1.8140370580733214</v>
      </c>
      <c r="O221" s="26">
        <v>13.966489096804015</v>
      </c>
      <c r="P221" s="26">
        <v>33.935285713596265</v>
      </c>
      <c r="Q221" s="26">
        <v>1.4858133812383012</v>
      </c>
      <c r="R221" s="26">
        <v>16.848099149057749</v>
      </c>
      <c r="S221" s="26">
        <v>10.392476833473314</v>
      </c>
      <c r="T221" s="26">
        <v>30.910989248462045</v>
      </c>
      <c r="U221" s="26">
        <v>4.5350006386940276</v>
      </c>
      <c r="V221" s="27">
        <v>113.88819111939904</v>
      </c>
      <c r="W221" s="27">
        <v>204.88174823518926</v>
      </c>
      <c r="X221" s="26">
        <v>20.079432951164716</v>
      </c>
      <c r="Y221" s="28">
        <v>224.96118118635434</v>
      </c>
      <c r="Z221" s="17" t="str">
        <f>SUBSTITUTE(SUBSTITUTE(SUBSTITUTE(SUBSTITUTE(IF(E221="","",VLOOKUP(E221,[1]Esquemas_NORM!$A$2:$H$126,8,FALSE)),"PROVINCIA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221" s="17" t="str">
        <f>IF($E221="","",INDEX([1]Esquemas_NORM!$H$2:$K$126,MATCH($E221,[1]Esquemas_NORM!$A$2:$A$126,0),MATCH(AA$4,[1]Esquemas_NORM!$H$1:$K$1,0)))</f>
        <v>A la fecha no ha conformado un EAT Región</v>
      </c>
      <c r="AB221" s="17" t="str">
        <f>IF($E221="","",INDEX([1]Esquemas_NORM!$H$2:$K$126,MATCH($E221,[1]Esquemas_NORM!$A$2:$A$126,0),MATCH(AB$4,[1]Esquemas_NORM!$H$1:$K$1,0)))</f>
        <v>A la fecha no ha conformado un EAT Área Metropolitana</v>
      </c>
      <c r="AC221" s="17" t="str">
        <f>IF($E221="","",INDEX([1]Esquemas_NORM!$H$2:$K$126,MATCH($E221,[1]Esquemas_NORM!$A$2:$A$126,0),MATCH(AC$4,[1]Esquemas_NORM!$H$1:$K$1,0)))</f>
        <v>MUNICIPIOS ASOCIADOS DEL ALTIPLANO DEL ORIENTE ANTIOQUEÑO - MASORA</v>
      </c>
      <c r="AD221" s="23"/>
    </row>
    <row r="222" spans="1:30" x14ac:dyDescent="0.25">
      <c r="A222" s="24">
        <v>2016</v>
      </c>
      <c r="B222" s="25" t="s">
        <v>36</v>
      </c>
      <c r="C222" s="25" t="s">
        <v>200</v>
      </c>
      <c r="D222" s="25" t="s">
        <v>201</v>
      </c>
      <c r="E222" s="25" t="s">
        <v>250</v>
      </c>
      <c r="F222" s="25" t="s">
        <v>203</v>
      </c>
      <c r="G222" s="25" t="s">
        <v>251</v>
      </c>
      <c r="H222" s="26">
        <v>98.068286845437484</v>
      </c>
      <c r="I222" s="26">
        <v>14.079106770646526</v>
      </c>
      <c r="J222" s="27">
        <v>112.147393616084</v>
      </c>
      <c r="K222" s="26">
        <v>324.77804888512253</v>
      </c>
      <c r="L222" s="26">
        <v>14.321145917674084</v>
      </c>
      <c r="M222" s="27">
        <v>339.0991948027966</v>
      </c>
      <c r="N222" s="26">
        <v>27.567440331776272</v>
      </c>
      <c r="O222" s="26">
        <v>55.918915172331147</v>
      </c>
      <c r="P222" s="26">
        <v>9.5961761777981156</v>
      </c>
      <c r="Q222" s="26">
        <v>10.532871441627419</v>
      </c>
      <c r="R222" s="26">
        <v>36.417969935311859</v>
      </c>
      <c r="S222" s="26">
        <v>51.709445904806898</v>
      </c>
      <c r="T222" s="26">
        <v>42.478207154404892</v>
      </c>
      <c r="U222" s="26">
        <v>7.9127255967667978</v>
      </c>
      <c r="V222" s="27">
        <v>242.13375171482338</v>
      </c>
      <c r="W222" s="27">
        <v>693.79130060881414</v>
      </c>
      <c r="X222" s="26">
        <v>67.995006986615934</v>
      </c>
      <c r="Y222" s="28">
        <v>761.78630759543012</v>
      </c>
      <c r="Z222" s="17" t="str">
        <f>SUBSTITUTE(SUBSTITUTE(SUBSTITUTE(SUBSTITUTE(IF(E222="","",VLOOKUP(E222,[1]Esquemas_NORM!$A$2:$H$126,8,FALSE)),"PROVINCIA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222" s="17" t="str">
        <f>IF($E222="","",INDEX([1]Esquemas_NORM!$H$2:$K$126,MATCH($E222,[1]Esquemas_NORM!$A$2:$A$126,0),MATCH(AA$4,[1]Esquemas_NORM!$H$1:$K$1,0)))</f>
        <v>A la fecha no ha conformado un EAT Región</v>
      </c>
      <c r="AB222" s="17" t="str">
        <f>IF($E222="","",INDEX([1]Esquemas_NORM!$H$2:$K$126,MATCH($E222,[1]Esquemas_NORM!$A$2:$A$126,0),MATCH(AB$4,[1]Esquemas_NORM!$H$1:$K$1,0)))</f>
        <v>A la fecha no ha conformado un EAT Área Metropolitana</v>
      </c>
      <c r="AC222" s="17" t="str">
        <f>IF($E222="","",INDEX([1]Esquemas_NORM!$H$2:$K$126,MATCH($E222,[1]Esquemas_NORM!$A$2:$A$126,0),MATCH(AC$4,[1]Esquemas_NORM!$H$1:$K$1,0)))</f>
        <v>A la fecha no ha conformado un EAT asociación - unión</v>
      </c>
      <c r="AD222" s="23"/>
    </row>
    <row r="223" spans="1:30" x14ac:dyDescent="0.25">
      <c r="A223" s="24">
        <v>2016</v>
      </c>
      <c r="B223" s="25" t="s">
        <v>36</v>
      </c>
      <c r="C223" s="25" t="s">
        <v>252</v>
      </c>
      <c r="D223" s="25" t="s">
        <v>253</v>
      </c>
      <c r="E223" s="25" t="s">
        <v>254</v>
      </c>
      <c r="F223" s="25" t="s">
        <v>255</v>
      </c>
      <c r="G223" s="25" t="s">
        <v>256</v>
      </c>
      <c r="H223" s="26">
        <v>46.821399968455076</v>
      </c>
      <c r="I223" s="26">
        <v>1.4555797112786482</v>
      </c>
      <c r="J223" s="27">
        <v>48.276979679733721</v>
      </c>
      <c r="K223" s="26">
        <v>69.748590545584591</v>
      </c>
      <c r="L223" s="26">
        <v>22.708948615887039</v>
      </c>
      <c r="M223" s="27">
        <v>92.45753916147163</v>
      </c>
      <c r="N223" s="26">
        <v>12.814480625810354</v>
      </c>
      <c r="O223" s="26">
        <v>48.612957365799559</v>
      </c>
      <c r="P223" s="26">
        <v>9.5147125727933766</v>
      </c>
      <c r="Q223" s="26">
        <v>7.5806874580854773</v>
      </c>
      <c r="R223" s="26">
        <v>24.485367084384027</v>
      </c>
      <c r="S223" s="26">
        <v>26.84738454666963</v>
      </c>
      <c r="T223" s="26">
        <v>55.474042569757025</v>
      </c>
      <c r="U223" s="26">
        <v>7.9617162528716898</v>
      </c>
      <c r="V223" s="27">
        <v>193.29134847617115</v>
      </c>
      <c r="W223" s="27">
        <v>336.83160658552066</v>
      </c>
      <c r="X223" s="26">
        <v>33.011177025419165</v>
      </c>
      <c r="Y223" s="28">
        <v>369.84278361093999</v>
      </c>
      <c r="Z223" s="17" t="str">
        <f>SUBSTITUTE(SUBSTITUTE(SUBSTITUTE(SUBSTITUTE(IF(E223="","",VLOOKUP(E223,[1]Esquemas_NORM!$A$2:$H$126,8,FALSE)),"PROVINCIA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223" s="17" t="str">
        <f>IF($E223="","",INDEX([1]Esquemas_NORM!$H$2:$K$126,MATCH($E223,[1]Esquemas_NORM!$A$2:$A$126,0),MATCH(AA$4,[1]Esquemas_NORM!$H$1:$K$1,0)))</f>
        <v>A la fecha no ha conformado un EAT Región</v>
      </c>
      <c r="AB223" s="17" t="str">
        <f>IF($E223="","",INDEX([1]Esquemas_NORM!$H$2:$K$126,MATCH($E223,[1]Esquemas_NORM!$A$2:$A$126,0),MATCH(AB$4,[1]Esquemas_NORM!$H$1:$K$1,0)))</f>
        <v>A la fecha no ha conformado un EAT Área Metropolitana</v>
      </c>
      <c r="AC223" s="17" t="str">
        <f>IF($E223="","",INDEX([1]Esquemas_NORM!$H$2:$K$126,MATCH($E223,[1]Esquemas_NORM!$A$2:$A$126,0),MATCH(AC$4,[1]Esquemas_NORM!$H$1:$K$1,0)))</f>
        <v>A la fecha no ha conformado un EAT asociación - unión</v>
      </c>
      <c r="AD223" s="23"/>
    </row>
    <row r="224" spans="1:30" x14ac:dyDescent="0.25">
      <c r="A224" s="24">
        <v>2016</v>
      </c>
      <c r="B224" s="25" t="s">
        <v>36</v>
      </c>
      <c r="C224" s="25" t="s">
        <v>252</v>
      </c>
      <c r="D224" s="25" t="s">
        <v>257</v>
      </c>
      <c r="E224" s="25" t="s">
        <v>258</v>
      </c>
      <c r="F224" s="25" t="s">
        <v>255</v>
      </c>
      <c r="G224" s="25" t="s">
        <v>259</v>
      </c>
      <c r="H224" s="26">
        <v>85.826745981954176</v>
      </c>
      <c r="I224" s="26">
        <v>40.37572278721391</v>
      </c>
      <c r="J224" s="27">
        <v>126.20246876916809</v>
      </c>
      <c r="K224" s="26">
        <v>86.440561345144673</v>
      </c>
      <c r="L224" s="26">
        <v>112.12618098359921</v>
      </c>
      <c r="M224" s="27">
        <v>198.56674232874389</v>
      </c>
      <c r="N224" s="26">
        <v>10.683534713654026</v>
      </c>
      <c r="O224" s="26">
        <v>105.38563984071261</v>
      </c>
      <c r="P224" s="26">
        <v>11.926994664311584</v>
      </c>
      <c r="Q224" s="26">
        <v>24.279385849476778</v>
      </c>
      <c r="R224" s="26">
        <v>33.823115748814971</v>
      </c>
      <c r="S224" s="26">
        <v>51.859045587561141</v>
      </c>
      <c r="T224" s="26">
        <v>37.914320146847835</v>
      </c>
      <c r="U224" s="26">
        <v>13.392676097431362</v>
      </c>
      <c r="V224" s="27">
        <v>289.2647126488103</v>
      </c>
      <c r="W224" s="27">
        <v>620.09451325782857</v>
      </c>
      <c r="X224" s="26">
        <v>60.772354343928214</v>
      </c>
      <c r="Y224" s="28">
        <v>680.86686760175655</v>
      </c>
      <c r="Z224" s="17" t="str">
        <f>SUBSTITUTE(SUBSTITUTE(SUBSTITUTE(SUBSTITUTE(IF(E224="","",VLOOKUP(E224,[1]Esquemas_NORM!$A$2:$H$126,8,FALSE)),"PROVINCIA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224" s="17" t="str">
        <f>IF($E224="","",INDEX([1]Esquemas_NORM!$H$2:$K$126,MATCH($E224,[1]Esquemas_NORM!$A$2:$A$126,0),MATCH(AA$4,[1]Esquemas_NORM!$H$1:$K$1,0)))</f>
        <v>A la fecha no ha conformado un EAT Región</v>
      </c>
      <c r="AB224" s="17" t="str">
        <f>IF($E224="","",INDEX([1]Esquemas_NORM!$H$2:$K$126,MATCH($E224,[1]Esquemas_NORM!$A$2:$A$126,0),MATCH(AB$4,[1]Esquemas_NORM!$H$1:$K$1,0)))</f>
        <v>A la fecha no ha conformado un EAT Área Metropolitana</v>
      </c>
      <c r="AC224" s="17" t="str">
        <f>IF($E224="","",INDEX([1]Esquemas_NORM!$H$2:$K$126,MATCH($E224,[1]Esquemas_NORM!$A$2:$A$126,0),MATCH(AC$4,[1]Esquemas_NORM!$H$1:$K$1,0)))</f>
        <v>A la fecha no ha conformado un EAT asociación - unión</v>
      </c>
      <c r="AD224" s="23"/>
    </row>
    <row r="225" spans="1:30" x14ac:dyDescent="0.25">
      <c r="A225" s="24">
        <v>2016</v>
      </c>
      <c r="B225" s="25" t="s">
        <v>36</v>
      </c>
      <c r="C225" s="25" t="s">
        <v>252</v>
      </c>
      <c r="D225" s="25" t="s">
        <v>253</v>
      </c>
      <c r="E225" s="25" t="s">
        <v>260</v>
      </c>
      <c r="F225" s="25" t="s">
        <v>255</v>
      </c>
      <c r="G225" s="25" t="s">
        <v>261</v>
      </c>
      <c r="H225" s="26">
        <v>21.054059929256539</v>
      </c>
      <c r="I225" s="26">
        <v>8.2662008236876888E-2</v>
      </c>
      <c r="J225" s="27">
        <v>21.136721937493416</v>
      </c>
      <c r="K225" s="26">
        <v>4.6806585211991942</v>
      </c>
      <c r="L225" s="26">
        <v>1.0849721772407508</v>
      </c>
      <c r="M225" s="27">
        <v>5.7656306984399448</v>
      </c>
      <c r="N225" s="26">
        <v>1.3004439672962733</v>
      </c>
      <c r="O225" s="26">
        <v>8.4548297741503049</v>
      </c>
      <c r="P225" s="26">
        <v>2.7157966684681605</v>
      </c>
      <c r="Q225" s="26">
        <v>0.92149011542866566</v>
      </c>
      <c r="R225" s="26">
        <v>2.7261191971589116</v>
      </c>
      <c r="S225" s="26">
        <v>4.4093805639337829</v>
      </c>
      <c r="T225" s="26">
        <v>12.431954405122802</v>
      </c>
      <c r="U225" s="26">
        <v>1.3593358843282546</v>
      </c>
      <c r="V225" s="27">
        <v>34.31935057588715</v>
      </c>
      <c r="W225" s="27">
        <v>63.23704231233755</v>
      </c>
      <c r="X225" s="26">
        <v>6.1975454723424015</v>
      </c>
      <c r="Y225" s="28">
        <v>69.434587784680062</v>
      </c>
      <c r="Z225" s="17" t="str">
        <f>SUBSTITUTE(SUBSTITUTE(SUBSTITUTE(SUBSTITUTE(IF(E225="","",VLOOKUP(E225,[1]Esquemas_NORM!$A$2:$H$126,8,FALSE)),"PROVINCIA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225" s="17" t="str">
        <f>IF($E225="","",INDEX([1]Esquemas_NORM!$H$2:$K$126,MATCH($E225,[1]Esquemas_NORM!$A$2:$A$126,0),MATCH(AA$4,[1]Esquemas_NORM!$H$1:$K$1,0)))</f>
        <v>A la fecha no ha conformado un EAT Región</v>
      </c>
      <c r="AB225" s="17" t="str">
        <f>IF($E225="","",INDEX([1]Esquemas_NORM!$H$2:$K$126,MATCH($E225,[1]Esquemas_NORM!$A$2:$A$126,0),MATCH(AB$4,[1]Esquemas_NORM!$H$1:$K$1,0)))</f>
        <v>A la fecha no ha conformado un EAT Área Metropolitana</v>
      </c>
      <c r="AC225" s="17" t="str">
        <f>IF($E225="","",INDEX([1]Esquemas_NORM!$H$2:$K$126,MATCH($E225,[1]Esquemas_NORM!$A$2:$A$126,0),MATCH(AC$4,[1]Esquemas_NORM!$H$1:$K$1,0)))</f>
        <v>A la fecha no ha conformado un EAT asociación - unión</v>
      </c>
      <c r="AD225" s="23"/>
    </row>
    <row r="226" spans="1:30" x14ac:dyDescent="0.25">
      <c r="A226" s="24">
        <v>2016</v>
      </c>
      <c r="B226" s="25" t="s">
        <v>36</v>
      </c>
      <c r="C226" s="25" t="s">
        <v>252</v>
      </c>
      <c r="D226" s="25" t="s">
        <v>257</v>
      </c>
      <c r="E226" s="25" t="s">
        <v>262</v>
      </c>
      <c r="F226" s="25" t="s">
        <v>255</v>
      </c>
      <c r="G226" s="25" t="s">
        <v>263</v>
      </c>
      <c r="H226" s="26">
        <v>55.342028930195418</v>
      </c>
      <c r="I226" s="26">
        <v>0</v>
      </c>
      <c r="J226" s="27">
        <v>55.342028930195418</v>
      </c>
      <c r="K226" s="26">
        <v>5.569920469919059</v>
      </c>
      <c r="L226" s="26">
        <v>6.9348381970413451</v>
      </c>
      <c r="M226" s="27">
        <v>12.504758666960404</v>
      </c>
      <c r="N226" s="26">
        <v>3.4335765990190317</v>
      </c>
      <c r="O226" s="26">
        <v>12.240068470987209</v>
      </c>
      <c r="P226" s="26">
        <v>3.880902554764583</v>
      </c>
      <c r="Q226" s="26">
        <v>2.415692366119301</v>
      </c>
      <c r="R226" s="26">
        <v>6.0770499392973223</v>
      </c>
      <c r="S226" s="26">
        <v>9.2423718377281041</v>
      </c>
      <c r="T226" s="26">
        <v>27.343247930949804</v>
      </c>
      <c r="U226" s="26">
        <v>2.353699065962584</v>
      </c>
      <c r="V226" s="27">
        <v>66.986608764827935</v>
      </c>
      <c r="W226" s="27">
        <v>139.99939601337033</v>
      </c>
      <c r="X226" s="26">
        <v>13.720638903505678</v>
      </c>
      <c r="Y226" s="28">
        <v>153.72003491687627</v>
      </c>
      <c r="Z226" s="17" t="str">
        <f>SUBSTITUTE(SUBSTITUTE(SUBSTITUTE(SUBSTITUTE(IF(E226="","",VLOOKUP(E226,[1]Esquemas_NORM!$A$2:$H$126,8,FALSE)),"PROVINCIA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226" s="17" t="str">
        <f>IF($E226="","",INDEX([1]Esquemas_NORM!$H$2:$K$126,MATCH($E226,[1]Esquemas_NORM!$A$2:$A$126,0),MATCH(AA$4,[1]Esquemas_NORM!$H$1:$K$1,0)))</f>
        <v>A la fecha no ha conformado un EAT Región</v>
      </c>
      <c r="AB226" s="17" t="str">
        <f>IF($E226="","",INDEX([1]Esquemas_NORM!$H$2:$K$126,MATCH($E226,[1]Esquemas_NORM!$A$2:$A$126,0),MATCH(AB$4,[1]Esquemas_NORM!$H$1:$K$1,0)))</f>
        <v>A la fecha no ha conformado un EAT Área Metropolitana</v>
      </c>
      <c r="AC226" s="17" t="str">
        <f>IF($E226="","",INDEX([1]Esquemas_NORM!$H$2:$K$126,MATCH($E226,[1]Esquemas_NORM!$A$2:$A$126,0),MATCH(AC$4,[1]Esquemas_NORM!$H$1:$K$1,0)))</f>
        <v>A la fecha no ha conformado un EAT asociación - unión</v>
      </c>
      <c r="AD226" s="23"/>
    </row>
    <row r="227" spans="1:30" x14ac:dyDescent="0.25">
      <c r="A227" s="24">
        <v>2016</v>
      </c>
      <c r="B227" s="25" t="s">
        <v>36</v>
      </c>
      <c r="C227" s="25" t="s">
        <v>252</v>
      </c>
      <c r="D227" s="25" t="s">
        <v>264</v>
      </c>
      <c r="E227" s="25" t="s">
        <v>265</v>
      </c>
      <c r="F227" s="25" t="s">
        <v>255</v>
      </c>
      <c r="G227" s="25" t="s">
        <v>266</v>
      </c>
      <c r="H227" s="26">
        <v>71.366735614265991</v>
      </c>
      <c r="I227" s="26">
        <v>0</v>
      </c>
      <c r="J227" s="27">
        <v>71.366735614265991</v>
      </c>
      <c r="K227" s="26">
        <v>7.7361454922348809</v>
      </c>
      <c r="L227" s="26">
        <v>8.3774241532990299</v>
      </c>
      <c r="M227" s="27">
        <v>16.113569645533911</v>
      </c>
      <c r="N227" s="26">
        <v>4.3510816348031014</v>
      </c>
      <c r="O227" s="26">
        <v>20.683446713462914</v>
      </c>
      <c r="P227" s="26">
        <v>6.72070842255589</v>
      </c>
      <c r="Q227" s="26">
        <v>5.4170543268019715</v>
      </c>
      <c r="R227" s="26">
        <v>14.807120706457891</v>
      </c>
      <c r="S227" s="26">
        <v>13.015621141697874</v>
      </c>
      <c r="T227" s="26">
        <v>18.887364953057034</v>
      </c>
      <c r="U227" s="26">
        <v>5.194061267572299</v>
      </c>
      <c r="V227" s="27">
        <v>89.076459166408966</v>
      </c>
      <c r="W227" s="27">
        <v>183.03166162354063</v>
      </c>
      <c r="X227" s="26">
        <v>17.938015509763122</v>
      </c>
      <c r="Y227" s="28">
        <v>200.96967713330412</v>
      </c>
      <c r="Z227" s="17" t="str">
        <f>SUBSTITUTE(SUBSTITUTE(SUBSTITUTE(SUBSTITUTE(IF(E227="","",VLOOKUP(E227,[1]Esquemas_NORM!$A$2:$H$126,8,FALSE)),"PROVINCIA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227" s="17" t="str">
        <f>IF($E227="","",INDEX([1]Esquemas_NORM!$H$2:$K$126,MATCH($E227,[1]Esquemas_NORM!$A$2:$A$126,0),MATCH(AA$4,[1]Esquemas_NORM!$H$1:$K$1,0)))</f>
        <v>A la fecha no ha conformado un EAT Región</v>
      </c>
      <c r="AB227" s="17" t="str">
        <f>IF($E227="","",INDEX([1]Esquemas_NORM!$H$2:$K$126,MATCH($E227,[1]Esquemas_NORM!$A$2:$A$126,0),MATCH(AB$4,[1]Esquemas_NORM!$H$1:$K$1,0)))</f>
        <v>A la fecha no ha conformado un EAT Área Metropolitana</v>
      </c>
      <c r="AC227" s="17" t="str">
        <f>IF($E227="","",INDEX([1]Esquemas_NORM!$H$2:$K$126,MATCH($E227,[1]Esquemas_NORM!$A$2:$A$126,0),MATCH(AC$4,[1]Esquemas_NORM!$H$1:$K$1,0)))</f>
        <v>A la fecha no ha conformado un EAT asociación - unión</v>
      </c>
      <c r="AD227" s="23"/>
    </row>
    <row r="228" spans="1:30" x14ac:dyDescent="0.25">
      <c r="A228" s="24">
        <v>2016</v>
      </c>
      <c r="B228" s="25" t="s">
        <v>36</v>
      </c>
      <c r="C228" s="25" t="s">
        <v>252</v>
      </c>
      <c r="D228" s="25" t="s">
        <v>267</v>
      </c>
      <c r="E228" s="25" t="s">
        <v>268</v>
      </c>
      <c r="F228" s="25" t="s">
        <v>255</v>
      </c>
      <c r="G228" s="25" t="s">
        <v>269</v>
      </c>
      <c r="H228" s="26">
        <v>16.097708699658025</v>
      </c>
      <c r="I228" s="26">
        <v>0</v>
      </c>
      <c r="J228" s="27">
        <v>16.097708699658025</v>
      </c>
      <c r="K228" s="26">
        <v>0.71118841625701867</v>
      </c>
      <c r="L228" s="26">
        <v>4.588336679265212</v>
      </c>
      <c r="M228" s="27">
        <v>5.2995250955222311</v>
      </c>
      <c r="N228" s="26">
        <v>0.81837788145709467</v>
      </c>
      <c r="O228" s="26">
        <v>2.9815793423023158</v>
      </c>
      <c r="P228" s="26">
        <v>2.7976683299754272</v>
      </c>
      <c r="Q228" s="26">
        <v>0.73181891221331752</v>
      </c>
      <c r="R228" s="26">
        <v>1.5739160927947475</v>
      </c>
      <c r="S228" s="26">
        <v>4.2722430150793205</v>
      </c>
      <c r="T228" s="26">
        <v>20.961800277911877</v>
      </c>
      <c r="U228" s="26">
        <v>0.60975014951678075</v>
      </c>
      <c r="V228" s="27">
        <v>34.747154001250877</v>
      </c>
      <c r="W228" s="27">
        <v>57.582939008267616</v>
      </c>
      <c r="X228" s="26">
        <v>5.64341515487504</v>
      </c>
      <c r="Y228" s="28">
        <v>63.226354163142716</v>
      </c>
      <c r="Z228" s="17" t="str">
        <f>SUBSTITUTE(SUBSTITUTE(SUBSTITUTE(SUBSTITUTE(IF(E228="","",VLOOKUP(E228,[1]Esquemas_NORM!$A$2:$H$126,8,FALSE)),"PROVINCIA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28" s="17" t="str">
        <f>IF($E228="","",INDEX([1]Esquemas_NORM!$H$2:$K$126,MATCH($E228,[1]Esquemas_NORM!$A$2:$A$126,0),MATCH(AA$4,[1]Esquemas_NORM!$H$1:$K$1,0)))</f>
        <v>A la fecha no ha conformado un EAT Región</v>
      </c>
      <c r="AB228" s="17" t="str">
        <f>IF($E228="","",INDEX([1]Esquemas_NORM!$H$2:$K$126,MATCH($E228,[1]Esquemas_NORM!$A$2:$A$126,0),MATCH(AB$4,[1]Esquemas_NORM!$H$1:$K$1,0)))</f>
        <v>A la fecha no ha conformado un EAT Área Metropolitana</v>
      </c>
      <c r="AC228" s="17" t="str">
        <f>IF($E228="","",INDEX([1]Esquemas_NORM!$H$2:$K$126,MATCH($E228,[1]Esquemas_NORM!$A$2:$A$126,0),MATCH(AC$4,[1]Esquemas_NORM!$H$1:$K$1,0)))</f>
        <v>A la fecha no ha conformado un EAT asociación - unión</v>
      </c>
      <c r="AD228" s="23"/>
    </row>
    <row r="229" spans="1:30" x14ac:dyDescent="0.25">
      <c r="A229" s="24">
        <v>2016</v>
      </c>
      <c r="B229" s="25" t="s">
        <v>36</v>
      </c>
      <c r="C229" s="25" t="s">
        <v>252</v>
      </c>
      <c r="D229" s="25" t="s">
        <v>257</v>
      </c>
      <c r="E229" s="25" t="s">
        <v>270</v>
      </c>
      <c r="F229" s="25" t="s">
        <v>255</v>
      </c>
      <c r="G229" s="25" t="s">
        <v>271</v>
      </c>
      <c r="H229" s="26">
        <v>78.511873429219222</v>
      </c>
      <c r="I229" s="26">
        <v>0</v>
      </c>
      <c r="J229" s="27">
        <v>78.511873429219222</v>
      </c>
      <c r="K229" s="26">
        <v>10.061533224951416</v>
      </c>
      <c r="L229" s="26">
        <v>15.77384865717943</v>
      </c>
      <c r="M229" s="27">
        <v>25.835381882130847</v>
      </c>
      <c r="N229" s="26">
        <v>8.1359374848681636</v>
      </c>
      <c r="O229" s="26">
        <v>61.072574259208096</v>
      </c>
      <c r="P229" s="26">
        <v>7.2882857190367689</v>
      </c>
      <c r="Q229" s="26">
        <v>12.406470166884425</v>
      </c>
      <c r="R229" s="26">
        <v>22.922535443630636</v>
      </c>
      <c r="S229" s="26">
        <v>23.314176855785131</v>
      </c>
      <c r="T229" s="26">
        <v>41.444990703326269</v>
      </c>
      <c r="U229" s="26">
        <v>7.3321186002515546</v>
      </c>
      <c r="V229" s="27">
        <v>183.91708923299106</v>
      </c>
      <c r="W229" s="27">
        <v>296.02191339055366</v>
      </c>
      <c r="X229" s="26">
        <v>29.011623598500627</v>
      </c>
      <c r="Y229" s="28">
        <v>325.03353698905465</v>
      </c>
      <c r="Z229" s="17" t="str">
        <f>SUBSTITUTE(SUBSTITUTE(SUBSTITUTE(SUBSTITUTE(IF(E229="","",VLOOKUP(E229,[1]Esquemas_NORM!$A$2:$H$126,8,FALSE)),"PROVINCIA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229" s="17" t="str">
        <f>IF($E229="","",INDEX([1]Esquemas_NORM!$H$2:$K$126,MATCH($E229,[1]Esquemas_NORM!$A$2:$A$126,0),MATCH(AA$4,[1]Esquemas_NORM!$H$1:$K$1,0)))</f>
        <v>A la fecha no ha conformado un EAT Región</v>
      </c>
      <c r="AB229" s="17" t="str">
        <f>IF($E229="","",INDEX([1]Esquemas_NORM!$H$2:$K$126,MATCH($E229,[1]Esquemas_NORM!$A$2:$A$126,0),MATCH(AB$4,[1]Esquemas_NORM!$H$1:$K$1,0)))</f>
        <v>A la fecha no ha conformado un EAT Área Metropolitana</v>
      </c>
      <c r="AC229" s="17" t="str">
        <f>IF($E229="","",INDEX([1]Esquemas_NORM!$H$2:$K$126,MATCH($E229,[1]Esquemas_NORM!$A$2:$A$126,0),MATCH(AC$4,[1]Esquemas_NORM!$H$1:$K$1,0)))</f>
        <v>A la fecha no ha conformado un EAT asociación - unión</v>
      </c>
      <c r="AD229" s="23"/>
    </row>
    <row r="230" spans="1:30" x14ac:dyDescent="0.25">
      <c r="A230" s="24">
        <v>2016</v>
      </c>
      <c r="B230" s="25" t="s">
        <v>36</v>
      </c>
      <c r="C230" s="25" t="s">
        <v>252</v>
      </c>
      <c r="D230" s="25" t="s">
        <v>264</v>
      </c>
      <c r="E230" s="25" t="s">
        <v>272</v>
      </c>
      <c r="F230" s="25" t="s">
        <v>255</v>
      </c>
      <c r="G230" s="25" t="s">
        <v>273</v>
      </c>
      <c r="H230" s="26">
        <v>83.913658359731514</v>
      </c>
      <c r="I230" s="26">
        <v>0</v>
      </c>
      <c r="J230" s="27">
        <v>83.913658359731514</v>
      </c>
      <c r="K230" s="26">
        <v>8.8496368540987653</v>
      </c>
      <c r="L230" s="26">
        <v>10.51161091409501</v>
      </c>
      <c r="M230" s="27">
        <v>19.361247768193778</v>
      </c>
      <c r="N230" s="26">
        <v>3.9197506754262368</v>
      </c>
      <c r="O230" s="26">
        <v>23.344829225617705</v>
      </c>
      <c r="P230" s="26">
        <v>8.7422271591766769</v>
      </c>
      <c r="Q230" s="26">
        <v>5.6681978240677617</v>
      </c>
      <c r="R230" s="26">
        <v>12.585154765872776</v>
      </c>
      <c r="S230" s="26">
        <v>13.610856356646302</v>
      </c>
      <c r="T230" s="26">
        <v>27.118846915253389</v>
      </c>
      <c r="U230" s="26">
        <v>5.2540324189723062</v>
      </c>
      <c r="V230" s="27">
        <v>100.24389534103314</v>
      </c>
      <c r="W230" s="27">
        <v>211.19581432334172</v>
      </c>
      <c r="X230" s="26">
        <v>20.698242912317006</v>
      </c>
      <c r="Y230" s="28">
        <v>231.89405723565918</v>
      </c>
      <c r="Z230" s="17" t="str">
        <f>SUBSTITUTE(SUBSTITUTE(SUBSTITUTE(SUBSTITUTE(IF(E230="","",VLOOKUP(E230,[1]Esquemas_NORM!$A$2:$H$126,8,FALSE)),"PROVINCIA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230" s="17" t="str">
        <f>IF($E230="","",INDEX([1]Esquemas_NORM!$H$2:$K$126,MATCH($E230,[1]Esquemas_NORM!$A$2:$A$126,0),MATCH(AA$4,[1]Esquemas_NORM!$H$1:$K$1,0)))</f>
        <v>A la fecha no ha conformado un EAT Región</v>
      </c>
      <c r="AB230" s="17" t="str">
        <f>IF($E230="","",INDEX([1]Esquemas_NORM!$H$2:$K$126,MATCH($E230,[1]Esquemas_NORM!$A$2:$A$126,0),MATCH(AB$4,[1]Esquemas_NORM!$H$1:$K$1,0)))</f>
        <v>A la fecha no ha conformado un EAT Área Metropolitana</v>
      </c>
      <c r="AC230" s="17" t="str">
        <f>IF($E230="","",INDEX([1]Esquemas_NORM!$H$2:$K$126,MATCH($E230,[1]Esquemas_NORM!$A$2:$A$126,0),MATCH(AC$4,[1]Esquemas_NORM!$H$1:$K$1,0)))</f>
        <v>A la fecha no ha conformado un EAT asociación - unión</v>
      </c>
      <c r="AD230" s="23"/>
    </row>
    <row r="231" spans="1:30" x14ac:dyDescent="0.25">
      <c r="A231" s="24">
        <v>2016</v>
      </c>
      <c r="B231" s="25" t="s">
        <v>36</v>
      </c>
      <c r="C231" s="25" t="s">
        <v>252</v>
      </c>
      <c r="D231" s="25" t="s">
        <v>253</v>
      </c>
      <c r="E231" s="25" t="s">
        <v>274</v>
      </c>
      <c r="F231" s="25" t="s">
        <v>255</v>
      </c>
      <c r="G231" s="25" t="s">
        <v>275</v>
      </c>
      <c r="H231" s="26">
        <v>88.765635082709252</v>
      </c>
      <c r="I231" s="26">
        <v>0.90094746029892447</v>
      </c>
      <c r="J231" s="27">
        <v>89.666582543008175</v>
      </c>
      <c r="K231" s="26">
        <v>7.3727269841405478</v>
      </c>
      <c r="L231" s="26">
        <v>16.085358499810209</v>
      </c>
      <c r="M231" s="27">
        <v>23.458085483950757</v>
      </c>
      <c r="N231" s="26">
        <v>7.0935537591717113</v>
      </c>
      <c r="O231" s="26">
        <v>41.164054619294014</v>
      </c>
      <c r="P231" s="26">
        <v>7.2485920837113031</v>
      </c>
      <c r="Q231" s="26">
        <v>8.4225696447196317</v>
      </c>
      <c r="R231" s="26">
        <v>22.248370557665375</v>
      </c>
      <c r="S231" s="26">
        <v>20.330969828045479</v>
      </c>
      <c r="T231" s="26">
        <v>25.610702625128212</v>
      </c>
      <c r="U231" s="26">
        <v>8.9182936734551443</v>
      </c>
      <c r="V231" s="27">
        <v>141.03710679119087</v>
      </c>
      <c r="W231" s="27">
        <v>262.58500794465903</v>
      </c>
      <c r="X231" s="26">
        <v>25.734640134725197</v>
      </c>
      <c r="Y231" s="28">
        <v>288.31964807938471</v>
      </c>
      <c r="Z231" s="17" t="str">
        <f>SUBSTITUTE(SUBSTITUTE(SUBSTITUTE(SUBSTITUTE(IF(E231="","",VLOOKUP(E231,[1]Esquemas_NORM!$A$2:$H$126,8,FALSE)),"PROVINCIA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31" s="17" t="str">
        <f>IF($E231="","",INDEX([1]Esquemas_NORM!$H$2:$K$126,MATCH($E231,[1]Esquemas_NORM!$A$2:$A$126,0),MATCH(AA$4,[1]Esquemas_NORM!$H$1:$K$1,0)))</f>
        <v>A la fecha no ha conformado un EAT Región</v>
      </c>
      <c r="AB231" s="17" t="str">
        <f>IF($E231="","",INDEX([1]Esquemas_NORM!$H$2:$K$126,MATCH($E231,[1]Esquemas_NORM!$A$2:$A$126,0),MATCH(AB$4,[1]Esquemas_NORM!$H$1:$K$1,0)))</f>
        <v>A la fecha no ha conformado un EAT Área Metropolitana</v>
      </c>
      <c r="AC231" s="17" t="str">
        <f>IF($E231="","",INDEX([1]Esquemas_NORM!$H$2:$K$126,MATCH($E231,[1]Esquemas_NORM!$A$2:$A$126,0),MATCH(AC$4,[1]Esquemas_NORM!$H$1:$K$1,0)))</f>
        <v>A la fecha no ha conformado un EAT asociación - unión</v>
      </c>
      <c r="AD231" s="23"/>
    </row>
    <row r="232" spans="1:30" x14ac:dyDescent="0.25">
      <c r="A232" s="24">
        <v>2016</v>
      </c>
      <c r="B232" s="25" t="s">
        <v>36</v>
      </c>
      <c r="C232" s="25" t="s">
        <v>252</v>
      </c>
      <c r="D232" s="25" t="s">
        <v>257</v>
      </c>
      <c r="E232" s="25" t="s">
        <v>276</v>
      </c>
      <c r="F232" s="25" t="s">
        <v>255</v>
      </c>
      <c r="G232" s="25" t="s">
        <v>277</v>
      </c>
      <c r="H232" s="26">
        <v>15.131550168992257</v>
      </c>
      <c r="I232" s="26">
        <v>0</v>
      </c>
      <c r="J232" s="27">
        <v>15.131550168992257</v>
      </c>
      <c r="K232" s="26">
        <v>2.4657457589451819</v>
      </c>
      <c r="L232" s="26">
        <v>2.8667052931910284</v>
      </c>
      <c r="M232" s="27">
        <v>5.3324510521362107</v>
      </c>
      <c r="N232" s="26">
        <v>1.2665653037252684</v>
      </c>
      <c r="O232" s="26">
        <v>6.2768906988889901</v>
      </c>
      <c r="P232" s="26">
        <v>1.9017850732004955</v>
      </c>
      <c r="Q232" s="26">
        <v>0.78193089268819704</v>
      </c>
      <c r="R232" s="26">
        <v>3.1896595759282445</v>
      </c>
      <c r="S232" s="26">
        <v>4.1166208198584426</v>
      </c>
      <c r="T232" s="26">
        <v>16.459741036093426</v>
      </c>
      <c r="U232" s="26">
        <v>0.97623957260328775</v>
      </c>
      <c r="V232" s="27">
        <v>34.969432972986354</v>
      </c>
      <c r="W232" s="27">
        <v>56.859017696385095</v>
      </c>
      <c r="X232" s="26">
        <v>5.5724672565421125</v>
      </c>
      <c r="Y232" s="28">
        <v>62.431484952927299</v>
      </c>
      <c r="Z232" s="17" t="str">
        <f>SUBSTITUTE(SUBSTITUTE(SUBSTITUTE(SUBSTITUTE(IF(E232="","",VLOOKUP(E232,[1]Esquemas_NORM!$A$2:$H$126,8,FALSE)),"PROVINCIA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232" s="17" t="str">
        <f>IF($E232="","",INDEX([1]Esquemas_NORM!$H$2:$K$126,MATCH($E232,[1]Esquemas_NORM!$A$2:$A$126,0),MATCH(AA$4,[1]Esquemas_NORM!$H$1:$K$1,0)))</f>
        <v>A la fecha no ha conformado un EAT Región</v>
      </c>
      <c r="AB232" s="17" t="str">
        <f>IF($E232="","",INDEX([1]Esquemas_NORM!$H$2:$K$126,MATCH($E232,[1]Esquemas_NORM!$A$2:$A$126,0),MATCH(AB$4,[1]Esquemas_NORM!$H$1:$K$1,0)))</f>
        <v>A la fecha no ha conformado un EAT Área Metropolitana</v>
      </c>
      <c r="AC232" s="17" t="str">
        <f>IF($E232="","",INDEX([1]Esquemas_NORM!$H$2:$K$126,MATCH($E232,[1]Esquemas_NORM!$A$2:$A$126,0),MATCH(AC$4,[1]Esquemas_NORM!$H$1:$K$1,0)))</f>
        <v>A la fecha no ha conformado un EAT asociación - unión</v>
      </c>
      <c r="AD232" s="23"/>
    </row>
    <row r="233" spans="1:30" x14ac:dyDescent="0.25">
      <c r="A233" s="24">
        <v>2016</v>
      </c>
      <c r="B233" s="25" t="s">
        <v>36</v>
      </c>
      <c r="C233" s="25" t="s">
        <v>252</v>
      </c>
      <c r="D233" s="25" t="s">
        <v>257</v>
      </c>
      <c r="E233" s="25" t="s">
        <v>278</v>
      </c>
      <c r="F233" s="25" t="s">
        <v>255</v>
      </c>
      <c r="G233" s="25" t="s">
        <v>279</v>
      </c>
      <c r="H233" s="26">
        <v>38.928262688884345</v>
      </c>
      <c r="I233" s="26">
        <v>3.6145533763908682</v>
      </c>
      <c r="J233" s="27">
        <v>42.542816065275211</v>
      </c>
      <c r="K233" s="26">
        <v>5.8231583061673753</v>
      </c>
      <c r="L233" s="26">
        <v>9.3211681218559832</v>
      </c>
      <c r="M233" s="27">
        <v>15.144326428023358</v>
      </c>
      <c r="N233" s="26">
        <v>4.3873333189274835</v>
      </c>
      <c r="O233" s="26">
        <v>30.499275915281075</v>
      </c>
      <c r="P233" s="26">
        <v>5.0080210547948649</v>
      </c>
      <c r="Q233" s="26">
        <v>5.2922859499764057</v>
      </c>
      <c r="R233" s="26">
        <v>17.04217796486931</v>
      </c>
      <c r="S233" s="26">
        <v>13.944135549781951</v>
      </c>
      <c r="T233" s="26">
        <v>22.967006384398658</v>
      </c>
      <c r="U233" s="26">
        <v>4.1642620015729497</v>
      </c>
      <c r="V233" s="27">
        <v>103.3044981396027</v>
      </c>
      <c r="W233" s="27">
        <v>164.87566668206176</v>
      </c>
      <c r="X233" s="26">
        <v>16.158637472291897</v>
      </c>
      <c r="Y233" s="28">
        <v>181.0343041543538</v>
      </c>
      <c r="Z233" s="17" t="str">
        <f>SUBSTITUTE(SUBSTITUTE(SUBSTITUTE(SUBSTITUTE(IF(E233="","",VLOOKUP(E233,[1]Esquemas_NORM!$A$2:$H$126,8,FALSE)),"PROVINCIA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233" s="17" t="str">
        <f>IF($E233="","",INDEX([1]Esquemas_NORM!$H$2:$K$126,MATCH($E233,[1]Esquemas_NORM!$A$2:$A$126,0),MATCH(AA$4,[1]Esquemas_NORM!$H$1:$K$1,0)))</f>
        <v>A la fecha no ha conformado un EAT Región</v>
      </c>
      <c r="AB233" s="17" t="str">
        <f>IF($E233="","",INDEX([1]Esquemas_NORM!$H$2:$K$126,MATCH($E233,[1]Esquemas_NORM!$A$2:$A$126,0),MATCH(AB$4,[1]Esquemas_NORM!$H$1:$K$1,0)))</f>
        <v>A la fecha no ha conformado un EAT Área Metropolitana</v>
      </c>
      <c r="AC233" s="17" t="str">
        <f>IF($E233="","",INDEX([1]Esquemas_NORM!$H$2:$K$126,MATCH($E233,[1]Esquemas_NORM!$A$2:$A$126,0),MATCH(AC$4,[1]Esquemas_NORM!$H$1:$K$1,0)))</f>
        <v>A la fecha no ha conformado un EAT asociación - unión</v>
      </c>
      <c r="AD233" s="23"/>
    </row>
    <row r="234" spans="1:30" x14ac:dyDescent="0.25">
      <c r="A234" s="24">
        <v>2016</v>
      </c>
      <c r="B234" s="25" t="s">
        <v>36</v>
      </c>
      <c r="C234" s="25" t="s">
        <v>252</v>
      </c>
      <c r="D234" s="25" t="s">
        <v>267</v>
      </c>
      <c r="E234" s="25" t="s">
        <v>280</v>
      </c>
      <c r="F234" s="25" t="s">
        <v>255</v>
      </c>
      <c r="G234" s="25" t="s">
        <v>281</v>
      </c>
      <c r="H234" s="26">
        <v>43.998560194583931</v>
      </c>
      <c r="I234" s="26">
        <v>0</v>
      </c>
      <c r="J234" s="27">
        <v>43.998560194583931</v>
      </c>
      <c r="K234" s="26">
        <v>1.8610986659118129</v>
      </c>
      <c r="L234" s="26">
        <v>12.469742370268046</v>
      </c>
      <c r="M234" s="27">
        <v>14.330841036179859</v>
      </c>
      <c r="N234" s="26">
        <v>17.033265859568246</v>
      </c>
      <c r="O234" s="26">
        <v>22.615643858872112</v>
      </c>
      <c r="P234" s="26">
        <v>4.3801452303093074</v>
      </c>
      <c r="Q234" s="26">
        <v>3.8372509377060711</v>
      </c>
      <c r="R234" s="26">
        <v>12.543183307421291</v>
      </c>
      <c r="S234" s="26">
        <v>11.458624531494268</v>
      </c>
      <c r="T234" s="26">
        <v>19.370504942792177</v>
      </c>
      <c r="U234" s="26">
        <v>3.3071454007783578</v>
      </c>
      <c r="V234" s="27">
        <v>94.545764068941835</v>
      </c>
      <c r="W234" s="27">
        <v>157.58168318227092</v>
      </c>
      <c r="X234" s="26">
        <v>15.443790718528648</v>
      </c>
      <c r="Y234" s="28">
        <v>173.02547390079977</v>
      </c>
      <c r="Z234" s="17" t="str">
        <f>SUBSTITUTE(SUBSTITUTE(SUBSTITUTE(SUBSTITUTE(IF(E234="","",VLOOKUP(E234,[1]Esquemas_NORM!$A$2:$H$126,8,FALSE)),"PROVINCIA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34" s="17" t="str">
        <f>IF($E234="","",INDEX([1]Esquemas_NORM!$H$2:$K$126,MATCH($E234,[1]Esquemas_NORM!$A$2:$A$126,0),MATCH(AA$4,[1]Esquemas_NORM!$H$1:$K$1,0)))</f>
        <v>A la fecha no ha conformado un EAT Región</v>
      </c>
      <c r="AB234" s="17" t="str">
        <f>IF($E234="","",INDEX([1]Esquemas_NORM!$H$2:$K$126,MATCH($E234,[1]Esquemas_NORM!$A$2:$A$126,0),MATCH(AB$4,[1]Esquemas_NORM!$H$1:$K$1,0)))</f>
        <v>A la fecha no ha conformado un EAT Área Metropolitana</v>
      </c>
      <c r="AC234" s="17" t="str">
        <f>IF($E234="","",INDEX([1]Esquemas_NORM!$H$2:$K$126,MATCH($E234,[1]Esquemas_NORM!$A$2:$A$126,0),MATCH(AC$4,[1]Esquemas_NORM!$H$1:$K$1,0)))</f>
        <v>A la fecha no ha conformado un EAT asociación - unión</v>
      </c>
      <c r="AD234" s="23"/>
    </row>
    <row r="235" spans="1:30" x14ac:dyDescent="0.25">
      <c r="A235" s="24">
        <v>2016</v>
      </c>
      <c r="B235" s="25" t="s">
        <v>36</v>
      </c>
      <c r="C235" s="25" t="s">
        <v>252</v>
      </c>
      <c r="D235" s="25" t="s">
        <v>267</v>
      </c>
      <c r="E235" s="25" t="s">
        <v>282</v>
      </c>
      <c r="F235" s="25" t="s">
        <v>255</v>
      </c>
      <c r="G235" s="25" t="s">
        <v>283</v>
      </c>
      <c r="H235" s="26">
        <v>4.0647928736349259</v>
      </c>
      <c r="I235" s="26">
        <v>0</v>
      </c>
      <c r="J235" s="27">
        <v>4.0647928736349259</v>
      </c>
      <c r="K235" s="26">
        <v>7.7389778306923178</v>
      </c>
      <c r="L235" s="26">
        <v>36.883818548740187</v>
      </c>
      <c r="M235" s="27">
        <v>44.622796379432508</v>
      </c>
      <c r="N235" s="26">
        <v>4.3353984239590364</v>
      </c>
      <c r="O235" s="26">
        <v>39.476027017934221</v>
      </c>
      <c r="P235" s="26">
        <v>3.209187699475613</v>
      </c>
      <c r="Q235" s="26">
        <v>2.1282474602197405</v>
      </c>
      <c r="R235" s="26">
        <v>7.2773807808594757</v>
      </c>
      <c r="S235" s="26">
        <v>11.512642223925933</v>
      </c>
      <c r="T235" s="26">
        <v>16.839656792267832</v>
      </c>
      <c r="U235" s="26">
        <v>2.5535912899756377</v>
      </c>
      <c r="V235" s="27">
        <v>87.332131688617494</v>
      </c>
      <c r="W235" s="27">
        <v>136.85584949089855</v>
      </c>
      <c r="X235" s="26">
        <v>13.41255566930325</v>
      </c>
      <c r="Y235" s="28">
        <v>150.26840516020178</v>
      </c>
      <c r="Z235" s="17" t="str">
        <f>SUBSTITUTE(SUBSTITUTE(SUBSTITUTE(SUBSTITUTE(IF(E235="","",VLOOKUP(E235,[1]Esquemas_NORM!$A$2:$H$126,8,FALSE)),"PROVINCIA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35" s="17" t="str">
        <f>IF($E235="","",INDEX([1]Esquemas_NORM!$H$2:$K$126,MATCH($E235,[1]Esquemas_NORM!$A$2:$A$126,0),MATCH(AA$4,[1]Esquemas_NORM!$H$1:$K$1,0)))</f>
        <v>A la fecha no ha conformado un EAT Región</v>
      </c>
      <c r="AB235" s="17" t="str">
        <f>IF($E235="","",INDEX([1]Esquemas_NORM!$H$2:$K$126,MATCH($E235,[1]Esquemas_NORM!$A$2:$A$126,0),MATCH(AB$4,[1]Esquemas_NORM!$H$1:$K$1,0)))</f>
        <v>A la fecha no ha conformado un EAT Área Metropolitana</v>
      </c>
      <c r="AC235" s="17" t="str">
        <f>IF($E235="","",INDEX([1]Esquemas_NORM!$H$2:$K$126,MATCH($E235,[1]Esquemas_NORM!$A$2:$A$126,0),MATCH(AC$4,[1]Esquemas_NORM!$H$1:$K$1,0)))</f>
        <v>A la fecha no ha conformado un EAT asociación - unión</v>
      </c>
      <c r="AD235" s="23"/>
    </row>
    <row r="236" spans="1:30" x14ac:dyDescent="0.25">
      <c r="A236" s="24">
        <v>2016</v>
      </c>
      <c r="B236" s="25" t="s">
        <v>36</v>
      </c>
      <c r="C236" s="25" t="s">
        <v>252</v>
      </c>
      <c r="D236" s="25" t="s">
        <v>267</v>
      </c>
      <c r="E236" s="25" t="s">
        <v>284</v>
      </c>
      <c r="F236" s="25" t="s">
        <v>255</v>
      </c>
      <c r="G236" s="25" t="s">
        <v>285</v>
      </c>
      <c r="H236" s="26">
        <v>14.796267846503801</v>
      </c>
      <c r="I236" s="26">
        <v>0</v>
      </c>
      <c r="J236" s="27">
        <v>14.796267846503801</v>
      </c>
      <c r="K236" s="26">
        <v>39.864482510679785</v>
      </c>
      <c r="L236" s="26">
        <v>13.743010975052652</v>
      </c>
      <c r="M236" s="27">
        <v>53.607493485732434</v>
      </c>
      <c r="N236" s="26">
        <v>1.3432844787500304</v>
      </c>
      <c r="O236" s="26">
        <v>6.2122559978290379</v>
      </c>
      <c r="P236" s="26">
        <v>3.4139021074538665</v>
      </c>
      <c r="Q236" s="26">
        <v>1.3577169597409191</v>
      </c>
      <c r="R236" s="26">
        <v>4.580540892384632</v>
      </c>
      <c r="S236" s="26">
        <v>7.3311825978723819</v>
      </c>
      <c r="T236" s="26">
        <v>15.740148225239365</v>
      </c>
      <c r="U236" s="26">
        <v>1.6303401430096194</v>
      </c>
      <c r="V236" s="27">
        <v>41.609371402279848</v>
      </c>
      <c r="W236" s="27">
        <v>109.96992828870346</v>
      </c>
      <c r="X236" s="26">
        <v>10.777601327294345</v>
      </c>
      <c r="Y236" s="28">
        <v>120.74752961599788</v>
      </c>
      <c r="Z236" s="17" t="str">
        <f>SUBSTITUTE(SUBSTITUTE(SUBSTITUTE(SUBSTITUTE(IF(E236="","",VLOOKUP(E236,[1]Esquemas_NORM!$A$2:$H$126,8,FALSE)),"PROVINCIA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36" s="17" t="str">
        <f>IF($E236="","",INDEX([1]Esquemas_NORM!$H$2:$K$126,MATCH($E236,[1]Esquemas_NORM!$A$2:$A$126,0),MATCH(AA$4,[1]Esquemas_NORM!$H$1:$K$1,0)))</f>
        <v>A la fecha no ha conformado un EAT Región</v>
      </c>
      <c r="AB236" s="17" t="str">
        <f>IF($E236="","",INDEX([1]Esquemas_NORM!$H$2:$K$126,MATCH($E236,[1]Esquemas_NORM!$A$2:$A$126,0),MATCH(AB$4,[1]Esquemas_NORM!$H$1:$K$1,0)))</f>
        <v>A la fecha no ha conformado un EAT Área Metropolitana</v>
      </c>
      <c r="AC236" s="17" t="str">
        <f>IF($E236="","",INDEX([1]Esquemas_NORM!$H$2:$K$126,MATCH($E236,[1]Esquemas_NORM!$A$2:$A$126,0),MATCH(AC$4,[1]Esquemas_NORM!$H$1:$K$1,0)))</f>
        <v>A la fecha no ha conformado un EAT asociación - unión</v>
      </c>
      <c r="AD236" s="23"/>
    </row>
    <row r="237" spans="1:30" x14ac:dyDescent="0.25">
      <c r="A237" s="24">
        <v>2016</v>
      </c>
      <c r="B237" s="25" t="s">
        <v>36</v>
      </c>
      <c r="C237" s="25" t="s">
        <v>252</v>
      </c>
      <c r="D237" s="25" t="s">
        <v>267</v>
      </c>
      <c r="E237" s="25" t="s">
        <v>286</v>
      </c>
      <c r="F237" s="25" t="s">
        <v>255</v>
      </c>
      <c r="G237" s="25" t="s">
        <v>287</v>
      </c>
      <c r="H237" s="26">
        <v>15.57484689320302</v>
      </c>
      <c r="I237" s="26">
        <v>0</v>
      </c>
      <c r="J237" s="27">
        <v>15.57484689320302</v>
      </c>
      <c r="K237" s="26">
        <v>1.2820240893597634</v>
      </c>
      <c r="L237" s="26">
        <v>6.2948167969897257</v>
      </c>
      <c r="M237" s="27">
        <v>7.5768408863494887</v>
      </c>
      <c r="N237" s="26">
        <v>1.4939770706685043</v>
      </c>
      <c r="O237" s="26">
        <v>5.9336173252228361</v>
      </c>
      <c r="P237" s="26">
        <v>2.4337619616272299</v>
      </c>
      <c r="Q237" s="26">
        <v>1.9736524366362238</v>
      </c>
      <c r="R237" s="26">
        <v>5.0151383159989065</v>
      </c>
      <c r="S237" s="26">
        <v>6.2610686192030807</v>
      </c>
      <c r="T237" s="26">
        <v>24.421262465128596</v>
      </c>
      <c r="U237" s="26">
        <v>1.3962154812237018</v>
      </c>
      <c r="V237" s="27">
        <v>48.928693675709077</v>
      </c>
      <c r="W237" s="27">
        <v>73.372020691253084</v>
      </c>
      <c r="X237" s="26">
        <v>7.1908238906221618</v>
      </c>
      <c r="Y237" s="28">
        <v>80.562844581875282</v>
      </c>
      <c r="Z237" s="17" t="str">
        <f>SUBSTITUTE(SUBSTITUTE(SUBSTITUTE(SUBSTITUTE(IF(E237="","",VLOOKUP(E237,[1]Esquemas_NORM!$A$2:$H$126,8,FALSE)),"PROVINCIA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37" s="17" t="str">
        <f>IF($E237="","",INDEX([1]Esquemas_NORM!$H$2:$K$126,MATCH($E237,[1]Esquemas_NORM!$A$2:$A$126,0),MATCH(AA$4,[1]Esquemas_NORM!$H$1:$K$1,0)))</f>
        <v>A la fecha no ha conformado un EAT Región</v>
      </c>
      <c r="AB237" s="17" t="str">
        <f>IF($E237="","",INDEX([1]Esquemas_NORM!$H$2:$K$126,MATCH($E237,[1]Esquemas_NORM!$A$2:$A$126,0),MATCH(AB$4,[1]Esquemas_NORM!$H$1:$K$1,0)))</f>
        <v>A la fecha no ha conformado un EAT Área Metropolitana</v>
      </c>
      <c r="AC237" s="17" t="str">
        <f>IF($E237="","",INDEX([1]Esquemas_NORM!$H$2:$K$126,MATCH($E237,[1]Esquemas_NORM!$A$2:$A$126,0),MATCH(AC$4,[1]Esquemas_NORM!$H$1:$K$1,0)))</f>
        <v>A la fecha no ha conformado un EAT asociación - unión</v>
      </c>
      <c r="AD237" s="23"/>
    </row>
    <row r="238" spans="1:30" x14ac:dyDescent="0.25">
      <c r="A238" s="24">
        <v>2016</v>
      </c>
      <c r="B238" s="25" t="s">
        <v>36</v>
      </c>
      <c r="C238" s="25" t="s">
        <v>252</v>
      </c>
      <c r="D238" s="25" t="s">
        <v>264</v>
      </c>
      <c r="E238" s="25" t="s">
        <v>288</v>
      </c>
      <c r="F238" s="25" t="s">
        <v>255</v>
      </c>
      <c r="G238" s="25" t="s">
        <v>289</v>
      </c>
      <c r="H238" s="26">
        <v>68.097902992824743</v>
      </c>
      <c r="I238" s="26">
        <v>0.24608280879658215</v>
      </c>
      <c r="J238" s="27">
        <v>68.343985801621329</v>
      </c>
      <c r="K238" s="26">
        <v>3.7324148128122157</v>
      </c>
      <c r="L238" s="26">
        <v>13.821092202390638</v>
      </c>
      <c r="M238" s="27">
        <v>17.553507015202854</v>
      </c>
      <c r="N238" s="26">
        <v>12.035010408319451</v>
      </c>
      <c r="O238" s="26">
        <v>27.591318401086266</v>
      </c>
      <c r="P238" s="26">
        <v>5.6441359705957295</v>
      </c>
      <c r="Q238" s="26">
        <v>4.291522707049733</v>
      </c>
      <c r="R238" s="26">
        <v>9.5147473238754259</v>
      </c>
      <c r="S238" s="26">
        <v>13.301173756947517</v>
      </c>
      <c r="T238" s="26">
        <v>30.140635668160485</v>
      </c>
      <c r="U238" s="26">
        <v>4.5648046984912289</v>
      </c>
      <c r="V238" s="27">
        <v>107.08334893452584</v>
      </c>
      <c r="W238" s="27">
        <v>199.8880793815502</v>
      </c>
      <c r="X238" s="26">
        <v>19.590028503034908</v>
      </c>
      <c r="Y238" s="28">
        <v>219.47810788458551</v>
      </c>
      <c r="Z238" s="17" t="str">
        <f>SUBSTITUTE(SUBSTITUTE(SUBSTITUTE(SUBSTITUTE(IF(E238="","",VLOOKUP(E238,[1]Esquemas_NORM!$A$2:$H$126,8,FALSE)),"PROVINCIA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238" s="17" t="str">
        <f>IF($E238="","",INDEX([1]Esquemas_NORM!$H$2:$K$126,MATCH($E238,[1]Esquemas_NORM!$A$2:$A$126,0),MATCH(AA$4,[1]Esquemas_NORM!$H$1:$K$1,0)))</f>
        <v>A la fecha no ha conformado un EAT Región</v>
      </c>
      <c r="AB238" s="17" t="str">
        <f>IF($E238="","",INDEX([1]Esquemas_NORM!$H$2:$K$126,MATCH($E238,[1]Esquemas_NORM!$A$2:$A$126,0),MATCH(AB$4,[1]Esquemas_NORM!$H$1:$K$1,0)))</f>
        <v>A la fecha no ha conformado un EAT Área Metropolitana</v>
      </c>
      <c r="AC238" s="17" t="str">
        <f>IF($E238="","",INDEX([1]Esquemas_NORM!$H$2:$K$126,MATCH($E238,[1]Esquemas_NORM!$A$2:$A$126,0),MATCH(AC$4,[1]Esquemas_NORM!$H$1:$K$1,0)))</f>
        <v>A la fecha no ha conformado un EAT asociación - unión</v>
      </c>
      <c r="AD238" s="23"/>
    </row>
    <row r="239" spans="1:30" x14ac:dyDescent="0.25">
      <c r="A239" s="24">
        <v>2016</v>
      </c>
      <c r="B239" s="25" t="s">
        <v>36</v>
      </c>
      <c r="C239" s="25" t="s">
        <v>252</v>
      </c>
      <c r="D239" s="25" t="s">
        <v>267</v>
      </c>
      <c r="E239" s="25" t="s">
        <v>290</v>
      </c>
      <c r="F239" s="25" t="s">
        <v>255</v>
      </c>
      <c r="G239" s="25" t="s">
        <v>291</v>
      </c>
      <c r="H239" s="26">
        <v>70.868748915434409</v>
      </c>
      <c r="I239" s="26">
        <v>2.8808246292508377</v>
      </c>
      <c r="J239" s="27">
        <v>73.749573544685248</v>
      </c>
      <c r="K239" s="26">
        <v>10.837995067038314</v>
      </c>
      <c r="L239" s="26">
        <v>11.759050227905558</v>
      </c>
      <c r="M239" s="27">
        <v>22.597045294943872</v>
      </c>
      <c r="N239" s="26">
        <v>5.5547872113152224</v>
      </c>
      <c r="O239" s="26">
        <v>38.965670219808516</v>
      </c>
      <c r="P239" s="26">
        <v>7.7874002838166492</v>
      </c>
      <c r="Q239" s="26">
        <v>8.1736704092935604</v>
      </c>
      <c r="R239" s="26">
        <v>27.389572415388731</v>
      </c>
      <c r="S239" s="26">
        <v>19.696769658333562</v>
      </c>
      <c r="T239" s="26">
        <v>33.682832745289431</v>
      </c>
      <c r="U239" s="26">
        <v>8.3140721616851962</v>
      </c>
      <c r="V239" s="27">
        <v>149.56477510493087</v>
      </c>
      <c r="W239" s="27">
        <v>252.4338197523436</v>
      </c>
      <c r="X239" s="26">
        <v>24.739773073910818</v>
      </c>
      <c r="Y239" s="28">
        <v>277.17359282625461</v>
      </c>
      <c r="Z239" s="17" t="str">
        <f>SUBSTITUTE(SUBSTITUTE(SUBSTITUTE(SUBSTITUTE(IF(E239="","",VLOOKUP(E239,[1]Esquemas_NORM!$A$2:$H$126,8,FALSE)),"PROVINCIA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39" s="17" t="str">
        <f>IF($E239="","",INDEX([1]Esquemas_NORM!$H$2:$K$126,MATCH($E239,[1]Esquemas_NORM!$A$2:$A$126,0),MATCH(AA$4,[1]Esquemas_NORM!$H$1:$K$1,0)))</f>
        <v>A la fecha no ha conformado un EAT Región</v>
      </c>
      <c r="AB239" s="17" t="str">
        <f>IF($E239="","",INDEX([1]Esquemas_NORM!$H$2:$K$126,MATCH($E239,[1]Esquemas_NORM!$A$2:$A$126,0),MATCH(AB$4,[1]Esquemas_NORM!$H$1:$K$1,0)))</f>
        <v>A la fecha no ha conformado un EAT Área Metropolitana</v>
      </c>
      <c r="AC239" s="17" t="str">
        <f>IF($E239="","",INDEX([1]Esquemas_NORM!$H$2:$K$126,MATCH($E239,[1]Esquemas_NORM!$A$2:$A$126,0),MATCH(AC$4,[1]Esquemas_NORM!$H$1:$K$1,0)))</f>
        <v>A la fecha no ha conformado un EAT asociación - unión</v>
      </c>
      <c r="AD239" s="23"/>
    </row>
    <row r="240" spans="1:30" x14ac:dyDescent="0.25">
      <c r="A240" s="24">
        <v>2016</v>
      </c>
      <c r="B240" s="25" t="s">
        <v>36</v>
      </c>
      <c r="C240" s="25" t="s">
        <v>252</v>
      </c>
      <c r="D240" s="25" t="s">
        <v>267</v>
      </c>
      <c r="E240" s="25" t="s">
        <v>292</v>
      </c>
      <c r="F240" s="25" t="s">
        <v>255</v>
      </c>
      <c r="G240" s="25" t="s">
        <v>293</v>
      </c>
      <c r="H240" s="26">
        <v>66.430273561792049</v>
      </c>
      <c r="I240" s="26">
        <v>0.31641021012815623</v>
      </c>
      <c r="J240" s="27">
        <v>66.746683771920203</v>
      </c>
      <c r="K240" s="26">
        <v>4.8876067463873074</v>
      </c>
      <c r="L240" s="26">
        <v>12.34154372865849</v>
      </c>
      <c r="M240" s="27">
        <v>17.229150475045799</v>
      </c>
      <c r="N240" s="26">
        <v>5.5673495446579331</v>
      </c>
      <c r="O240" s="26">
        <v>25.224326365617269</v>
      </c>
      <c r="P240" s="26">
        <v>5.3465455596245537</v>
      </c>
      <c r="Q240" s="26">
        <v>6.1455726505977548</v>
      </c>
      <c r="R240" s="26">
        <v>16.816621248601312</v>
      </c>
      <c r="S240" s="26">
        <v>14.391972828474678</v>
      </c>
      <c r="T240" s="26">
        <v>19.150310091393344</v>
      </c>
      <c r="U240" s="26">
        <v>5.6267184695518777</v>
      </c>
      <c r="V240" s="27">
        <v>98.269416758518716</v>
      </c>
      <c r="W240" s="27">
        <v>188.40233342336134</v>
      </c>
      <c r="X240" s="26">
        <v>18.464368126510863</v>
      </c>
      <c r="Y240" s="28">
        <v>206.86670154987252</v>
      </c>
      <c r="Z240" s="17" t="str">
        <f>SUBSTITUTE(SUBSTITUTE(SUBSTITUTE(SUBSTITUTE(IF(E240="","",VLOOKUP(E240,[1]Esquemas_NORM!$A$2:$H$126,8,FALSE)),"PROVINCIA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40" s="17" t="str">
        <f>IF($E240="","",INDEX([1]Esquemas_NORM!$H$2:$K$126,MATCH($E240,[1]Esquemas_NORM!$A$2:$A$126,0),MATCH(AA$4,[1]Esquemas_NORM!$H$1:$K$1,0)))</f>
        <v>A la fecha no ha conformado un EAT Región</v>
      </c>
      <c r="AB240" s="17" t="str">
        <f>IF($E240="","",INDEX([1]Esquemas_NORM!$H$2:$K$126,MATCH($E240,[1]Esquemas_NORM!$A$2:$A$126,0),MATCH(AB$4,[1]Esquemas_NORM!$H$1:$K$1,0)))</f>
        <v>A la fecha no ha conformado un EAT Área Metropolitana</v>
      </c>
      <c r="AC240" s="17" t="str">
        <f>IF($E240="","",INDEX([1]Esquemas_NORM!$H$2:$K$126,MATCH($E240,[1]Esquemas_NORM!$A$2:$A$126,0),MATCH(AC$4,[1]Esquemas_NORM!$H$1:$K$1,0)))</f>
        <v>A la fecha no ha conformado un EAT asociación - unión</v>
      </c>
      <c r="AD240" s="23"/>
    </row>
    <row r="241" spans="1:30" x14ac:dyDescent="0.25">
      <c r="A241" s="24">
        <v>2016</v>
      </c>
      <c r="B241" s="25" t="s">
        <v>36</v>
      </c>
      <c r="C241" s="25" t="s">
        <v>252</v>
      </c>
      <c r="D241" s="25" t="s">
        <v>267</v>
      </c>
      <c r="E241" s="25" t="s">
        <v>294</v>
      </c>
      <c r="F241" s="25" t="s">
        <v>255</v>
      </c>
      <c r="G241" s="25" t="s">
        <v>295</v>
      </c>
      <c r="H241" s="26">
        <v>30.760264436172825</v>
      </c>
      <c r="I241" s="26">
        <v>0</v>
      </c>
      <c r="J241" s="27">
        <v>30.760264436172825</v>
      </c>
      <c r="K241" s="26">
        <v>1.1505590180568617</v>
      </c>
      <c r="L241" s="26">
        <v>6.3314899545120875</v>
      </c>
      <c r="M241" s="27">
        <v>7.4820489725689487</v>
      </c>
      <c r="N241" s="26">
        <v>1.7626916953866878</v>
      </c>
      <c r="O241" s="26">
        <v>9.6252840986590691</v>
      </c>
      <c r="P241" s="26">
        <v>2.015316907357529</v>
      </c>
      <c r="Q241" s="26">
        <v>1.7076575911006804</v>
      </c>
      <c r="R241" s="26">
        <v>4.5102458767419327</v>
      </c>
      <c r="S241" s="26">
        <v>6.0840384073614135</v>
      </c>
      <c r="T241" s="26">
        <v>16.59604029014886</v>
      </c>
      <c r="U241" s="26">
        <v>1.5465963428466172</v>
      </c>
      <c r="V241" s="27">
        <v>43.847871209602793</v>
      </c>
      <c r="W241" s="27">
        <v>85.033516114071929</v>
      </c>
      <c r="X241" s="26">
        <v>8.3337085910365953</v>
      </c>
      <c r="Y241" s="28">
        <v>93.367224705108697</v>
      </c>
      <c r="Z241" s="17" t="str">
        <f>SUBSTITUTE(SUBSTITUTE(SUBSTITUTE(SUBSTITUTE(IF(E241="","",VLOOKUP(E241,[1]Esquemas_NORM!$A$2:$H$126,8,FALSE)),"PROVINCIA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41" s="17" t="str">
        <f>IF($E241="","",INDEX([1]Esquemas_NORM!$H$2:$K$126,MATCH($E241,[1]Esquemas_NORM!$A$2:$A$126,0),MATCH(AA$4,[1]Esquemas_NORM!$H$1:$K$1,0)))</f>
        <v>A la fecha no ha conformado un EAT Región</v>
      </c>
      <c r="AB241" s="17" t="str">
        <f>IF($E241="","",INDEX([1]Esquemas_NORM!$H$2:$K$126,MATCH($E241,[1]Esquemas_NORM!$A$2:$A$126,0),MATCH(AB$4,[1]Esquemas_NORM!$H$1:$K$1,0)))</f>
        <v>A la fecha no ha conformado un EAT Área Metropolitana</v>
      </c>
      <c r="AC241" s="17" t="str">
        <f>IF($E241="","",INDEX([1]Esquemas_NORM!$H$2:$K$126,MATCH($E241,[1]Esquemas_NORM!$A$2:$A$126,0),MATCH(AC$4,[1]Esquemas_NORM!$H$1:$K$1,0)))</f>
        <v>A la fecha no ha conformado un EAT asociación - unión</v>
      </c>
      <c r="AD241" s="23"/>
    </row>
    <row r="242" spans="1:30" x14ac:dyDescent="0.25">
      <c r="A242" s="24">
        <v>2016</v>
      </c>
      <c r="B242" s="25" t="s">
        <v>36</v>
      </c>
      <c r="C242" s="25" t="s">
        <v>252</v>
      </c>
      <c r="D242" s="25" t="s">
        <v>253</v>
      </c>
      <c r="E242" s="25" t="s">
        <v>296</v>
      </c>
      <c r="F242" s="25" t="s">
        <v>255</v>
      </c>
      <c r="G242" s="25" t="s">
        <v>297</v>
      </c>
      <c r="H242" s="26">
        <v>24.835956213969993</v>
      </c>
      <c r="I242" s="26">
        <v>2.799499933413756</v>
      </c>
      <c r="J242" s="27">
        <v>27.635456147383749</v>
      </c>
      <c r="K242" s="26">
        <v>3.4439697026536411</v>
      </c>
      <c r="L242" s="26">
        <v>4.8398971788943497</v>
      </c>
      <c r="M242" s="27">
        <v>8.2838668815479899</v>
      </c>
      <c r="N242" s="26">
        <v>2.0415943852646738</v>
      </c>
      <c r="O242" s="26">
        <v>12.293460244798059</v>
      </c>
      <c r="P242" s="26">
        <v>3.3787018176349455</v>
      </c>
      <c r="Q242" s="26">
        <v>1.4363998813794012</v>
      </c>
      <c r="R242" s="26">
        <v>5.278976493510088</v>
      </c>
      <c r="S242" s="26">
        <v>8.0348155994827888</v>
      </c>
      <c r="T242" s="26">
        <v>30.318921711276857</v>
      </c>
      <c r="U242" s="26">
        <v>2.1176563955053842</v>
      </c>
      <c r="V242" s="27">
        <v>64.900526528852197</v>
      </c>
      <c r="W242" s="27">
        <v>103.28380489646887</v>
      </c>
      <c r="X242" s="26">
        <v>10.122327895111912</v>
      </c>
      <c r="Y242" s="28">
        <v>113.40613279158087</v>
      </c>
      <c r="Z242" s="17" t="str">
        <f>SUBSTITUTE(SUBSTITUTE(SUBSTITUTE(SUBSTITUTE(IF(E242="","",VLOOKUP(E242,[1]Esquemas_NORM!$A$2:$H$126,8,FALSE)),"PROVINCIA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242" s="17" t="str">
        <f>IF($E242="","",INDEX([1]Esquemas_NORM!$H$2:$K$126,MATCH($E242,[1]Esquemas_NORM!$A$2:$A$126,0),MATCH(AA$4,[1]Esquemas_NORM!$H$1:$K$1,0)))</f>
        <v>A la fecha no ha conformado un EAT Región</v>
      </c>
      <c r="AB242" s="17" t="str">
        <f>IF($E242="","",INDEX([1]Esquemas_NORM!$H$2:$K$126,MATCH($E242,[1]Esquemas_NORM!$A$2:$A$126,0),MATCH(AB$4,[1]Esquemas_NORM!$H$1:$K$1,0)))</f>
        <v>A la fecha no ha conformado un EAT Área Metropolitana</v>
      </c>
      <c r="AC242" s="17" t="str">
        <f>IF($E242="","",INDEX([1]Esquemas_NORM!$H$2:$K$126,MATCH($E242,[1]Esquemas_NORM!$A$2:$A$126,0),MATCH(AC$4,[1]Esquemas_NORM!$H$1:$K$1,0)))</f>
        <v>A la fecha no ha conformado un EAT asociación - unión</v>
      </c>
      <c r="AD242" s="23"/>
    </row>
    <row r="243" spans="1:30" x14ac:dyDescent="0.25">
      <c r="A243" s="24">
        <v>2016</v>
      </c>
      <c r="B243" s="25" t="s">
        <v>36</v>
      </c>
      <c r="C243" s="25" t="s">
        <v>252</v>
      </c>
      <c r="D243" s="25" t="s">
        <v>264</v>
      </c>
      <c r="E243" s="25" t="s">
        <v>298</v>
      </c>
      <c r="F243" s="25" t="s">
        <v>255</v>
      </c>
      <c r="G243" s="25" t="s">
        <v>299</v>
      </c>
      <c r="H243" s="26">
        <v>107.56508430096694</v>
      </c>
      <c r="I243" s="26">
        <v>8.8556932238532884</v>
      </c>
      <c r="J243" s="27">
        <v>116.42077752482024</v>
      </c>
      <c r="K243" s="26">
        <v>21.549087968690387</v>
      </c>
      <c r="L243" s="26">
        <v>14.3401792058258</v>
      </c>
      <c r="M243" s="27">
        <v>35.889267174516185</v>
      </c>
      <c r="N243" s="26">
        <v>8.9383490130424388</v>
      </c>
      <c r="O243" s="26">
        <v>48.105334398921038</v>
      </c>
      <c r="P243" s="26">
        <v>11.798813275750071</v>
      </c>
      <c r="Q243" s="26">
        <v>12.512396917616947</v>
      </c>
      <c r="R243" s="26">
        <v>24.22994127990366</v>
      </c>
      <c r="S243" s="26">
        <v>27.794744297830466</v>
      </c>
      <c r="T243" s="26">
        <v>38.290537888954823</v>
      </c>
      <c r="U243" s="26">
        <v>10.745365197241179</v>
      </c>
      <c r="V243" s="27">
        <v>182.41548226926059</v>
      </c>
      <c r="W243" s="27">
        <v>344.54077910063131</v>
      </c>
      <c r="X243" s="26">
        <v>33.766714372979493</v>
      </c>
      <c r="Y243" s="28">
        <v>378.3074934736112</v>
      </c>
      <c r="Z243" s="17" t="str">
        <f>SUBSTITUTE(SUBSTITUTE(SUBSTITUTE(SUBSTITUTE(IF(E243="","",VLOOKUP(E243,[1]Esquemas_NORM!$A$2:$H$126,8,FALSE)),"PROVINCIA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243" s="17" t="str">
        <f>IF($E243="","",INDEX([1]Esquemas_NORM!$H$2:$K$126,MATCH($E243,[1]Esquemas_NORM!$A$2:$A$126,0),MATCH(AA$4,[1]Esquemas_NORM!$H$1:$K$1,0)))</f>
        <v>A la fecha no ha conformado un EAT Región</v>
      </c>
      <c r="AB243" s="17" t="str">
        <f>IF($E243="","",INDEX([1]Esquemas_NORM!$H$2:$K$126,MATCH($E243,[1]Esquemas_NORM!$A$2:$A$126,0),MATCH(AB$4,[1]Esquemas_NORM!$H$1:$K$1,0)))</f>
        <v>A la fecha no ha conformado un EAT Área Metropolitana</v>
      </c>
      <c r="AC243" s="17" t="str">
        <f>IF($E243="","",INDEX([1]Esquemas_NORM!$H$2:$K$126,MATCH($E243,[1]Esquemas_NORM!$A$2:$A$126,0),MATCH(AC$4,[1]Esquemas_NORM!$H$1:$K$1,0)))</f>
        <v>A la fecha no ha conformado un EAT asociación - unión</v>
      </c>
      <c r="AD243" s="23"/>
    </row>
    <row r="244" spans="1:30" x14ac:dyDescent="0.25">
      <c r="A244" s="24">
        <v>2016</v>
      </c>
      <c r="B244" s="25" t="s">
        <v>36</v>
      </c>
      <c r="C244" s="25" t="s">
        <v>252</v>
      </c>
      <c r="D244" s="25" t="s">
        <v>267</v>
      </c>
      <c r="E244" s="25" t="s">
        <v>300</v>
      </c>
      <c r="F244" s="25" t="s">
        <v>255</v>
      </c>
      <c r="G244" s="25" t="s">
        <v>301</v>
      </c>
      <c r="H244" s="26">
        <v>29.50941436166281</v>
      </c>
      <c r="I244" s="26">
        <v>13.375377956788142</v>
      </c>
      <c r="J244" s="27">
        <v>42.884792318450948</v>
      </c>
      <c r="K244" s="26">
        <v>1.8004278775297644</v>
      </c>
      <c r="L244" s="26">
        <v>6.1172903855236305</v>
      </c>
      <c r="M244" s="27">
        <v>7.9177182630533949</v>
      </c>
      <c r="N244" s="26">
        <v>1.3538915702884546</v>
      </c>
      <c r="O244" s="26">
        <v>7.6575762300484422</v>
      </c>
      <c r="P244" s="26">
        <v>2.1295061984907759</v>
      </c>
      <c r="Q244" s="26">
        <v>1.7000884120558386</v>
      </c>
      <c r="R244" s="26">
        <v>6.4754820064896608</v>
      </c>
      <c r="S244" s="26">
        <v>7.9573973796581265</v>
      </c>
      <c r="T244" s="26">
        <v>18.883897110432674</v>
      </c>
      <c r="U244" s="26">
        <v>2.1568599368299921</v>
      </c>
      <c r="V244" s="27">
        <v>48.314698844293957</v>
      </c>
      <c r="W244" s="27">
        <v>102.12764884259327</v>
      </c>
      <c r="X244" s="26">
        <v>10.009018836770798</v>
      </c>
      <c r="Y244" s="28">
        <v>112.13666767936391</v>
      </c>
      <c r="Z244" s="17" t="str">
        <f>SUBSTITUTE(SUBSTITUTE(SUBSTITUTE(SUBSTITUTE(IF(E244="","",VLOOKUP(E244,[1]Esquemas_NORM!$A$2:$H$126,8,FALSE)),"PROVINCIA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44" s="17" t="str">
        <f>IF($E244="","",INDEX([1]Esquemas_NORM!$H$2:$K$126,MATCH($E244,[1]Esquemas_NORM!$A$2:$A$126,0),MATCH(AA$4,[1]Esquemas_NORM!$H$1:$K$1,0)))</f>
        <v>A la fecha no ha conformado un EAT Región</v>
      </c>
      <c r="AB244" s="17" t="str">
        <f>IF($E244="","",INDEX([1]Esquemas_NORM!$H$2:$K$126,MATCH($E244,[1]Esquemas_NORM!$A$2:$A$126,0),MATCH(AB$4,[1]Esquemas_NORM!$H$1:$K$1,0)))</f>
        <v>A la fecha no ha conformado un EAT Área Metropolitana</v>
      </c>
      <c r="AC244" s="17" t="str">
        <f>IF($E244="","",INDEX([1]Esquemas_NORM!$H$2:$K$126,MATCH($E244,[1]Esquemas_NORM!$A$2:$A$126,0),MATCH(AC$4,[1]Esquemas_NORM!$H$1:$K$1,0)))</f>
        <v>A la fecha no ha conformado un EAT asociación - unión</v>
      </c>
      <c r="AD244" s="23"/>
    </row>
    <row r="245" spans="1:30" x14ac:dyDescent="0.25">
      <c r="A245" s="24">
        <v>2016</v>
      </c>
      <c r="B245" s="25" t="s">
        <v>36</v>
      </c>
      <c r="C245" s="25" t="s">
        <v>252</v>
      </c>
      <c r="D245" s="25" t="s">
        <v>253</v>
      </c>
      <c r="E245" s="25" t="s">
        <v>302</v>
      </c>
      <c r="F245" s="25" t="s">
        <v>255</v>
      </c>
      <c r="G245" s="25" t="s">
        <v>303</v>
      </c>
      <c r="H245" s="26">
        <v>32.967650522128018</v>
      </c>
      <c r="I245" s="26">
        <v>1.2441699788112786</v>
      </c>
      <c r="J245" s="27">
        <v>34.211820500939297</v>
      </c>
      <c r="K245" s="26">
        <v>4.6012881987800718</v>
      </c>
      <c r="L245" s="26">
        <v>8.5442936220992642</v>
      </c>
      <c r="M245" s="27">
        <v>13.145581820879336</v>
      </c>
      <c r="N245" s="26">
        <v>1.7324509542090802</v>
      </c>
      <c r="O245" s="26">
        <v>7.346558801040497</v>
      </c>
      <c r="P245" s="26">
        <v>1.1669477180580428</v>
      </c>
      <c r="Q245" s="26">
        <v>1.1364360672696163</v>
      </c>
      <c r="R245" s="26">
        <v>4.2756693450557748</v>
      </c>
      <c r="S245" s="26">
        <v>11.766497386201415</v>
      </c>
      <c r="T245" s="26">
        <v>62.356094309704567</v>
      </c>
      <c r="U245" s="26">
        <v>1.2572809934967923</v>
      </c>
      <c r="V245" s="27">
        <v>91.037935575035789</v>
      </c>
      <c r="W245" s="27">
        <v>141.35310555680221</v>
      </c>
      <c r="X245" s="26">
        <v>13.853309188914487</v>
      </c>
      <c r="Y245" s="28">
        <v>155.20641474571681</v>
      </c>
      <c r="Z245" s="17" t="str">
        <f>SUBSTITUTE(SUBSTITUTE(SUBSTITUTE(SUBSTITUTE(IF(E245="","",VLOOKUP(E245,[1]Esquemas_NORM!$A$2:$H$126,8,FALSE)),"PROVINCIA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245" s="17" t="str">
        <f>IF($E245="","",INDEX([1]Esquemas_NORM!$H$2:$K$126,MATCH($E245,[1]Esquemas_NORM!$A$2:$A$126,0),MATCH(AA$4,[1]Esquemas_NORM!$H$1:$K$1,0)))</f>
        <v>A la fecha no ha conformado un EAT Región</v>
      </c>
      <c r="AB245" s="17" t="str">
        <f>IF($E245="","",INDEX([1]Esquemas_NORM!$H$2:$K$126,MATCH($E245,[1]Esquemas_NORM!$A$2:$A$126,0),MATCH(AB$4,[1]Esquemas_NORM!$H$1:$K$1,0)))</f>
        <v>A la fecha no ha conformado un EAT Área Metropolitana</v>
      </c>
      <c r="AC245" s="17" t="str">
        <f>IF($E245="","",INDEX([1]Esquemas_NORM!$H$2:$K$126,MATCH($E245,[1]Esquemas_NORM!$A$2:$A$126,0),MATCH(AC$4,[1]Esquemas_NORM!$H$1:$K$1,0)))</f>
        <v>A la fecha no ha conformado un EAT asociación - unión</v>
      </c>
      <c r="AD245" s="23"/>
    </row>
    <row r="246" spans="1:30" x14ac:dyDescent="0.25">
      <c r="A246" s="24">
        <v>2016</v>
      </c>
      <c r="B246" s="25" t="s">
        <v>36</v>
      </c>
      <c r="C246" s="25" t="s">
        <v>304</v>
      </c>
      <c r="D246" s="25" t="s">
        <v>305</v>
      </c>
      <c r="E246" s="25" t="s">
        <v>306</v>
      </c>
      <c r="F246" s="25" t="s">
        <v>307</v>
      </c>
      <c r="G246" s="25" t="s">
        <v>308</v>
      </c>
      <c r="H246" s="26">
        <v>474.69674309736814</v>
      </c>
      <c r="I246" s="26">
        <v>1.0122934310352769</v>
      </c>
      <c r="J246" s="27">
        <v>475.70903652840343</v>
      </c>
      <c r="K246" s="26">
        <v>71.533472735213365</v>
      </c>
      <c r="L246" s="26">
        <v>141.33792157258429</v>
      </c>
      <c r="M246" s="27">
        <v>212.87139430779766</v>
      </c>
      <c r="N246" s="26">
        <v>66.530409140765755</v>
      </c>
      <c r="O246" s="26">
        <v>485.4370604551612</v>
      </c>
      <c r="P246" s="26">
        <v>53.287204713097658</v>
      </c>
      <c r="Q246" s="26">
        <v>60.752263802745873</v>
      </c>
      <c r="R246" s="26">
        <v>112.60401306214986</v>
      </c>
      <c r="S246" s="26">
        <v>150.0629175983361</v>
      </c>
      <c r="T246" s="26">
        <v>150.2062796637552</v>
      </c>
      <c r="U246" s="26">
        <v>34.957460514532926</v>
      </c>
      <c r="V246" s="27">
        <v>1113.8376089505446</v>
      </c>
      <c r="W246" s="27">
        <v>1855.3526371367755</v>
      </c>
      <c r="X246" s="26">
        <v>181.83380998582479</v>
      </c>
      <c r="Y246" s="28">
        <v>2037.1864471226029</v>
      </c>
      <c r="Z246" s="17" t="str">
        <f>SUBSTITUTE(SUBSTITUTE(SUBSTITUTE(SUBSTITUTE(IF(E246="","",VLOOKUP(E246,[1]Esquemas_NORM!$A$2:$H$126,8,FALSE)),"PROVINCIA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46" s="17" t="str">
        <f>IF($E246="","",INDEX([1]Esquemas_NORM!$H$2:$K$126,MATCH($E246,[1]Esquemas_NORM!$A$2:$A$126,0),MATCH(AA$4,[1]Esquemas_NORM!$H$1:$K$1,0)))</f>
        <v>Región de Planeación y Gestión de Urabá - RPG (Acuerdo de Voluntades)</v>
      </c>
      <c r="AB246" s="17" t="str">
        <f>IF($E246="","",INDEX([1]Esquemas_NORM!$H$2:$K$126,MATCH($E246,[1]Esquemas_NORM!$A$2:$A$126,0),MATCH(AB$4,[1]Esquemas_NORM!$H$1:$K$1,0)))</f>
        <v>A la fecha no ha conformado un EAT Área Metropolitana</v>
      </c>
      <c r="AC246" s="17" t="str">
        <f>IF($E246="","",INDEX([1]Esquemas_NORM!$H$2:$K$126,MATCH($E246,[1]Esquemas_NORM!$A$2:$A$126,0),MATCH(AC$4,[1]Esquemas_NORM!$H$1:$K$1,0)))</f>
        <v>ASOCIACIÓN DE MUNICIPIOS DEL URABÁ ANTIOQUEÑO - ASOMURA</v>
      </c>
      <c r="AD246" s="23"/>
    </row>
    <row r="247" spans="1:30" x14ac:dyDescent="0.25">
      <c r="A247" s="24">
        <v>2016</v>
      </c>
      <c r="B247" s="25" t="s">
        <v>36</v>
      </c>
      <c r="C247" s="25" t="s">
        <v>304</v>
      </c>
      <c r="D247" s="25" t="s">
        <v>309</v>
      </c>
      <c r="E247" s="25" t="s">
        <v>310</v>
      </c>
      <c r="F247" s="25" t="s">
        <v>307</v>
      </c>
      <c r="G247" s="25" t="s">
        <v>311</v>
      </c>
      <c r="H247" s="26">
        <v>46.754026525770193</v>
      </c>
      <c r="I247" s="26">
        <v>0</v>
      </c>
      <c r="J247" s="27">
        <v>46.754026525770193</v>
      </c>
      <c r="K247" s="26">
        <v>1.5002414081970377</v>
      </c>
      <c r="L247" s="26">
        <v>20.103166676991489</v>
      </c>
      <c r="M247" s="27">
        <v>21.603408085188526</v>
      </c>
      <c r="N247" s="26">
        <v>6.927392054421702</v>
      </c>
      <c r="O247" s="26">
        <v>27.324855746610943</v>
      </c>
      <c r="P247" s="26">
        <v>13.967028824598685</v>
      </c>
      <c r="Q247" s="26">
        <v>7.4619659142343862</v>
      </c>
      <c r="R247" s="26">
        <v>13.367196331390181</v>
      </c>
      <c r="S247" s="26">
        <v>22.070639384160458</v>
      </c>
      <c r="T247" s="26">
        <v>71.342112077656267</v>
      </c>
      <c r="U247" s="26">
        <v>7.9907772512049267</v>
      </c>
      <c r="V247" s="27">
        <v>170.45196758427755</v>
      </c>
      <c r="W247" s="27">
        <v>242.89787089267955</v>
      </c>
      <c r="X247" s="26">
        <v>23.805202535526117</v>
      </c>
      <c r="Y247" s="28">
        <v>266.70307342820593</v>
      </c>
      <c r="Z247" s="17" t="str">
        <f>SUBSTITUTE(SUBSTITUTE(SUBSTITUTE(SUBSTITUTE(IF(E247="","",VLOOKUP(E247,[1]Esquemas_NORM!$A$2:$H$126,8,FALSE)),"PROVINCIA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47" s="17" t="str">
        <f>IF($E247="","",INDEX([1]Esquemas_NORM!$H$2:$K$126,MATCH($E247,[1]Esquemas_NORM!$A$2:$A$126,0),MATCH(AA$4,[1]Esquemas_NORM!$H$1:$K$1,0)))</f>
        <v>Región de Planeación y Gestión de Urabá - RPG (Acuerdo de Voluntades)</v>
      </c>
      <c r="AB247" s="17" t="str">
        <f>IF($E247="","",INDEX([1]Esquemas_NORM!$H$2:$K$126,MATCH($E247,[1]Esquemas_NORM!$A$2:$A$126,0),MATCH(AB$4,[1]Esquemas_NORM!$H$1:$K$1,0)))</f>
        <v>A la fecha no ha conformado un EAT Área Metropolitana</v>
      </c>
      <c r="AC247" s="17" t="str">
        <f>IF($E247="","",INDEX([1]Esquemas_NORM!$H$2:$K$126,MATCH($E247,[1]Esquemas_NORM!$A$2:$A$126,0),MATCH(AC$4,[1]Esquemas_NORM!$H$1:$K$1,0)))</f>
        <v>ASOCIACIÓN DE MUNICIPIOS DEL URABÁ ANTIOQUEÑO - ASOMURA /ASOCIACIÓN DE MUNICIPIOS DEL URABÁ NORTE-ASOURANOR</v>
      </c>
      <c r="AD247" s="23"/>
    </row>
    <row r="248" spans="1:30" x14ac:dyDescent="0.25">
      <c r="A248" s="24">
        <v>2016</v>
      </c>
      <c r="B248" s="25" t="s">
        <v>36</v>
      </c>
      <c r="C248" s="25" t="s">
        <v>304</v>
      </c>
      <c r="D248" s="25" t="s">
        <v>305</v>
      </c>
      <c r="E248" s="25" t="s">
        <v>312</v>
      </c>
      <c r="F248" s="25" t="s">
        <v>307</v>
      </c>
      <c r="G248" s="25" t="s">
        <v>313</v>
      </c>
      <c r="H248" s="26">
        <v>605.06162843029244</v>
      </c>
      <c r="I248" s="26">
        <v>0.23352463212025157</v>
      </c>
      <c r="J248" s="27">
        <v>605.29515306241274</v>
      </c>
      <c r="K248" s="26">
        <v>27.285624503830746</v>
      </c>
      <c r="L248" s="26">
        <v>67.275681448425502</v>
      </c>
      <c r="M248" s="27">
        <v>94.561305952256248</v>
      </c>
      <c r="N248" s="26">
        <v>21.253911154982166</v>
      </c>
      <c r="O248" s="26">
        <v>112.3123338921099</v>
      </c>
      <c r="P248" s="26">
        <v>15.596060827564353</v>
      </c>
      <c r="Q248" s="26">
        <v>11.136076903192844</v>
      </c>
      <c r="R248" s="26">
        <v>23.318118729037138</v>
      </c>
      <c r="S248" s="26">
        <v>48.575605025174205</v>
      </c>
      <c r="T248" s="26">
        <v>78.760592708787712</v>
      </c>
      <c r="U248" s="26">
        <v>11.019629591959781</v>
      </c>
      <c r="V248" s="27">
        <v>321.9723288328081</v>
      </c>
      <c r="W248" s="27">
        <v>1081.1558079483727</v>
      </c>
      <c r="X248" s="26">
        <v>105.95866026355689</v>
      </c>
      <c r="Y248" s="28">
        <v>1187.1144682119329</v>
      </c>
      <c r="Z248" s="17" t="str">
        <f>SUBSTITUTE(SUBSTITUTE(SUBSTITUTE(SUBSTITUTE(IF(E248="","",VLOOKUP(E248,[1]Esquemas_NORM!$A$2:$H$126,8,FALSE)),"PROVINCIA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48" s="17" t="str">
        <f>IF($E248="","",INDEX([1]Esquemas_NORM!$H$2:$K$126,MATCH($E248,[1]Esquemas_NORM!$A$2:$A$126,0),MATCH(AA$4,[1]Esquemas_NORM!$H$1:$K$1,0)))</f>
        <v>Región de Planeación y Gestión de Urabá - RPG (Acuerdo de Voluntades)</v>
      </c>
      <c r="AB248" s="17" t="str">
        <f>IF($E248="","",INDEX([1]Esquemas_NORM!$H$2:$K$126,MATCH($E248,[1]Esquemas_NORM!$A$2:$A$126,0),MATCH(AB$4,[1]Esquemas_NORM!$H$1:$K$1,0)))</f>
        <v>A la fecha no ha conformado un EAT Área Metropolitana</v>
      </c>
      <c r="AC248" s="17" t="str">
        <f>IF($E248="","",INDEX([1]Esquemas_NORM!$H$2:$K$126,MATCH($E248,[1]Esquemas_NORM!$A$2:$A$126,0),MATCH(AC$4,[1]Esquemas_NORM!$H$1:$K$1,0)))</f>
        <v>ASOCIACIÓN DE MUNICIPIOS DEL URABÁ ANTIOQUEÑO - ASOMURA / ASOCIACIÓN DE MUNICIPIOS DEL CHOCÓ Y URABÁ - ASUMUCUR</v>
      </c>
      <c r="AD248" s="23"/>
    </row>
    <row r="249" spans="1:30" x14ac:dyDescent="0.25">
      <c r="A249" s="24">
        <v>2016</v>
      </c>
      <c r="B249" s="25" t="s">
        <v>36</v>
      </c>
      <c r="C249" s="25" t="s">
        <v>304</v>
      </c>
      <c r="D249" s="25" t="s">
        <v>305</v>
      </c>
      <c r="E249" s="25" t="s">
        <v>314</v>
      </c>
      <c r="F249" s="25" t="s">
        <v>307</v>
      </c>
      <c r="G249" s="25" t="s">
        <v>315</v>
      </c>
      <c r="H249" s="26">
        <v>290.85385412674719</v>
      </c>
      <c r="I249" s="26">
        <v>0</v>
      </c>
      <c r="J249" s="27">
        <v>290.85385412674719</v>
      </c>
      <c r="K249" s="26">
        <v>25.142681379861429</v>
      </c>
      <c r="L249" s="26">
        <v>44.080552953982561</v>
      </c>
      <c r="M249" s="27">
        <v>69.22323433384399</v>
      </c>
      <c r="N249" s="26">
        <v>25.706097914145815</v>
      </c>
      <c r="O249" s="26">
        <v>164.18388744813902</v>
      </c>
      <c r="P249" s="26">
        <v>18.72449922056996</v>
      </c>
      <c r="Q249" s="26">
        <v>24.501214761223977</v>
      </c>
      <c r="R249" s="26">
        <v>40.331250351313763</v>
      </c>
      <c r="S249" s="26">
        <v>54.830060563227029</v>
      </c>
      <c r="T249" s="26">
        <v>32.158243157164634</v>
      </c>
      <c r="U249" s="26">
        <v>16.367751687516471</v>
      </c>
      <c r="V249" s="27">
        <v>376.80300510330073</v>
      </c>
      <c r="W249" s="27">
        <v>766.91289822697536</v>
      </c>
      <c r="X249" s="26">
        <v>75.161288167333581</v>
      </c>
      <c r="Y249" s="28">
        <v>842.07418639431046</v>
      </c>
      <c r="Z249" s="17" t="str">
        <f>SUBSTITUTE(SUBSTITUTE(SUBSTITUTE(SUBSTITUTE(IF(E249="","",VLOOKUP(E249,[1]Esquemas_NORM!$A$2:$H$126,8,FALSE)),"PROVINCIA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49" s="17" t="str">
        <f>IF($E249="","",INDEX([1]Esquemas_NORM!$H$2:$K$126,MATCH($E249,[1]Esquemas_NORM!$A$2:$A$126,0),MATCH(AA$4,[1]Esquemas_NORM!$H$1:$K$1,0)))</f>
        <v>Región de Planeación y Gestión de Urabá - RPG (Acuerdo de Voluntades)</v>
      </c>
      <c r="AB249" s="17" t="str">
        <f>IF($E249="","",INDEX([1]Esquemas_NORM!$H$2:$K$126,MATCH($E249,[1]Esquemas_NORM!$A$2:$A$126,0),MATCH(AB$4,[1]Esquemas_NORM!$H$1:$K$1,0)))</f>
        <v>A la fecha no ha conformado un EAT Área Metropolitana</v>
      </c>
      <c r="AC249" s="17" t="str">
        <f>IF($E249="","",INDEX([1]Esquemas_NORM!$H$2:$K$126,MATCH($E249,[1]Esquemas_NORM!$A$2:$A$126,0),MATCH(AC$4,[1]Esquemas_NORM!$H$1:$K$1,0)))</f>
        <v>ASOCIACIÓN DE MUNICIPIOS DEL URABÁ ANTIOQUEÑO - ASOMURA</v>
      </c>
      <c r="AD249" s="23"/>
    </row>
    <row r="250" spans="1:30" x14ac:dyDescent="0.25">
      <c r="A250" s="24">
        <v>2016</v>
      </c>
      <c r="B250" s="25" t="s">
        <v>36</v>
      </c>
      <c r="C250" s="25" t="s">
        <v>304</v>
      </c>
      <c r="D250" s="25" t="s">
        <v>316</v>
      </c>
      <c r="E250" s="25" t="s">
        <v>317</v>
      </c>
      <c r="F250" s="25" t="s">
        <v>307</v>
      </c>
      <c r="G250" s="25" t="s">
        <v>318</v>
      </c>
      <c r="H250" s="26">
        <v>1.6735621112523746</v>
      </c>
      <c r="I250" s="26">
        <v>0</v>
      </c>
      <c r="J250" s="27">
        <v>1.6735621112523746</v>
      </c>
      <c r="K250" s="26">
        <v>0.37905748503422043</v>
      </c>
      <c r="L250" s="26">
        <v>2.4768722477279321</v>
      </c>
      <c r="M250" s="27">
        <v>2.8559297327621525</v>
      </c>
      <c r="N250" s="26">
        <v>0.25109438855466082</v>
      </c>
      <c r="O250" s="26">
        <v>1.0437427407704929</v>
      </c>
      <c r="P250" s="26">
        <v>6.8016964219066409</v>
      </c>
      <c r="Q250" s="26">
        <v>0.29969756323121671</v>
      </c>
      <c r="R250" s="26">
        <v>0.78973429521519956</v>
      </c>
      <c r="S250" s="26">
        <v>2.6737624617800027</v>
      </c>
      <c r="T250" s="26">
        <v>16.601531112588948</v>
      </c>
      <c r="U250" s="26">
        <v>0.29584017589246059</v>
      </c>
      <c r="V250" s="27">
        <v>28.757099159939624</v>
      </c>
      <c r="W250" s="27">
        <v>33.325137388490745</v>
      </c>
      <c r="X250" s="26">
        <v>3.2660296368262007</v>
      </c>
      <c r="Y250" s="28">
        <v>36.591167025316935</v>
      </c>
      <c r="Z250" s="17" t="str">
        <f>SUBSTITUTE(SUBSTITUTE(SUBSTITUTE(SUBSTITUTE(IF(E250="","",VLOOKUP(E250,[1]Esquemas_NORM!$A$2:$H$126,8,FALSE)),"PROVINCIA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0" s="17" t="str">
        <f>IF($E250="","",INDEX([1]Esquemas_NORM!$H$2:$K$126,MATCH($E250,[1]Esquemas_NORM!$A$2:$A$126,0),MATCH(AA$4,[1]Esquemas_NORM!$H$1:$K$1,0)))</f>
        <v>Región de Planeación y Gestión de Urabá - RPG (Acuerdo de Voluntades)</v>
      </c>
      <c r="AB250" s="17" t="str">
        <f>IF($E250="","",INDEX([1]Esquemas_NORM!$H$2:$K$126,MATCH($E250,[1]Esquemas_NORM!$A$2:$A$126,0),MATCH(AB$4,[1]Esquemas_NORM!$H$1:$K$1,0)))</f>
        <v>A la fecha no ha conformado un EAT Área Metropolitana</v>
      </c>
      <c r="AC250" s="17" t="str">
        <f>IF($E250="","",INDEX([1]Esquemas_NORM!$H$2:$K$126,MATCH($E250,[1]Esquemas_NORM!$A$2:$A$126,0),MATCH(AC$4,[1]Esquemas_NORM!$H$1:$K$1,0)))</f>
        <v>ASOCIACION DE MUNICIPIOS DE LA CUENCA DEL ATRATO Y DARIEN ASOATRATO / ASOCIACIÓN DE MUNICIPIOS DEL CHOCÓ Y URABÁ - ASUMUCUR</v>
      </c>
      <c r="AD250" s="23"/>
    </row>
    <row r="251" spans="1:30" x14ac:dyDescent="0.25">
      <c r="A251" s="24">
        <v>2016</v>
      </c>
      <c r="B251" s="25" t="s">
        <v>36</v>
      </c>
      <c r="C251" s="25" t="s">
        <v>304</v>
      </c>
      <c r="D251" s="25" t="s">
        <v>305</v>
      </c>
      <c r="E251" s="25" t="s">
        <v>319</v>
      </c>
      <c r="F251" s="25" t="s">
        <v>307</v>
      </c>
      <c r="G251" s="25" t="s">
        <v>320</v>
      </c>
      <c r="H251" s="26">
        <v>32.349760021640527</v>
      </c>
      <c r="I251" s="26">
        <v>1.5107759531450873</v>
      </c>
      <c r="J251" s="27">
        <v>33.860535974785613</v>
      </c>
      <c r="K251" s="26">
        <v>1.5294065017447827</v>
      </c>
      <c r="L251" s="26">
        <v>10.251636217263663</v>
      </c>
      <c r="M251" s="27">
        <v>11.781042719008445</v>
      </c>
      <c r="N251" s="26">
        <v>3.5458493553407662</v>
      </c>
      <c r="O251" s="26">
        <v>11.684523568334157</v>
      </c>
      <c r="P251" s="26">
        <v>2.8435081256288339</v>
      </c>
      <c r="Q251" s="26">
        <v>2.2670879163109205</v>
      </c>
      <c r="R251" s="26">
        <v>4.5239315460782628</v>
      </c>
      <c r="S251" s="26">
        <v>10.694939692413277</v>
      </c>
      <c r="T251" s="26">
        <v>51.148306126234523</v>
      </c>
      <c r="U251" s="26">
        <v>1.5180149855270388</v>
      </c>
      <c r="V251" s="27">
        <v>88.226161315867785</v>
      </c>
      <c r="W251" s="27">
        <v>136.957965464902</v>
      </c>
      <c r="X251" s="26">
        <v>13.422563543944589</v>
      </c>
      <c r="Y251" s="28">
        <v>150.38052900884668</v>
      </c>
      <c r="Z251" s="17" t="str">
        <f>SUBSTITUTE(SUBSTITUTE(SUBSTITUTE(SUBSTITUTE(IF(E251="","",VLOOKUP(E251,[1]Esquemas_NORM!$A$2:$H$126,8,FALSE)),"PROVINCIA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1" s="17" t="str">
        <f>IF($E251="","",INDEX([1]Esquemas_NORM!$H$2:$K$126,MATCH($E251,[1]Esquemas_NORM!$A$2:$A$126,0),MATCH(AA$4,[1]Esquemas_NORM!$H$1:$K$1,0)))</f>
        <v>Región de Planeación y Gestión de Urabá - RPG (Acuerdo de Voluntades)</v>
      </c>
      <c r="AB251" s="17" t="str">
        <f>IF($E251="","",INDEX([1]Esquemas_NORM!$H$2:$K$126,MATCH($E251,[1]Esquemas_NORM!$A$2:$A$126,0),MATCH(AB$4,[1]Esquemas_NORM!$H$1:$K$1,0)))</f>
        <v>A la fecha no ha conformado un EAT Área Metropolitana</v>
      </c>
      <c r="AC251" s="17" t="str">
        <f>IF($E251="","",INDEX([1]Esquemas_NORM!$H$2:$K$126,MATCH($E251,[1]Esquemas_NORM!$A$2:$A$126,0),MATCH(AC$4,[1]Esquemas_NORM!$H$1:$K$1,0)))</f>
        <v>ASOCIACIÓN DE MUNICIPIOS DEL URABÁ ANTIOQUEÑO - ASOMURA / ASOCIACIÓN DE MUNICIPIOS DEL CHOCÓ Y URABÁ - ASUMUCUR</v>
      </c>
      <c r="AD251" s="23"/>
    </row>
    <row r="252" spans="1:30" x14ac:dyDescent="0.25">
      <c r="A252" s="24">
        <v>2016</v>
      </c>
      <c r="B252" s="25" t="s">
        <v>36</v>
      </c>
      <c r="C252" s="25" t="s">
        <v>304</v>
      </c>
      <c r="D252" s="25" t="s">
        <v>309</v>
      </c>
      <c r="E252" s="25" t="s">
        <v>321</v>
      </c>
      <c r="F252" s="25" t="s">
        <v>307</v>
      </c>
      <c r="G252" s="25" t="s">
        <v>322</v>
      </c>
      <c r="H252" s="26">
        <v>73.720551260672494</v>
      </c>
      <c r="I252" s="26">
        <v>0</v>
      </c>
      <c r="J252" s="27">
        <v>73.720551260672494</v>
      </c>
      <c r="K252" s="26">
        <v>2.0807150369353877</v>
      </c>
      <c r="L252" s="26">
        <v>33.160928034105439</v>
      </c>
      <c r="M252" s="27">
        <v>35.241643071040826</v>
      </c>
      <c r="N252" s="26">
        <v>26.420723098743935</v>
      </c>
      <c r="O252" s="26">
        <v>90.497229917322997</v>
      </c>
      <c r="P252" s="26">
        <v>14.864611179539651</v>
      </c>
      <c r="Q252" s="26">
        <v>13.084639726105609</v>
      </c>
      <c r="R252" s="26">
        <v>24.633378350447511</v>
      </c>
      <c r="S252" s="26">
        <v>36.501014178630562</v>
      </c>
      <c r="T252" s="26">
        <v>60.051042255308879</v>
      </c>
      <c r="U252" s="26">
        <v>12.041876674959344</v>
      </c>
      <c r="V252" s="27">
        <v>278.0945153810585</v>
      </c>
      <c r="W252" s="27">
        <v>395.74932863800672</v>
      </c>
      <c r="X252" s="26">
        <v>38.785407574398548</v>
      </c>
      <c r="Y252" s="28">
        <v>434.53473621240562</v>
      </c>
      <c r="Z252" s="17" t="str">
        <f>SUBSTITUTE(SUBSTITUTE(SUBSTITUTE(SUBSTITUTE(IF(E252="","",VLOOKUP(E252,[1]Esquemas_NORM!$A$2:$H$126,8,FALSE)),"PROVINCIA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2" s="17" t="str">
        <f>IF($E252="","",INDEX([1]Esquemas_NORM!$H$2:$K$126,MATCH($E252,[1]Esquemas_NORM!$A$2:$A$126,0),MATCH(AA$4,[1]Esquemas_NORM!$H$1:$K$1,0)))</f>
        <v>Región de Planeación y Gestión de Urabá - RPG (Acuerdo de Voluntades)</v>
      </c>
      <c r="AB252" s="17" t="str">
        <f>IF($E252="","",INDEX([1]Esquemas_NORM!$H$2:$K$126,MATCH($E252,[1]Esquemas_NORM!$A$2:$A$126,0),MATCH(AB$4,[1]Esquemas_NORM!$H$1:$K$1,0)))</f>
        <v>A la fecha no ha conformado un EAT Área Metropolitana</v>
      </c>
      <c r="AC252" s="17" t="str">
        <f>IF($E252="","",INDEX([1]Esquemas_NORM!$H$2:$K$126,MATCH($E252,[1]Esquemas_NORM!$A$2:$A$126,0),MATCH(AC$4,[1]Esquemas_NORM!$H$1:$K$1,0)))</f>
        <v>ASOCIACIÓN DE MUNICIPIOS DEL URABÁ NORTE-ASOURANOR</v>
      </c>
      <c r="AD252" s="23"/>
    </row>
    <row r="253" spans="1:30" x14ac:dyDescent="0.25">
      <c r="A253" s="24">
        <v>2016</v>
      </c>
      <c r="B253" s="25" t="s">
        <v>36</v>
      </c>
      <c r="C253" s="25" t="s">
        <v>304</v>
      </c>
      <c r="D253" s="25" t="s">
        <v>309</v>
      </c>
      <c r="E253" s="25" t="s">
        <v>323</v>
      </c>
      <c r="F253" s="25" t="s">
        <v>307</v>
      </c>
      <c r="G253" s="25" t="s">
        <v>324</v>
      </c>
      <c r="H253" s="26">
        <v>48.792447482619828</v>
      </c>
      <c r="I253" s="26">
        <v>0</v>
      </c>
      <c r="J253" s="27">
        <v>48.792447482619828</v>
      </c>
      <c r="K253" s="26">
        <v>1.1263386951473493</v>
      </c>
      <c r="L253" s="26">
        <v>14.168072479517516</v>
      </c>
      <c r="M253" s="27">
        <v>15.294411174664866</v>
      </c>
      <c r="N253" s="26">
        <v>5.4563137607366716</v>
      </c>
      <c r="O253" s="26">
        <v>19.1801585636053</v>
      </c>
      <c r="P253" s="26">
        <v>5.0999300982794784</v>
      </c>
      <c r="Q253" s="26">
        <v>4.0495413116649717</v>
      </c>
      <c r="R253" s="26">
        <v>4.5375903000140392</v>
      </c>
      <c r="S253" s="26">
        <v>13.729311674463062</v>
      </c>
      <c r="T253" s="26">
        <v>51.895462775679334</v>
      </c>
      <c r="U253" s="26">
        <v>2.9318856881774362</v>
      </c>
      <c r="V253" s="27">
        <v>106.88019417262029</v>
      </c>
      <c r="W253" s="27">
        <v>175.67650547640841</v>
      </c>
      <c r="X253" s="26">
        <v>17.217173531533096</v>
      </c>
      <c r="Y253" s="28">
        <v>192.89367900794167</v>
      </c>
      <c r="Z253" s="17" t="str">
        <f>SUBSTITUTE(SUBSTITUTE(SUBSTITUTE(SUBSTITUTE(IF(E253="","",VLOOKUP(E253,[1]Esquemas_NORM!$A$2:$H$126,8,FALSE)),"PROVINCIA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3" s="17" t="str">
        <f>IF($E253="","",INDEX([1]Esquemas_NORM!$H$2:$K$126,MATCH($E253,[1]Esquemas_NORM!$A$2:$A$126,0),MATCH(AA$4,[1]Esquemas_NORM!$H$1:$K$1,0)))</f>
        <v>Región de Planeación y Gestión de Urabá - RPG (Acuerdo de Voluntades)</v>
      </c>
      <c r="AB253" s="17" t="str">
        <f>IF($E253="","",INDEX([1]Esquemas_NORM!$H$2:$K$126,MATCH($E253,[1]Esquemas_NORM!$A$2:$A$126,0),MATCH(AB$4,[1]Esquemas_NORM!$H$1:$K$1,0)))</f>
        <v>A la fecha no ha conformado un EAT Área Metropolitana</v>
      </c>
      <c r="AC253" s="17" t="str">
        <f>IF($E253="","",INDEX([1]Esquemas_NORM!$H$2:$K$126,MATCH($E253,[1]Esquemas_NORM!$A$2:$A$126,0),MATCH(AC$4,[1]Esquemas_NORM!$H$1:$K$1,0)))</f>
        <v>ASOCIACIÓN DE MUNICIPIOS DEL URABÁ ANTIOQUEÑO - ASOMURA / ASOCIACIÓN DE MUNICIPIOS DEL CHOCÓ Y URABÁ - ASUMUCUR</v>
      </c>
      <c r="AD253" s="23"/>
    </row>
    <row r="254" spans="1:30" x14ac:dyDescent="0.25">
      <c r="A254" s="24">
        <v>2016</v>
      </c>
      <c r="B254" s="25" t="s">
        <v>36</v>
      </c>
      <c r="C254" s="25" t="s">
        <v>304</v>
      </c>
      <c r="D254" s="25" t="s">
        <v>309</v>
      </c>
      <c r="E254" s="25" t="s">
        <v>325</v>
      </c>
      <c r="F254" s="25" t="s">
        <v>307</v>
      </c>
      <c r="G254" s="25" t="s">
        <v>326</v>
      </c>
      <c r="H254" s="26">
        <v>52.429232761653203</v>
      </c>
      <c r="I254" s="26">
        <v>0</v>
      </c>
      <c r="J254" s="27">
        <v>52.429232761653203</v>
      </c>
      <c r="K254" s="26">
        <v>1.862433261967386</v>
      </c>
      <c r="L254" s="26">
        <v>19.713051083694626</v>
      </c>
      <c r="M254" s="27">
        <v>21.575484345662012</v>
      </c>
      <c r="N254" s="26">
        <v>3.1156699615131043</v>
      </c>
      <c r="O254" s="26">
        <v>13.430855093815637</v>
      </c>
      <c r="P254" s="26">
        <v>3.4185209267893542</v>
      </c>
      <c r="Q254" s="26">
        <v>2.8169175413171792</v>
      </c>
      <c r="R254" s="26">
        <v>4.176055055463574</v>
      </c>
      <c r="S254" s="26">
        <v>21.145637018574629</v>
      </c>
      <c r="T254" s="26">
        <v>119.88337965933516</v>
      </c>
      <c r="U254" s="26">
        <v>1.8974825084684885</v>
      </c>
      <c r="V254" s="27">
        <v>169.88451776527714</v>
      </c>
      <c r="W254" s="27">
        <v>248.61172717230889</v>
      </c>
      <c r="X254" s="26">
        <v>24.365188942552528</v>
      </c>
      <c r="Y254" s="28">
        <v>272.97691611486164</v>
      </c>
      <c r="Z254" s="17" t="str">
        <f>SUBSTITUTE(SUBSTITUTE(SUBSTITUTE(SUBSTITUTE(IF(E254="","",VLOOKUP(E254,[1]Esquemas_NORM!$A$2:$H$126,8,FALSE)),"PROVINCIA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4" s="17" t="str">
        <f>IF($E254="","",INDEX([1]Esquemas_NORM!$H$2:$K$126,MATCH($E254,[1]Esquemas_NORM!$A$2:$A$126,0),MATCH(AA$4,[1]Esquemas_NORM!$H$1:$K$1,0)))</f>
        <v>Región de Planeación y Gestión de Urabá - RPG (Acuerdo de Voluntades)</v>
      </c>
      <c r="AB254" s="17" t="str">
        <f>IF($E254="","",INDEX([1]Esquemas_NORM!$H$2:$K$126,MATCH($E254,[1]Esquemas_NORM!$A$2:$A$126,0),MATCH(AB$4,[1]Esquemas_NORM!$H$1:$K$1,0)))</f>
        <v>A la fecha no ha conformado un EAT Área Metropolitana</v>
      </c>
      <c r="AC254" s="17" t="str">
        <f>IF($E254="","",INDEX([1]Esquemas_NORM!$H$2:$K$126,MATCH($E254,[1]Esquemas_NORM!$A$2:$A$126,0),MATCH(AC$4,[1]Esquemas_NORM!$H$1:$K$1,0)))</f>
        <v>ASOCIACIÓN DE MUNICIPIOS DEL URABÁ NORTE-ASOURANOR</v>
      </c>
      <c r="AD254" s="23"/>
    </row>
    <row r="255" spans="1:30" x14ac:dyDescent="0.25">
      <c r="A255" s="24">
        <v>2016</v>
      </c>
      <c r="B255" s="25" t="s">
        <v>36</v>
      </c>
      <c r="C255" s="25" t="s">
        <v>304</v>
      </c>
      <c r="D255" s="25" t="s">
        <v>305</v>
      </c>
      <c r="E255" s="25" t="s">
        <v>327</v>
      </c>
      <c r="F255" s="25" t="s">
        <v>307</v>
      </c>
      <c r="G255" s="25" t="s">
        <v>328</v>
      </c>
      <c r="H255" s="26">
        <v>726.14333634336674</v>
      </c>
      <c r="I255" s="26">
        <v>0.46958268445417461</v>
      </c>
      <c r="J255" s="27">
        <v>726.61291902782091</v>
      </c>
      <c r="K255" s="26">
        <v>24.945921278556334</v>
      </c>
      <c r="L255" s="26">
        <v>152.66050115762039</v>
      </c>
      <c r="M255" s="27">
        <v>177.60642243617673</v>
      </c>
      <c r="N255" s="26">
        <v>83.312442970048451</v>
      </c>
      <c r="O255" s="26">
        <v>363.71597436655941</v>
      </c>
      <c r="P255" s="26">
        <v>53.367788621857905</v>
      </c>
      <c r="Q255" s="26">
        <v>64.102901265016754</v>
      </c>
      <c r="R255" s="26">
        <v>108.07157596465984</v>
      </c>
      <c r="S255" s="26">
        <v>166.49180526527576</v>
      </c>
      <c r="T255" s="26">
        <v>134.24246840353567</v>
      </c>
      <c r="U255" s="26">
        <v>49.838864318630748</v>
      </c>
      <c r="V255" s="27">
        <v>1023.1438211755844</v>
      </c>
      <c r="W255" s="27">
        <v>2001.138519561882</v>
      </c>
      <c r="X255" s="26">
        <v>196.12155341143745</v>
      </c>
      <c r="Y255" s="28">
        <v>2197.2600729733235</v>
      </c>
      <c r="Z255" s="17" t="str">
        <f>SUBSTITUTE(SUBSTITUTE(SUBSTITUTE(SUBSTITUTE(IF(E255="","",VLOOKUP(E255,[1]Esquemas_NORM!$A$2:$H$126,8,FALSE)),"PROVINCIA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5" s="17" t="str">
        <f>IF($E255="","",INDEX([1]Esquemas_NORM!$H$2:$K$126,MATCH($E255,[1]Esquemas_NORM!$A$2:$A$126,0),MATCH(AA$4,[1]Esquemas_NORM!$H$1:$K$1,0)))</f>
        <v>Región de Planeación y Gestión de Urabá - RPG (Acuerdo de Voluntades)</v>
      </c>
      <c r="AB255" s="17" t="str">
        <f>IF($E255="","",INDEX([1]Esquemas_NORM!$H$2:$K$126,MATCH($E255,[1]Esquemas_NORM!$A$2:$A$126,0),MATCH(AB$4,[1]Esquemas_NORM!$H$1:$K$1,0)))</f>
        <v>A la fecha no ha conformado un EAT Área Metropolitana</v>
      </c>
      <c r="AC255" s="17" t="str">
        <f>IF($E255="","",INDEX([1]Esquemas_NORM!$H$2:$K$126,MATCH($E255,[1]Esquemas_NORM!$A$2:$A$126,0),MATCH(AC$4,[1]Esquemas_NORM!$H$1:$K$1,0)))</f>
        <v>ASOCIACIÓN DE MUNICIPIOS DEL URABÁ ANTIOQUEÑO - ASOMURA</v>
      </c>
      <c r="AD255" s="23"/>
    </row>
    <row r="256" spans="1:30" ht="15.75" thickBot="1" x14ac:dyDescent="0.3">
      <c r="A256" s="29">
        <v>2016</v>
      </c>
      <c r="B256" s="30" t="s">
        <v>36</v>
      </c>
      <c r="C256" s="30" t="s">
        <v>304</v>
      </c>
      <c r="D256" s="30" t="s">
        <v>316</v>
      </c>
      <c r="E256" s="30" t="s">
        <v>329</v>
      </c>
      <c r="F256" s="30" t="s">
        <v>307</v>
      </c>
      <c r="G256" s="30" t="s">
        <v>330</v>
      </c>
      <c r="H256" s="32">
        <v>8.5148127841936727</v>
      </c>
      <c r="I256" s="32">
        <v>0</v>
      </c>
      <c r="J256" s="33">
        <v>8.5148127841936727</v>
      </c>
      <c r="K256" s="32">
        <v>0</v>
      </c>
      <c r="L256" s="32">
        <v>4.4668370771695596</v>
      </c>
      <c r="M256" s="33">
        <v>4.4668370771695596</v>
      </c>
      <c r="N256" s="32">
        <v>1.1714135505995951</v>
      </c>
      <c r="O256" s="32">
        <v>3.3210510851417148</v>
      </c>
      <c r="P256" s="32">
        <v>1.3688312251976604</v>
      </c>
      <c r="Q256" s="32">
        <v>0.88978122270336857</v>
      </c>
      <c r="R256" s="32">
        <v>2.0502877058596911</v>
      </c>
      <c r="S256" s="32">
        <v>4.3734767776242771</v>
      </c>
      <c r="T256" s="32">
        <v>24.379348660161632</v>
      </c>
      <c r="U256" s="32">
        <v>0.98623775598821717</v>
      </c>
      <c r="V256" s="33">
        <v>38.54042798327616</v>
      </c>
      <c r="W256" s="33">
        <v>52.251452175358928</v>
      </c>
      <c r="X256" s="32">
        <v>5.1209028602778011</v>
      </c>
      <c r="Y256" s="35">
        <v>57.372355035636794</v>
      </c>
      <c r="Z256" s="17" t="str">
        <f>SUBSTITUTE(SUBSTITUTE(SUBSTITUTE(SUBSTITUTE(IF(E256="","",VLOOKUP(E256,[1]Esquemas_NORM!$A$2:$H$126,8,FALSE)),"PROVINCIA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6" s="17" t="str">
        <f>IF($E256="","",INDEX([1]Esquemas_NORM!$H$2:$K$126,MATCH($E256,[1]Esquemas_NORM!$A$2:$A$126,0),MATCH(AA$4,[1]Esquemas_NORM!$H$1:$K$1,0)))</f>
        <v>Región de Planeación y Gestión de Urabá - RPG (Acuerdo de Voluntades)</v>
      </c>
      <c r="AB256" s="17" t="str">
        <f>IF($E256="","",INDEX([1]Esquemas_NORM!$H$2:$K$126,MATCH($E256,[1]Esquemas_NORM!$A$2:$A$126,0),MATCH(AB$4,[1]Esquemas_NORM!$H$1:$K$1,0)))</f>
        <v>A la fecha no ha conformado un EAT Área Metropolitana</v>
      </c>
      <c r="AC256" s="17" t="str">
        <f>IF($E256="","",INDEX([1]Esquemas_NORM!$H$2:$K$126,MATCH($E256,[1]Esquemas_NORM!$A$2:$A$126,0),MATCH(AC$4,[1]Esquemas_NORM!$H$1:$K$1,0)))</f>
        <v>ASOCIACION DE MUNICIPIOS DE LA CUENCA DEL ATRATO Y DARIEN ASOATRATO</v>
      </c>
      <c r="AD256" s="23"/>
    </row>
    <row r="257" spans="1:30" ht="15.75" thickBot="1" x14ac:dyDescent="0.3">
      <c r="A257" s="38">
        <v>2017</v>
      </c>
      <c r="B257" s="39" t="s">
        <v>36</v>
      </c>
      <c r="C257" s="39"/>
      <c r="D257" s="39"/>
      <c r="E257" s="39"/>
      <c r="F257" s="39"/>
      <c r="G257" s="39" t="s">
        <v>37</v>
      </c>
      <c r="H257" s="40">
        <v>6567.3352611226419</v>
      </c>
      <c r="I257" s="40">
        <v>2186.5367267589627</v>
      </c>
      <c r="J257" s="40">
        <v>8753.8719878816046</v>
      </c>
      <c r="K257" s="40">
        <v>19966.801305303514</v>
      </c>
      <c r="L257" s="40">
        <v>9676.7792291328406</v>
      </c>
      <c r="M257" s="40">
        <v>29643.580534436354</v>
      </c>
      <c r="N257" s="40">
        <v>5129.5642905651694</v>
      </c>
      <c r="O257" s="40">
        <v>19714.445043787149</v>
      </c>
      <c r="P257" s="40">
        <v>3378.945248328479</v>
      </c>
      <c r="Q257" s="40">
        <v>5991.5180597577437</v>
      </c>
      <c r="R257" s="40">
        <v>10578.356428752151</v>
      </c>
      <c r="S257" s="40">
        <v>10651.841549997253</v>
      </c>
      <c r="T257" s="40">
        <v>13491.656776350132</v>
      </c>
      <c r="U257" s="40">
        <v>2898.4052495337237</v>
      </c>
      <c r="V257" s="40">
        <v>71834.732647071811</v>
      </c>
      <c r="W257" s="40">
        <v>110228.61784193014</v>
      </c>
      <c r="X257" s="40">
        <v>10741.993629906479</v>
      </c>
      <c r="Y257" s="41">
        <v>120973.26658047568</v>
      </c>
      <c r="Z257" s="17" t="str">
        <f>SUBSTITUTE(SUBSTITUTE(SUBSTITUTE(SUBSTITUTE(IF(E257="","",VLOOKUP(E257,[1]Esquemas_NORM!$A$2:$H$126,8,FALSE)),"PROVINCIA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257" s="17" t="str">
        <f>IF($E257="","",INDEX([1]Esquemas_NORM!$H$2:$K$126,MATCH($E257,[1]Esquemas_NORM!$A$2:$A$126,0),MATCH(AA$4,[1]Esquemas_NORM!$H$1:$K$1,0)))</f>
        <v/>
      </c>
      <c r="AB257" s="17" t="str">
        <f>IF($E257="","",INDEX([1]Esquemas_NORM!$H$2:$K$126,MATCH($E257,[1]Esquemas_NORM!$A$2:$A$126,0),MATCH(AB$4,[1]Esquemas_NORM!$H$1:$K$1,0)))</f>
        <v/>
      </c>
      <c r="AC257" s="17" t="str">
        <f>IF($E257="","",INDEX([1]Esquemas_NORM!$H$2:$K$126,MATCH($E257,[1]Esquemas_NORM!$A$2:$A$126,0),MATCH(AC$4,[1]Esquemas_NORM!$H$1:$K$1,0)))</f>
        <v/>
      </c>
      <c r="AD257" s="23"/>
    </row>
    <row r="258" spans="1:30" x14ac:dyDescent="0.25">
      <c r="A258" s="18">
        <v>2017</v>
      </c>
      <c r="B258" s="19" t="s">
        <v>36</v>
      </c>
      <c r="C258" s="19" t="s">
        <v>38</v>
      </c>
      <c r="D258" s="19" t="s">
        <v>39</v>
      </c>
      <c r="E258" s="19" t="s">
        <v>40</v>
      </c>
      <c r="F258" s="19" t="s">
        <v>41</v>
      </c>
      <c r="G258" s="19" t="s">
        <v>42</v>
      </c>
      <c r="H258" s="20">
        <v>122.67526666490987</v>
      </c>
      <c r="I258" s="20">
        <v>4.5513769375451574</v>
      </c>
      <c r="J258" s="21">
        <v>127.22664360245503</v>
      </c>
      <c r="K258" s="20">
        <v>6749.8982256358267</v>
      </c>
      <c r="L258" s="20">
        <v>5119.8149115522283</v>
      </c>
      <c r="M258" s="21">
        <v>11869.713137188055</v>
      </c>
      <c r="N258" s="20">
        <v>1658.8878871325905</v>
      </c>
      <c r="O258" s="20">
        <v>9188.4926625411608</v>
      </c>
      <c r="P258" s="20">
        <v>1577.0916491210405</v>
      </c>
      <c r="Q258" s="20">
        <v>4314.510092167412</v>
      </c>
      <c r="R258" s="20">
        <v>5257.5386431743873</v>
      </c>
      <c r="S258" s="20">
        <v>5042.9075570674931</v>
      </c>
      <c r="T258" s="20">
        <v>6714.9181721263394</v>
      </c>
      <c r="U258" s="20">
        <v>1386.1083991708397</v>
      </c>
      <c r="V258" s="21">
        <v>35140.455062501263</v>
      </c>
      <c r="W258" s="21">
        <v>47026.709967989969</v>
      </c>
      <c r="X258" s="20">
        <v>4582.8445353094985</v>
      </c>
      <c r="Y258" s="22">
        <v>51610.687249280913</v>
      </c>
      <c r="Z258" s="17" t="str">
        <f>SUBSTITUTE(SUBSTITUTE(SUBSTITUTE(SUBSTITUTE(IF(E258="","",VLOOKUP(E258,[1]Esquemas_NORM!$A$2:$H$126,8,FALSE)),"PROVINCIA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8" s="17" t="str">
        <f>IF($E258="","",INDEX([1]Esquemas_NORM!$H$2:$K$126,MATCH($E258,[1]Esquemas_NORM!$A$2:$A$126,0),MATCH(AA$4,[1]Esquemas_NORM!$H$1:$K$1,0)))</f>
        <v>A la fecha no ha conformado un EAT Región</v>
      </c>
      <c r="AB258" s="17" t="str">
        <f>IF($E258="","",INDEX([1]Esquemas_NORM!$H$2:$K$126,MATCH($E258,[1]Esquemas_NORM!$A$2:$A$126,0),MATCH(AB$4,[1]Esquemas_NORM!$H$1:$K$1,0)))</f>
        <v>Área Metropolitana del Valle de Aburrá</v>
      </c>
      <c r="AC258" s="17" t="str">
        <f>IF($E258="","",INDEX([1]Esquemas_NORM!$H$2:$K$126,MATCH($E258,[1]Esquemas_NORM!$A$2:$A$126,0),MATCH(AC$4,[1]Esquemas_NORM!$H$1:$K$1,0)))</f>
        <v>A la fecha no ha conformado un EAT asociación - unión</v>
      </c>
      <c r="AD258" s="23"/>
    </row>
    <row r="259" spans="1:30" x14ac:dyDescent="0.25">
      <c r="A259" s="24">
        <v>2017</v>
      </c>
      <c r="B259" s="25" t="s">
        <v>36</v>
      </c>
      <c r="C259" s="25" t="s">
        <v>38</v>
      </c>
      <c r="D259" s="25" t="s">
        <v>43</v>
      </c>
      <c r="E259" s="25" t="s">
        <v>44</v>
      </c>
      <c r="F259" s="25" t="s">
        <v>41</v>
      </c>
      <c r="G259" s="25" t="s">
        <v>45</v>
      </c>
      <c r="H259" s="26">
        <v>86.030083134190946</v>
      </c>
      <c r="I259" s="26">
        <v>1.3031200469989936</v>
      </c>
      <c r="J259" s="27">
        <v>87.333203181189944</v>
      </c>
      <c r="K259" s="26">
        <v>296.83833207364671</v>
      </c>
      <c r="L259" s="26">
        <v>51.075987986836779</v>
      </c>
      <c r="M259" s="27">
        <v>347.91432006048348</v>
      </c>
      <c r="N259" s="26">
        <v>110.54201780560273</v>
      </c>
      <c r="O259" s="26">
        <v>72.231811279628616</v>
      </c>
      <c r="P259" s="26">
        <v>11.880601938407091</v>
      </c>
      <c r="Q259" s="26">
        <v>8.7228756789754698</v>
      </c>
      <c r="R259" s="26">
        <v>40.950685608987953</v>
      </c>
      <c r="S259" s="26">
        <v>43.36564054847144</v>
      </c>
      <c r="T259" s="26">
        <v>34.931518932568828</v>
      </c>
      <c r="U259" s="26">
        <v>11.048077372034106</v>
      </c>
      <c r="V259" s="27">
        <v>333.67322916467629</v>
      </c>
      <c r="W259" s="27">
        <v>759.71360828149693</v>
      </c>
      <c r="X259" s="26">
        <v>74.035571709853301</v>
      </c>
      <c r="Y259" s="28">
        <v>833.76747943303803</v>
      </c>
      <c r="Z259" s="17" t="str">
        <f>SUBSTITUTE(SUBSTITUTE(SUBSTITUTE(SUBSTITUTE(IF(E259="","",VLOOKUP(E259,[1]Esquemas_NORM!$A$2:$H$126,8,FALSE)),"PROVINCIA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59" s="17" t="str">
        <f>IF($E259="","",INDEX([1]Esquemas_NORM!$H$2:$K$126,MATCH($E259,[1]Esquemas_NORM!$A$2:$A$126,0),MATCH(AA$4,[1]Esquemas_NORM!$H$1:$K$1,0)))</f>
        <v>A la fecha no ha conformado un EAT Región</v>
      </c>
      <c r="AB259" s="17" t="str">
        <f>IF($E259="","",INDEX([1]Esquemas_NORM!$H$2:$K$126,MATCH($E259,[1]Esquemas_NORM!$A$2:$A$126,0),MATCH(AB$4,[1]Esquemas_NORM!$H$1:$K$1,0)))</f>
        <v>Área Metropolitana del Valle de Aburrá</v>
      </c>
      <c r="AC259" s="17" t="str">
        <f>IF($E259="","",INDEX([1]Esquemas_NORM!$H$2:$K$126,MATCH($E259,[1]Esquemas_NORM!$A$2:$A$126,0),MATCH(AC$4,[1]Esquemas_NORM!$H$1:$K$1,0)))</f>
        <v>A la fecha no ha conformado un EAT asociación - unión</v>
      </c>
      <c r="AD259" s="23"/>
    </row>
    <row r="260" spans="1:30" x14ac:dyDescent="0.25">
      <c r="A260" s="24">
        <v>2017</v>
      </c>
      <c r="B260" s="25" t="s">
        <v>36</v>
      </c>
      <c r="C260" s="25" t="s">
        <v>38</v>
      </c>
      <c r="D260" s="25" t="s">
        <v>43</v>
      </c>
      <c r="E260" s="25" t="s">
        <v>46</v>
      </c>
      <c r="F260" s="25" t="s">
        <v>41</v>
      </c>
      <c r="G260" s="25" t="s">
        <v>47</v>
      </c>
      <c r="H260" s="26">
        <v>23.45473093228539</v>
      </c>
      <c r="I260" s="26">
        <v>0.31001124869064217</v>
      </c>
      <c r="J260" s="27">
        <v>23.764742180976032</v>
      </c>
      <c r="K260" s="26">
        <v>556.1672776378515</v>
      </c>
      <c r="L260" s="26">
        <v>476.3360279982532</v>
      </c>
      <c r="M260" s="27">
        <v>1032.5033056361046</v>
      </c>
      <c r="N260" s="26">
        <v>190.55275989485736</v>
      </c>
      <c r="O260" s="26">
        <v>1237.0077447348538</v>
      </c>
      <c r="P260" s="26">
        <v>120.79141144089506</v>
      </c>
      <c r="Q260" s="26">
        <v>176.0278683019055</v>
      </c>
      <c r="R260" s="26">
        <v>612.83433672216654</v>
      </c>
      <c r="S260" s="26">
        <v>482.85839126426959</v>
      </c>
      <c r="T260" s="26">
        <v>719.4480591834598</v>
      </c>
      <c r="U260" s="26">
        <v>179.51799461673696</v>
      </c>
      <c r="V260" s="27">
        <v>3719.0385661591449</v>
      </c>
      <c r="W260" s="27">
        <v>4806.8979887311252</v>
      </c>
      <c r="X260" s="26">
        <v>468.44157701956033</v>
      </c>
      <c r="Y260" s="28">
        <v>5275.4553508945673</v>
      </c>
      <c r="Z260" s="17" t="str">
        <f>SUBSTITUTE(SUBSTITUTE(SUBSTITUTE(SUBSTITUTE(IF(E260="","",VLOOKUP(E260,[1]Esquemas_NORM!$A$2:$H$126,8,FALSE)),"PROVINCIA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0" s="17" t="str">
        <f>IF($E260="","",INDEX([1]Esquemas_NORM!$H$2:$K$126,MATCH($E260,[1]Esquemas_NORM!$A$2:$A$126,0),MATCH(AA$4,[1]Esquemas_NORM!$H$1:$K$1,0)))</f>
        <v>A la fecha no ha conformado un EAT Región</v>
      </c>
      <c r="AB260" s="17" t="str">
        <f>IF($E260="","",INDEX([1]Esquemas_NORM!$H$2:$K$126,MATCH($E260,[1]Esquemas_NORM!$A$2:$A$126,0),MATCH(AB$4,[1]Esquemas_NORM!$H$1:$K$1,0)))</f>
        <v>Área Metropolitana del Valle de Aburrá</v>
      </c>
      <c r="AC260" s="17" t="str">
        <f>IF($E260="","",INDEX([1]Esquemas_NORM!$H$2:$K$126,MATCH($E260,[1]Esquemas_NORM!$A$2:$A$126,0),MATCH(AC$4,[1]Esquemas_NORM!$H$1:$K$1,0)))</f>
        <v>A la fecha no ha conformado un EAT asociación - unión</v>
      </c>
      <c r="AD260" s="23"/>
    </row>
    <row r="261" spans="1:30" x14ac:dyDescent="0.25">
      <c r="A261" s="24">
        <v>2017</v>
      </c>
      <c r="B261" s="25" t="s">
        <v>36</v>
      </c>
      <c r="C261" s="25" t="s">
        <v>38</v>
      </c>
      <c r="D261" s="25" t="s">
        <v>48</v>
      </c>
      <c r="E261" s="25" t="s">
        <v>49</v>
      </c>
      <c r="F261" s="25" t="s">
        <v>41</v>
      </c>
      <c r="G261" s="25" t="s">
        <v>50</v>
      </c>
      <c r="H261" s="26">
        <v>50.192871476863033</v>
      </c>
      <c r="I261" s="26">
        <v>0</v>
      </c>
      <c r="J261" s="27">
        <v>50.192871476863033</v>
      </c>
      <c r="K261" s="26">
        <v>236.51864291876112</v>
      </c>
      <c r="L261" s="26">
        <v>55.960215161820273</v>
      </c>
      <c r="M261" s="27">
        <v>292.4788580805814</v>
      </c>
      <c r="N261" s="26">
        <v>23.170633605619475</v>
      </c>
      <c r="O261" s="26">
        <v>169.16477542991422</v>
      </c>
      <c r="P261" s="26">
        <v>120.32049678185442</v>
      </c>
      <c r="Q261" s="26">
        <v>25.125912543323317</v>
      </c>
      <c r="R261" s="26">
        <v>80.905198109657761</v>
      </c>
      <c r="S261" s="26">
        <v>64.40379424385317</v>
      </c>
      <c r="T261" s="26">
        <v>80.63573269653287</v>
      </c>
      <c r="U261" s="26">
        <v>17.144102798221962</v>
      </c>
      <c r="V261" s="27">
        <v>580.87064620897718</v>
      </c>
      <c r="W261" s="27">
        <v>922.72554238851831</v>
      </c>
      <c r="X261" s="26">
        <v>89.92140237759439</v>
      </c>
      <c r="Y261" s="28">
        <v>1012.6691707234637</v>
      </c>
      <c r="Z261" s="17" t="str">
        <f>SUBSTITUTE(SUBSTITUTE(SUBSTITUTE(SUBSTITUTE(IF(E261="","",VLOOKUP(E261,[1]Esquemas_NORM!$A$2:$H$126,8,FALSE)),"PROVINCIA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1" s="17" t="str">
        <f>IF($E261="","",INDEX([1]Esquemas_NORM!$H$2:$K$126,MATCH($E261,[1]Esquemas_NORM!$A$2:$A$126,0),MATCH(AA$4,[1]Esquemas_NORM!$H$1:$K$1,0)))</f>
        <v>A la fecha no ha conformado un EAT Región</v>
      </c>
      <c r="AB261" s="17" t="str">
        <f>IF($E261="","",INDEX([1]Esquemas_NORM!$H$2:$K$126,MATCH($E261,[1]Esquemas_NORM!$A$2:$A$126,0),MATCH(AB$4,[1]Esquemas_NORM!$H$1:$K$1,0)))</f>
        <v>Área Metropolitana del Valle de Aburrá</v>
      </c>
      <c r="AC261" s="17" t="str">
        <f>IF($E261="","",INDEX([1]Esquemas_NORM!$H$2:$K$126,MATCH($E261,[1]Esquemas_NORM!$A$2:$A$126,0),MATCH(AC$4,[1]Esquemas_NORM!$H$1:$K$1,0)))</f>
        <v>A la fecha no ha conformado un EAT asociación - unión</v>
      </c>
      <c r="AD261" s="23"/>
    </row>
    <row r="262" spans="1:30" x14ac:dyDescent="0.25">
      <c r="A262" s="24">
        <v>2017</v>
      </c>
      <c r="B262" s="25" t="s">
        <v>36</v>
      </c>
      <c r="C262" s="25" t="s">
        <v>38</v>
      </c>
      <c r="D262" s="25" t="s">
        <v>43</v>
      </c>
      <c r="E262" s="25" t="s">
        <v>51</v>
      </c>
      <c r="F262" s="25" t="s">
        <v>41</v>
      </c>
      <c r="G262" s="25" t="s">
        <v>52</v>
      </c>
      <c r="H262" s="26">
        <v>6.7755998725693818</v>
      </c>
      <c r="I262" s="26">
        <v>4.2127820389916354E-3</v>
      </c>
      <c r="J262" s="27">
        <v>6.7798126546083735</v>
      </c>
      <c r="K262" s="26">
        <v>334.90372845378516</v>
      </c>
      <c r="L262" s="26">
        <v>127.46294195574758</v>
      </c>
      <c r="M262" s="27">
        <v>462.36667040953273</v>
      </c>
      <c r="N262" s="26">
        <v>37.455568471689901</v>
      </c>
      <c r="O262" s="26">
        <v>171.31956114058099</v>
      </c>
      <c r="P262" s="26">
        <v>39.836793049805593</v>
      </c>
      <c r="Q262" s="26">
        <v>23.948407038491538</v>
      </c>
      <c r="R262" s="26">
        <v>112.2455890522277</v>
      </c>
      <c r="S262" s="26">
        <v>79.720419020535218</v>
      </c>
      <c r="T262" s="26">
        <v>76.025497619980385</v>
      </c>
      <c r="U262" s="26">
        <v>23.666306255805644</v>
      </c>
      <c r="V262" s="27">
        <v>564.218141649117</v>
      </c>
      <c r="W262" s="27">
        <v>1017.2905239945251</v>
      </c>
      <c r="X262" s="26">
        <v>99.136944129917126</v>
      </c>
      <c r="Y262" s="28">
        <v>1116.4519718958902</v>
      </c>
      <c r="Z262" s="17" t="str">
        <f>SUBSTITUTE(SUBSTITUTE(SUBSTITUTE(SUBSTITUTE(IF(E262="","",VLOOKUP(E262,[1]Esquemas_NORM!$A$2:$H$126,8,FALSE)),"PROVINCIA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2" s="17" t="str">
        <f>IF($E262="","",INDEX([1]Esquemas_NORM!$H$2:$K$126,MATCH($E262,[1]Esquemas_NORM!$A$2:$A$126,0),MATCH(AA$4,[1]Esquemas_NORM!$H$1:$K$1,0)))</f>
        <v>A la fecha no ha conformado un EAT Región</v>
      </c>
      <c r="AB262" s="17" t="str">
        <f>IF($E262="","",INDEX([1]Esquemas_NORM!$H$2:$K$126,MATCH($E262,[1]Esquemas_NORM!$A$2:$A$126,0),MATCH(AB$4,[1]Esquemas_NORM!$H$1:$K$1,0)))</f>
        <v>Área Metropolitana del Valle de Aburrá</v>
      </c>
      <c r="AC262" s="17" t="str">
        <f>IF($E262="","",INDEX([1]Esquemas_NORM!$H$2:$K$126,MATCH($E262,[1]Esquemas_NORM!$A$2:$A$126,0),MATCH(AC$4,[1]Esquemas_NORM!$H$1:$K$1,0)))</f>
        <v>A la fecha no ha conformado un EAT asociación - unión</v>
      </c>
      <c r="AD262" s="23"/>
    </row>
    <row r="263" spans="1:30" x14ac:dyDescent="0.25">
      <c r="A263" s="24">
        <v>2017</v>
      </c>
      <c r="B263" s="25" t="s">
        <v>36</v>
      </c>
      <c r="C263" s="25" t="s">
        <v>38</v>
      </c>
      <c r="D263" s="25" t="s">
        <v>48</v>
      </c>
      <c r="E263" s="25" t="s">
        <v>53</v>
      </c>
      <c r="F263" s="25" t="s">
        <v>41</v>
      </c>
      <c r="G263" s="25" t="s">
        <v>54</v>
      </c>
      <c r="H263" s="26">
        <v>13.298083654180601</v>
      </c>
      <c r="I263" s="26">
        <v>0</v>
      </c>
      <c r="J263" s="27">
        <v>13.298083654180601</v>
      </c>
      <c r="K263" s="26">
        <v>2103.8041309709538</v>
      </c>
      <c r="L263" s="26">
        <v>585.07847400055721</v>
      </c>
      <c r="M263" s="27">
        <v>2688.8826049715108</v>
      </c>
      <c r="N263" s="26">
        <v>299.36737955511961</v>
      </c>
      <c r="O263" s="26">
        <v>1459.4910069132638</v>
      </c>
      <c r="P263" s="26">
        <v>271.89116147028057</v>
      </c>
      <c r="Q263" s="26">
        <v>297.74083262416502</v>
      </c>
      <c r="R263" s="26">
        <v>1076.5231462954907</v>
      </c>
      <c r="S263" s="26">
        <v>894.64974391522151</v>
      </c>
      <c r="T263" s="26">
        <v>711.83140259210063</v>
      </c>
      <c r="U263" s="26">
        <v>338.6008842322853</v>
      </c>
      <c r="V263" s="27">
        <v>5350.0955575979278</v>
      </c>
      <c r="W263" s="27">
        <v>7995.0369713287946</v>
      </c>
      <c r="X263" s="26">
        <v>779.13193414108127</v>
      </c>
      <c r="Y263" s="28">
        <v>8774.3614842406841</v>
      </c>
      <c r="Z263" s="17" t="str">
        <f>SUBSTITUTE(SUBSTITUTE(SUBSTITUTE(SUBSTITUTE(IF(E263="","",VLOOKUP(E263,[1]Esquemas_NORM!$A$2:$H$126,8,FALSE)),"PROVINCIA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3" s="17" t="str">
        <f>IF($E263="","",INDEX([1]Esquemas_NORM!$H$2:$K$126,MATCH($E263,[1]Esquemas_NORM!$A$2:$A$126,0),MATCH(AA$4,[1]Esquemas_NORM!$H$1:$K$1,0)))</f>
        <v>A la fecha no ha conformado un EAT Región</v>
      </c>
      <c r="AB263" s="17" t="str">
        <f>IF($E263="","",INDEX([1]Esquemas_NORM!$H$2:$K$126,MATCH($E263,[1]Esquemas_NORM!$A$2:$A$126,0),MATCH(AB$4,[1]Esquemas_NORM!$H$1:$K$1,0)))</f>
        <v>Área Metropolitana del Valle de Aburrá</v>
      </c>
      <c r="AC263" s="17" t="str">
        <f>IF($E263="","",INDEX([1]Esquemas_NORM!$H$2:$K$126,MATCH($E263,[1]Esquemas_NORM!$A$2:$A$126,0),MATCH(AC$4,[1]Esquemas_NORM!$H$1:$K$1,0)))</f>
        <v>A la fecha no ha conformado un EAT asociación - unión</v>
      </c>
      <c r="AD263" s="23"/>
    </row>
    <row r="264" spans="1:30" x14ac:dyDescent="0.25">
      <c r="A264" s="24">
        <v>2017</v>
      </c>
      <c r="B264" s="25" t="s">
        <v>36</v>
      </c>
      <c r="C264" s="25" t="s">
        <v>38</v>
      </c>
      <c r="D264" s="25" t="s">
        <v>43</v>
      </c>
      <c r="E264" s="25" t="s">
        <v>55</v>
      </c>
      <c r="F264" s="25" t="s">
        <v>41</v>
      </c>
      <c r="G264" s="25" t="s">
        <v>56</v>
      </c>
      <c r="H264" s="26">
        <v>35.003423211214461</v>
      </c>
      <c r="I264" s="26">
        <v>4.8697059414717367</v>
      </c>
      <c r="J264" s="27">
        <v>39.873129152686197</v>
      </c>
      <c r="K264" s="26">
        <v>1115.1268145539307</v>
      </c>
      <c r="L264" s="26">
        <v>105.40852865051188</v>
      </c>
      <c r="M264" s="27">
        <v>1220.5353432044426</v>
      </c>
      <c r="N264" s="26">
        <v>38.396705605556171</v>
      </c>
      <c r="O264" s="26">
        <v>145.3748979932644</v>
      </c>
      <c r="P264" s="26">
        <v>96.834231333680378</v>
      </c>
      <c r="Q264" s="26">
        <v>14.511493673729717</v>
      </c>
      <c r="R264" s="26">
        <v>57.292658414341204</v>
      </c>
      <c r="S264" s="26">
        <v>114.25953154628625</v>
      </c>
      <c r="T264" s="26">
        <v>60.359960979622592</v>
      </c>
      <c r="U264" s="26">
        <v>13.133075033846273</v>
      </c>
      <c r="V264" s="27">
        <v>540.16255458032697</v>
      </c>
      <c r="W264" s="27">
        <v>1737.0865449609132</v>
      </c>
      <c r="X264" s="26">
        <v>169.28246916173299</v>
      </c>
      <c r="Y264" s="28">
        <v>1906.4108558292967</v>
      </c>
      <c r="Z264" s="17" t="str">
        <f>SUBSTITUTE(SUBSTITUTE(SUBSTITUTE(SUBSTITUTE(IF(E264="","",VLOOKUP(E264,[1]Esquemas_NORM!$A$2:$H$126,8,FALSE)),"PROVINCIA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4" s="17" t="str">
        <f>IF($E264="","",INDEX([1]Esquemas_NORM!$H$2:$K$126,MATCH($E264,[1]Esquemas_NORM!$A$2:$A$126,0),MATCH(AA$4,[1]Esquemas_NORM!$H$1:$K$1,0)))</f>
        <v>A la fecha no ha conformado un EAT Región</v>
      </c>
      <c r="AB264" s="17" t="str">
        <f>IF($E264="","",INDEX([1]Esquemas_NORM!$H$2:$K$126,MATCH($E264,[1]Esquemas_NORM!$A$2:$A$126,0),MATCH(AB$4,[1]Esquemas_NORM!$H$1:$K$1,0)))</f>
        <v>Área Metropolitana del Valle de Aburrá</v>
      </c>
      <c r="AC264" s="17" t="str">
        <f>IF($E264="","",INDEX([1]Esquemas_NORM!$H$2:$K$126,MATCH($E264,[1]Esquemas_NORM!$A$2:$A$126,0),MATCH(AC$4,[1]Esquemas_NORM!$H$1:$K$1,0)))</f>
        <v>A la fecha no ha conformado un EAT asociación - unión</v>
      </c>
      <c r="AD264" s="23"/>
    </row>
    <row r="265" spans="1:30" x14ac:dyDescent="0.25">
      <c r="A265" s="24">
        <v>2017</v>
      </c>
      <c r="B265" s="25" t="s">
        <v>36</v>
      </c>
      <c r="C265" s="25" t="s">
        <v>38</v>
      </c>
      <c r="D265" s="25" t="s">
        <v>48</v>
      </c>
      <c r="E265" s="25" t="s">
        <v>57</v>
      </c>
      <c r="F265" s="25" t="s">
        <v>41</v>
      </c>
      <c r="G265" s="25" t="s">
        <v>58</v>
      </c>
      <c r="H265" s="26">
        <v>0.10575650946975994</v>
      </c>
      <c r="I265" s="26">
        <v>0.15370496412999415</v>
      </c>
      <c r="J265" s="27">
        <v>0.25946147359975408</v>
      </c>
      <c r="K265" s="26">
        <v>2345.5412355509602</v>
      </c>
      <c r="L265" s="26">
        <v>462.21702872659279</v>
      </c>
      <c r="M265" s="27">
        <v>2807.7582642775528</v>
      </c>
      <c r="N265" s="26">
        <v>270.28257079411708</v>
      </c>
      <c r="O265" s="26">
        <v>1290.4492121186067</v>
      </c>
      <c r="P265" s="26">
        <v>116.79505977233065</v>
      </c>
      <c r="Q265" s="26">
        <v>236.71615733546048</v>
      </c>
      <c r="R265" s="26">
        <v>620.71243617083053</v>
      </c>
      <c r="S265" s="26">
        <v>683.51886003526613</v>
      </c>
      <c r="T265" s="26">
        <v>538.47628159219744</v>
      </c>
      <c r="U265" s="26">
        <v>134.82291639352073</v>
      </c>
      <c r="V265" s="27">
        <v>3891.7734942123302</v>
      </c>
      <c r="W265" s="27">
        <v>6614.8642613044176</v>
      </c>
      <c r="X265" s="26">
        <v>644.63141377246734</v>
      </c>
      <c r="Y265" s="28">
        <v>7259.6550092279431</v>
      </c>
      <c r="Z265" s="17" t="str">
        <f>SUBSTITUTE(SUBSTITUTE(SUBSTITUTE(SUBSTITUTE(IF(E265="","",VLOOKUP(E265,[1]Esquemas_NORM!$A$2:$H$126,8,FALSE)),"PROVINCIA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5" s="17" t="str">
        <f>IF($E265="","",INDEX([1]Esquemas_NORM!$H$2:$K$126,MATCH($E265,[1]Esquemas_NORM!$A$2:$A$126,0),MATCH(AA$4,[1]Esquemas_NORM!$H$1:$K$1,0)))</f>
        <v>A la fecha no ha conformado un EAT Región</v>
      </c>
      <c r="AB265" s="17" t="str">
        <f>IF($E265="","",INDEX([1]Esquemas_NORM!$H$2:$K$126,MATCH($E265,[1]Esquemas_NORM!$A$2:$A$126,0),MATCH(AB$4,[1]Esquemas_NORM!$H$1:$K$1,0)))</f>
        <v>Área Metropolitana del Valle de Aburrá</v>
      </c>
      <c r="AC265" s="17" t="str">
        <f>IF($E265="","",INDEX([1]Esquemas_NORM!$H$2:$K$126,MATCH($E265,[1]Esquemas_NORM!$A$2:$A$126,0),MATCH(AC$4,[1]Esquemas_NORM!$H$1:$K$1,0)))</f>
        <v>A la fecha no ha conformado un EAT asociación - unión</v>
      </c>
      <c r="AD265" s="23"/>
    </row>
    <row r="266" spans="1:30" x14ac:dyDescent="0.25">
      <c r="A266" s="24">
        <v>2017</v>
      </c>
      <c r="B266" s="25" t="s">
        <v>36</v>
      </c>
      <c r="C266" s="25" t="s">
        <v>38</v>
      </c>
      <c r="D266" s="25" t="s">
        <v>48</v>
      </c>
      <c r="E266" s="25" t="s">
        <v>59</v>
      </c>
      <c r="F266" s="25" t="s">
        <v>41</v>
      </c>
      <c r="G266" s="25" t="s">
        <v>60</v>
      </c>
      <c r="H266" s="26">
        <v>5.0199508945516751</v>
      </c>
      <c r="I266" s="26">
        <v>0</v>
      </c>
      <c r="J266" s="27">
        <v>5.0199508945516751</v>
      </c>
      <c r="K266" s="26">
        <v>784.78403151899215</v>
      </c>
      <c r="L266" s="26">
        <v>109.48457027421652</v>
      </c>
      <c r="M266" s="27">
        <v>894.26860179320863</v>
      </c>
      <c r="N266" s="26">
        <v>65.294179476173639</v>
      </c>
      <c r="O266" s="26">
        <v>195.33645850859259</v>
      </c>
      <c r="P266" s="26">
        <v>69.865430451993319</v>
      </c>
      <c r="Q266" s="26">
        <v>19.726478533606382</v>
      </c>
      <c r="R266" s="26">
        <v>118.36276336752898</v>
      </c>
      <c r="S266" s="26">
        <v>138.09786201306878</v>
      </c>
      <c r="T266" s="26">
        <v>92.17618245024245</v>
      </c>
      <c r="U266" s="26">
        <v>30.039305286626682</v>
      </c>
      <c r="V266" s="27">
        <v>728.89866008783281</v>
      </c>
      <c r="W266" s="27">
        <v>1588.7758759491699</v>
      </c>
      <c r="X266" s="26">
        <v>154.8293054283709</v>
      </c>
      <c r="Y266" s="28">
        <v>1743.6434506821574</v>
      </c>
      <c r="Z266" s="17" t="str">
        <f>SUBSTITUTE(SUBSTITUTE(SUBSTITUTE(SUBSTITUTE(IF(E266="","",VLOOKUP(E266,[1]Esquemas_NORM!$A$2:$H$126,8,FALSE)),"PROVINCIA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6" s="17" t="str">
        <f>IF($E266="","",INDEX([1]Esquemas_NORM!$H$2:$K$126,MATCH($E266,[1]Esquemas_NORM!$A$2:$A$126,0),MATCH(AA$4,[1]Esquemas_NORM!$H$1:$K$1,0)))</f>
        <v>A la fecha no ha conformado un EAT Región</v>
      </c>
      <c r="AB266" s="17" t="str">
        <f>IF($E266="","",INDEX([1]Esquemas_NORM!$H$2:$K$126,MATCH($E266,[1]Esquemas_NORM!$A$2:$A$126,0),MATCH(AB$4,[1]Esquemas_NORM!$H$1:$K$1,0)))</f>
        <v>Área Metropolitana del Valle de Aburrá</v>
      </c>
      <c r="AC266" s="17" t="str">
        <f>IF($E266="","",INDEX([1]Esquemas_NORM!$H$2:$K$126,MATCH($E266,[1]Esquemas_NORM!$A$2:$A$126,0),MATCH(AC$4,[1]Esquemas_NORM!$H$1:$K$1,0)))</f>
        <v>A la fecha no ha conformado un EAT asociación - unión</v>
      </c>
      <c r="AD266" s="23"/>
    </row>
    <row r="267" spans="1:30" x14ac:dyDescent="0.25">
      <c r="A267" s="24">
        <v>2017</v>
      </c>
      <c r="B267" s="25" t="s">
        <v>36</v>
      </c>
      <c r="C267" s="25" t="s">
        <v>38</v>
      </c>
      <c r="D267" s="25" t="s">
        <v>48</v>
      </c>
      <c r="E267" s="25" t="s">
        <v>61</v>
      </c>
      <c r="F267" s="25" t="s">
        <v>41</v>
      </c>
      <c r="G267" s="25" t="s">
        <v>62</v>
      </c>
      <c r="H267" s="26">
        <v>6.689259734503807</v>
      </c>
      <c r="I267" s="26">
        <v>0</v>
      </c>
      <c r="J267" s="27">
        <v>6.689259734503807</v>
      </c>
      <c r="K267" s="26">
        <v>1072.3818101449558</v>
      </c>
      <c r="L267" s="26">
        <v>182.77981326044446</v>
      </c>
      <c r="M267" s="27">
        <v>1255.1616234054002</v>
      </c>
      <c r="N267" s="26">
        <v>107.76942643772441</v>
      </c>
      <c r="O267" s="26">
        <v>430.78978320363279</v>
      </c>
      <c r="P267" s="26">
        <v>57.770146426280498</v>
      </c>
      <c r="Q267" s="26">
        <v>67.54413480766253</v>
      </c>
      <c r="R267" s="26">
        <v>321.59169126856767</v>
      </c>
      <c r="S267" s="26">
        <v>283.14646713375981</v>
      </c>
      <c r="T267" s="26">
        <v>292.57019222439857</v>
      </c>
      <c r="U267" s="26">
        <v>63.825252485211884</v>
      </c>
      <c r="V267" s="27">
        <v>1625.0070939872382</v>
      </c>
      <c r="W267" s="27">
        <v>2843.4943496158971</v>
      </c>
      <c r="X267" s="26">
        <v>277.10406596997507</v>
      </c>
      <c r="Y267" s="28">
        <v>3120.6669076577177</v>
      </c>
      <c r="Z267" s="17" t="str">
        <f>SUBSTITUTE(SUBSTITUTE(SUBSTITUTE(SUBSTITUTE(IF(E267="","",VLOOKUP(E267,[1]Esquemas_NORM!$A$2:$H$126,8,FALSE)),"PROVINCIA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7" s="17" t="str">
        <f>IF($E267="","",INDEX([1]Esquemas_NORM!$H$2:$K$126,MATCH($E267,[1]Esquemas_NORM!$A$2:$A$126,0),MATCH(AA$4,[1]Esquemas_NORM!$H$1:$K$1,0)))</f>
        <v>A la fecha no ha conformado un EAT Región</v>
      </c>
      <c r="AB267" s="17" t="str">
        <f>IF($E267="","",INDEX([1]Esquemas_NORM!$H$2:$K$126,MATCH($E267,[1]Esquemas_NORM!$A$2:$A$126,0),MATCH(AB$4,[1]Esquemas_NORM!$H$1:$K$1,0)))</f>
        <v>Área Metropolitana del Valle de Aburrá</v>
      </c>
      <c r="AC267" s="17" t="str">
        <f>IF($E267="","",INDEX([1]Esquemas_NORM!$H$2:$K$126,MATCH($E267,[1]Esquemas_NORM!$A$2:$A$126,0),MATCH(AC$4,[1]Esquemas_NORM!$H$1:$K$1,0)))</f>
        <v>A la fecha no ha conformado un EAT asociación - unión</v>
      </c>
      <c r="AD267" s="23"/>
    </row>
    <row r="268" spans="1:30" x14ac:dyDescent="0.25">
      <c r="A268" s="24">
        <v>2017</v>
      </c>
      <c r="B268" s="25" t="s">
        <v>36</v>
      </c>
      <c r="C268" s="25" t="s">
        <v>63</v>
      </c>
      <c r="D268" s="25" t="s">
        <v>64</v>
      </c>
      <c r="E268" s="25" t="s">
        <v>65</v>
      </c>
      <c r="F268" s="25" t="s">
        <v>66</v>
      </c>
      <c r="G268" s="25" t="s">
        <v>67</v>
      </c>
      <c r="H268" s="26">
        <v>42.103574733356616</v>
      </c>
      <c r="I268" s="26">
        <v>69.454924977399315</v>
      </c>
      <c r="J268" s="27">
        <v>111.55849971075594</v>
      </c>
      <c r="K268" s="26">
        <v>20.632700365479494</v>
      </c>
      <c r="L268" s="26">
        <v>4.7223219978913127</v>
      </c>
      <c r="M268" s="27">
        <v>25.355022363370807</v>
      </c>
      <c r="N268" s="26">
        <v>20.695405739231312</v>
      </c>
      <c r="O268" s="26">
        <v>61.890073744825578</v>
      </c>
      <c r="P268" s="26">
        <v>10.86182506566248</v>
      </c>
      <c r="Q268" s="26">
        <v>7.1574155288583414</v>
      </c>
      <c r="R268" s="26">
        <v>12.535516682651018</v>
      </c>
      <c r="S268" s="26">
        <v>35.554533374248081</v>
      </c>
      <c r="T268" s="26">
        <v>51.384218100446589</v>
      </c>
      <c r="U268" s="26">
        <v>6.5379189426699824</v>
      </c>
      <c r="V268" s="27">
        <v>206.61690717859338</v>
      </c>
      <c r="W268" s="27">
        <v>351.15717459770536</v>
      </c>
      <c r="X268" s="26">
        <v>34.220951024096586</v>
      </c>
      <c r="Y268" s="28">
        <v>385.38658404635771</v>
      </c>
      <c r="Z268" s="17" t="str">
        <f>SUBSTITUTE(SUBSTITUTE(SUBSTITUTE(SUBSTITUTE(IF(E268="","",VLOOKUP(E268,[1]Esquemas_NORM!$A$2:$H$126,8,FALSE)),"PROVINCIA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8" s="17" t="str">
        <f>IF($E268="","",INDEX([1]Esquemas_NORM!$H$2:$K$126,MATCH($E268,[1]Esquemas_NORM!$A$2:$A$126,0),MATCH(AA$4,[1]Esquemas_NORM!$H$1:$K$1,0)))</f>
        <v>Región de Planeación y Gestión del Bajo Cauca</v>
      </c>
      <c r="AB268" s="17" t="str">
        <f>IF($E268="","",INDEX([1]Esquemas_NORM!$H$2:$K$126,MATCH($E268,[1]Esquemas_NORM!$A$2:$A$126,0),MATCH(AB$4,[1]Esquemas_NORM!$H$1:$K$1,0)))</f>
        <v>A la fecha no ha conformado un EAT Área Metropolitana</v>
      </c>
      <c r="AC268" s="17" t="str">
        <f>IF($E268="","",INDEX([1]Esquemas_NORM!$H$2:$K$126,MATCH($E268,[1]Esquemas_NORM!$A$2:$A$126,0),MATCH(AC$4,[1]Esquemas_NORM!$H$1:$K$1,0)))</f>
        <v>A la fecha no ha conformado un EAT asociación - unión</v>
      </c>
      <c r="AD268" s="23"/>
    </row>
    <row r="269" spans="1:30" x14ac:dyDescent="0.25">
      <c r="A269" s="24">
        <v>2017</v>
      </c>
      <c r="B269" s="25" t="s">
        <v>36</v>
      </c>
      <c r="C269" s="25" t="s">
        <v>63</v>
      </c>
      <c r="D269" s="25" t="s">
        <v>64</v>
      </c>
      <c r="E269" s="25" t="s">
        <v>68</v>
      </c>
      <c r="F269" s="25" t="s">
        <v>66</v>
      </c>
      <c r="G269" s="25" t="s">
        <v>69</v>
      </c>
      <c r="H269" s="26">
        <v>58.342915224519366</v>
      </c>
      <c r="I269" s="26">
        <v>68.715418612201859</v>
      </c>
      <c r="J269" s="27">
        <v>127.05833383672123</v>
      </c>
      <c r="K269" s="26">
        <v>36.942273748389027</v>
      </c>
      <c r="L269" s="26">
        <v>39.393695111537923</v>
      </c>
      <c r="M269" s="27">
        <v>76.33596885992695</v>
      </c>
      <c r="N269" s="26">
        <v>33.085247369424771</v>
      </c>
      <c r="O269" s="26">
        <v>330.15061720242727</v>
      </c>
      <c r="P269" s="26">
        <v>22.894509922013807</v>
      </c>
      <c r="Q269" s="26">
        <v>23.181467110331621</v>
      </c>
      <c r="R269" s="26">
        <v>39.502088344562367</v>
      </c>
      <c r="S269" s="26">
        <v>86.339460022840072</v>
      </c>
      <c r="T269" s="26">
        <v>127.66850632972151</v>
      </c>
      <c r="U269" s="26">
        <v>14.286285122233934</v>
      </c>
      <c r="V269" s="27">
        <v>677.10818142355538</v>
      </c>
      <c r="W269" s="27">
        <v>903.77058086701516</v>
      </c>
      <c r="X269" s="26">
        <v>88.074204436550545</v>
      </c>
      <c r="Y269" s="28">
        <v>991.86655468726951</v>
      </c>
      <c r="Z269" s="17" t="str">
        <f>SUBSTITUTE(SUBSTITUTE(SUBSTITUTE(SUBSTITUTE(IF(E269="","",VLOOKUP(E269,[1]Esquemas_NORM!$A$2:$H$126,8,FALSE)),"PROVINCIA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69" s="17" t="str">
        <f>IF($E269="","",INDEX([1]Esquemas_NORM!$H$2:$K$126,MATCH($E269,[1]Esquemas_NORM!$A$2:$A$126,0),MATCH(AA$4,[1]Esquemas_NORM!$H$1:$K$1,0)))</f>
        <v>Región de Planeación y Gestión del Bajo Cauca</v>
      </c>
      <c r="AB269" s="17" t="str">
        <f>IF($E269="","",INDEX([1]Esquemas_NORM!$H$2:$K$126,MATCH($E269,[1]Esquemas_NORM!$A$2:$A$126,0),MATCH(AB$4,[1]Esquemas_NORM!$H$1:$K$1,0)))</f>
        <v>A la fecha no ha conformado un EAT Área Metropolitana</v>
      </c>
      <c r="AC269" s="17" t="str">
        <f>IF($E269="","",INDEX([1]Esquemas_NORM!$H$2:$K$126,MATCH($E269,[1]Esquemas_NORM!$A$2:$A$126,0),MATCH(AC$4,[1]Esquemas_NORM!$H$1:$K$1,0)))</f>
        <v>A la fecha no ha conformado un EAT asociación - unión</v>
      </c>
      <c r="AD269" s="23"/>
    </row>
    <row r="270" spans="1:30" x14ac:dyDescent="0.25">
      <c r="A270" s="24">
        <v>2017</v>
      </c>
      <c r="B270" s="25" t="s">
        <v>36</v>
      </c>
      <c r="C270" s="25" t="s">
        <v>63</v>
      </c>
      <c r="D270" s="25" t="s">
        <v>64</v>
      </c>
      <c r="E270" s="25" t="s">
        <v>70</v>
      </c>
      <c r="F270" s="25" t="s">
        <v>66</v>
      </c>
      <c r="G270" s="25" t="s">
        <v>71</v>
      </c>
      <c r="H270" s="26">
        <v>21.517345115574464</v>
      </c>
      <c r="I270" s="26">
        <v>421.95827504545201</v>
      </c>
      <c r="J270" s="27">
        <v>443.47562016102648</v>
      </c>
      <c r="K270" s="26">
        <v>6.7220639815764711</v>
      </c>
      <c r="L270" s="26">
        <v>28.470317429238829</v>
      </c>
      <c r="M270" s="27">
        <v>35.192381410815301</v>
      </c>
      <c r="N270" s="26">
        <v>23.194748617193323</v>
      </c>
      <c r="O270" s="26">
        <v>94.010946117601563</v>
      </c>
      <c r="P270" s="26">
        <v>14.471940057818212</v>
      </c>
      <c r="Q270" s="26">
        <v>11.963070157852897</v>
      </c>
      <c r="R270" s="26">
        <v>18.608059990550483</v>
      </c>
      <c r="S270" s="26">
        <v>74.47637422657867</v>
      </c>
      <c r="T270" s="26">
        <v>73.164604469809362</v>
      </c>
      <c r="U270" s="26">
        <v>8.95568879794188</v>
      </c>
      <c r="V270" s="27">
        <v>318.84543243534642</v>
      </c>
      <c r="W270" s="27">
        <v>812.42025990001878</v>
      </c>
      <c r="X270" s="26">
        <v>79.171937628325779</v>
      </c>
      <c r="Y270" s="28">
        <v>891.61176653041139</v>
      </c>
      <c r="Z270" s="17" t="str">
        <f>SUBSTITUTE(SUBSTITUTE(SUBSTITUTE(SUBSTITUTE(IF(E270="","",VLOOKUP(E270,[1]Esquemas_NORM!$A$2:$H$126,8,FALSE)),"PROVINCIA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0" s="17" t="str">
        <f>IF($E270="","",INDEX([1]Esquemas_NORM!$H$2:$K$126,MATCH($E270,[1]Esquemas_NORM!$A$2:$A$126,0),MATCH(AA$4,[1]Esquemas_NORM!$H$1:$K$1,0)))</f>
        <v>Región de Planeación y Gestión del Bajo Cauca</v>
      </c>
      <c r="AB270" s="17" t="str">
        <f>IF($E270="","",INDEX([1]Esquemas_NORM!$H$2:$K$126,MATCH($E270,[1]Esquemas_NORM!$A$2:$A$126,0),MATCH(AB$4,[1]Esquemas_NORM!$H$1:$K$1,0)))</f>
        <v>A la fecha no ha conformado un EAT Área Metropolitana</v>
      </c>
      <c r="AC270" s="17" t="str">
        <f>IF($E270="","",INDEX([1]Esquemas_NORM!$H$2:$K$126,MATCH($E270,[1]Esquemas_NORM!$A$2:$A$126,0),MATCH(AC$4,[1]Esquemas_NORM!$H$1:$K$1,0)))</f>
        <v>A la fecha no ha conformado un EAT asociación - unión</v>
      </c>
      <c r="AD270" s="23"/>
    </row>
    <row r="271" spans="1:30" x14ac:dyDescent="0.25">
      <c r="A271" s="24">
        <v>2017</v>
      </c>
      <c r="B271" s="25" t="s">
        <v>36</v>
      </c>
      <c r="C271" s="25" t="s">
        <v>63</v>
      </c>
      <c r="D271" s="25" t="s">
        <v>64</v>
      </c>
      <c r="E271" s="25" t="s">
        <v>72</v>
      </c>
      <c r="F271" s="25" t="s">
        <v>66</v>
      </c>
      <c r="G271" s="25" t="s">
        <v>73</v>
      </c>
      <c r="H271" s="26">
        <v>27.417474510707791</v>
      </c>
      <c r="I271" s="26">
        <v>73.503122668711754</v>
      </c>
      <c r="J271" s="27">
        <v>100.92059717941954</v>
      </c>
      <c r="K271" s="26">
        <v>10.098813979568728</v>
      </c>
      <c r="L271" s="26">
        <v>7.782200817391149</v>
      </c>
      <c r="M271" s="27">
        <v>17.881014796959878</v>
      </c>
      <c r="N271" s="26">
        <v>9.5454975604532404</v>
      </c>
      <c r="O271" s="26">
        <v>38.024757478077625</v>
      </c>
      <c r="P271" s="26">
        <v>6.5392375873875324</v>
      </c>
      <c r="Q271" s="26">
        <v>5.3516668412165194</v>
      </c>
      <c r="R271" s="26">
        <v>10.05473430417795</v>
      </c>
      <c r="S271" s="26">
        <v>25.694711388666679</v>
      </c>
      <c r="T271" s="26">
        <v>42.012352592912684</v>
      </c>
      <c r="U271" s="26">
        <v>4.9617081113530119</v>
      </c>
      <c r="V271" s="27">
        <v>142.18466586424523</v>
      </c>
      <c r="W271" s="27">
        <v>266.23731574469326</v>
      </c>
      <c r="X271" s="26">
        <v>25.945345281129637</v>
      </c>
      <c r="Y271" s="28">
        <v>292.18907396114645</v>
      </c>
      <c r="Z271" s="17" t="str">
        <f>SUBSTITUTE(SUBSTITUTE(SUBSTITUTE(SUBSTITUTE(IF(E271="","",VLOOKUP(E271,[1]Esquemas_NORM!$A$2:$H$126,8,FALSE)),"PROVINCIA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1" s="17" t="str">
        <f>IF($E271="","",INDEX([1]Esquemas_NORM!$H$2:$K$126,MATCH($E271,[1]Esquemas_NORM!$A$2:$A$126,0),MATCH(AA$4,[1]Esquemas_NORM!$H$1:$K$1,0)))</f>
        <v>Región de Planeación y Gestión del Bajo Cauca</v>
      </c>
      <c r="AB271" s="17" t="str">
        <f>IF($E271="","",INDEX([1]Esquemas_NORM!$H$2:$K$126,MATCH($E271,[1]Esquemas_NORM!$A$2:$A$126,0),MATCH(AB$4,[1]Esquemas_NORM!$H$1:$K$1,0)))</f>
        <v>A la fecha no ha conformado un EAT Área Metropolitana</v>
      </c>
      <c r="AC271" s="17" t="str">
        <f>IF($E271="","",INDEX([1]Esquemas_NORM!$H$2:$K$126,MATCH($E271,[1]Esquemas_NORM!$A$2:$A$126,0),MATCH(AC$4,[1]Esquemas_NORM!$H$1:$K$1,0)))</f>
        <v>A la fecha no ha conformado un EAT asociación - unión</v>
      </c>
      <c r="AD271" s="23"/>
    </row>
    <row r="272" spans="1:30" x14ac:dyDescent="0.25">
      <c r="A272" s="24">
        <v>2017</v>
      </c>
      <c r="B272" s="25" t="s">
        <v>36</v>
      </c>
      <c r="C272" s="25" t="s">
        <v>63</v>
      </c>
      <c r="D272" s="25" t="s">
        <v>64</v>
      </c>
      <c r="E272" s="25" t="s">
        <v>74</v>
      </c>
      <c r="F272" s="25" t="s">
        <v>66</v>
      </c>
      <c r="G272" s="25" t="s">
        <v>75</v>
      </c>
      <c r="H272" s="26">
        <v>16.835767887511871</v>
      </c>
      <c r="I272" s="26">
        <v>30.52423665153302</v>
      </c>
      <c r="J272" s="27">
        <v>47.360004539044894</v>
      </c>
      <c r="K272" s="26">
        <v>1.4301555990226136</v>
      </c>
      <c r="L272" s="26">
        <v>18.386056267203124</v>
      </c>
      <c r="M272" s="27">
        <v>19.816211866225736</v>
      </c>
      <c r="N272" s="26">
        <v>9.5736429288650431</v>
      </c>
      <c r="O272" s="26">
        <v>41.658296964976088</v>
      </c>
      <c r="P272" s="26">
        <v>9.7392204912703377</v>
      </c>
      <c r="Q272" s="26">
        <v>8.3223293839981487</v>
      </c>
      <c r="R272" s="26">
        <v>14.3826209303142</v>
      </c>
      <c r="S272" s="26">
        <v>25.680594945983881</v>
      </c>
      <c r="T272" s="26">
        <v>59.814922030509273</v>
      </c>
      <c r="U272" s="26">
        <v>5.7993799576636587</v>
      </c>
      <c r="V272" s="27">
        <v>174.97100763358063</v>
      </c>
      <c r="W272" s="27">
        <v>246.71510330014146</v>
      </c>
      <c r="X272" s="26">
        <v>24.042867632173476</v>
      </c>
      <c r="Y272" s="28">
        <v>270.76391363045417</v>
      </c>
      <c r="Z272" s="17" t="str">
        <f>SUBSTITUTE(SUBSTITUTE(SUBSTITUTE(SUBSTITUTE(IF(E272="","",VLOOKUP(E272,[1]Esquemas_NORM!$A$2:$H$126,8,FALSE)),"PROVINCIA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2" s="17" t="str">
        <f>IF($E272="","",INDEX([1]Esquemas_NORM!$H$2:$K$126,MATCH($E272,[1]Esquemas_NORM!$A$2:$A$126,0),MATCH(AA$4,[1]Esquemas_NORM!$H$1:$K$1,0)))</f>
        <v>Región de Planeación y Gestión del Bajo Cauca</v>
      </c>
      <c r="AB272" s="17" t="str">
        <f>IF($E272="","",INDEX([1]Esquemas_NORM!$H$2:$K$126,MATCH($E272,[1]Esquemas_NORM!$A$2:$A$126,0),MATCH(AB$4,[1]Esquemas_NORM!$H$1:$K$1,0)))</f>
        <v>A la fecha no ha conformado un EAT Área Metropolitana</v>
      </c>
      <c r="AC272" s="17" t="str">
        <f>IF($E272="","",INDEX([1]Esquemas_NORM!$H$2:$K$126,MATCH($E272,[1]Esquemas_NORM!$A$2:$A$126,0),MATCH(AC$4,[1]Esquemas_NORM!$H$1:$K$1,0)))</f>
        <v>A la fecha no ha conformado un EAT asociación - unión</v>
      </c>
      <c r="AD272" s="23"/>
    </row>
    <row r="273" spans="1:30" x14ac:dyDescent="0.25">
      <c r="A273" s="24">
        <v>2017</v>
      </c>
      <c r="B273" s="25" t="s">
        <v>36</v>
      </c>
      <c r="C273" s="25" t="s">
        <v>63</v>
      </c>
      <c r="D273" s="25" t="s">
        <v>64</v>
      </c>
      <c r="E273" s="25" t="s">
        <v>76</v>
      </c>
      <c r="F273" s="25" t="s">
        <v>66</v>
      </c>
      <c r="G273" s="25" t="s">
        <v>77</v>
      </c>
      <c r="H273" s="26">
        <v>23.152140444253654</v>
      </c>
      <c r="I273" s="26">
        <v>147.51764405646566</v>
      </c>
      <c r="J273" s="27">
        <v>170.66978450071932</v>
      </c>
      <c r="K273" s="26">
        <v>4.3345996527658137</v>
      </c>
      <c r="L273" s="26">
        <v>13.461081292030528</v>
      </c>
      <c r="M273" s="27">
        <v>17.795680944796342</v>
      </c>
      <c r="N273" s="26">
        <v>7.2258257194425299</v>
      </c>
      <c r="O273" s="26">
        <v>45.764282183714101</v>
      </c>
      <c r="P273" s="26">
        <v>5.8716268494534836</v>
      </c>
      <c r="Q273" s="26">
        <v>4.3018253700381015</v>
      </c>
      <c r="R273" s="26">
        <v>10.384101376919451</v>
      </c>
      <c r="S273" s="26">
        <v>29.037920816429988</v>
      </c>
      <c r="T273" s="26">
        <v>40.37545819634051</v>
      </c>
      <c r="U273" s="26">
        <v>4.6528467465737169</v>
      </c>
      <c r="V273" s="27">
        <v>147.61388725891189</v>
      </c>
      <c r="W273" s="27">
        <v>342.75264205648216</v>
      </c>
      <c r="X273" s="26">
        <v>33.401912948588091</v>
      </c>
      <c r="Y273" s="28">
        <v>376.1628109872164</v>
      </c>
      <c r="Z273" s="17" t="str">
        <f>SUBSTITUTE(SUBSTITUTE(SUBSTITUTE(SUBSTITUTE(IF(E273="","",VLOOKUP(E273,[1]Esquemas_NORM!$A$2:$H$126,8,FALSE)),"PROVINCIA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3" s="17" t="str">
        <f>IF($E273="","",INDEX([1]Esquemas_NORM!$H$2:$K$126,MATCH($E273,[1]Esquemas_NORM!$A$2:$A$126,0),MATCH(AA$4,[1]Esquemas_NORM!$H$1:$K$1,0)))</f>
        <v>Región de Planeación y Gestión del Bajo Cauca</v>
      </c>
      <c r="AB273" s="17" t="str">
        <f>IF($E273="","",INDEX([1]Esquemas_NORM!$H$2:$K$126,MATCH($E273,[1]Esquemas_NORM!$A$2:$A$126,0),MATCH(AB$4,[1]Esquemas_NORM!$H$1:$K$1,0)))</f>
        <v>A la fecha no ha conformado un EAT Área Metropolitana</v>
      </c>
      <c r="AC273" s="17" t="str">
        <f>IF($E273="","",INDEX([1]Esquemas_NORM!$H$2:$K$126,MATCH($E273,[1]Esquemas_NORM!$A$2:$A$126,0),MATCH(AC$4,[1]Esquemas_NORM!$H$1:$K$1,0)))</f>
        <v>A la fecha no ha conformado un EAT asociación - unión</v>
      </c>
      <c r="AD273" s="23"/>
    </row>
    <row r="274" spans="1:30" x14ac:dyDescent="0.25">
      <c r="A274" s="24">
        <v>2017</v>
      </c>
      <c r="B274" s="25" t="s">
        <v>36</v>
      </c>
      <c r="C274" s="25" t="s">
        <v>78</v>
      </c>
      <c r="D274" s="25" t="s">
        <v>79</v>
      </c>
      <c r="E274" s="25" t="s">
        <v>80</v>
      </c>
      <c r="F274" s="25" t="s">
        <v>81</v>
      </c>
      <c r="G274" s="25" t="s">
        <v>82</v>
      </c>
      <c r="H274" s="26">
        <v>6.1865552188650428</v>
      </c>
      <c r="I274" s="26">
        <v>9.2557821963249378E-3</v>
      </c>
      <c r="J274" s="27">
        <v>6.1958110010613678</v>
      </c>
      <c r="K274" s="26">
        <v>2.1213228026357385</v>
      </c>
      <c r="L274" s="26">
        <v>1.9555276394856711</v>
      </c>
      <c r="M274" s="27">
        <v>4.07685044212141</v>
      </c>
      <c r="N274" s="26">
        <v>3.1763799711844691</v>
      </c>
      <c r="O274" s="26">
        <v>6.1449253745044787</v>
      </c>
      <c r="P274" s="26">
        <v>6.4630783020052913</v>
      </c>
      <c r="Q274" s="26">
        <v>1.1852332289547864</v>
      </c>
      <c r="R274" s="26">
        <v>3.2469495297559741</v>
      </c>
      <c r="S274" s="26">
        <v>3.6469996744890887</v>
      </c>
      <c r="T274" s="26">
        <v>6.3268846639454939</v>
      </c>
      <c r="U274" s="26">
        <v>1.4799198431513809</v>
      </c>
      <c r="V274" s="27">
        <v>31.670370587990963</v>
      </c>
      <c r="W274" s="27">
        <v>42.79257316371389</v>
      </c>
      <c r="X274" s="26">
        <v>4.1702196519521619</v>
      </c>
      <c r="Y274" s="28">
        <v>46.963823572768121</v>
      </c>
      <c r="Z274" s="17" t="str">
        <f>SUBSTITUTE(SUBSTITUTE(SUBSTITUTE(SUBSTITUTE(IF(E274="","",VLOOKUP(E274,[1]Esquemas_NORM!$A$2:$H$126,8,FALSE)),"PROVINCIA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4" s="17" t="str">
        <f>IF($E274="","",INDEX([1]Esquemas_NORM!$H$2:$K$126,MATCH($E274,[1]Esquemas_NORM!$A$2:$A$126,0),MATCH(AA$4,[1]Esquemas_NORM!$H$1:$K$1,0)))</f>
        <v>A la fecha no ha conformado un EAT Región</v>
      </c>
      <c r="AB274" s="17" t="str">
        <f>IF($E274="","",INDEX([1]Esquemas_NORM!$H$2:$K$126,MATCH($E274,[1]Esquemas_NORM!$A$2:$A$126,0),MATCH(AB$4,[1]Esquemas_NORM!$H$1:$K$1,0)))</f>
        <v>A la fecha no ha conformado un EAT Área Metropolitana</v>
      </c>
      <c r="AC274" s="17" t="str">
        <f>IF($E274="","",INDEX([1]Esquemas_NORM!$H$2:$K$126,MATCH($E274,[1]Esquemas_NORM!$A$2:$A$126,0),MATCH(AC$4,[1]Esquemas_NORM!$H$1:$K$1,0)))</f>
        <v>ASOCIACIÓN DE MUNICIPIOS DEL MAGDALENA MEDIO ANTIOQUEÑO - AMMA</v>
      </c>
      <c r="AD274" s="23"/>
    </row>
    <row r="275" spans="1:30" x14ac:dyDescent="0.25">
      <c r="A275" s="24">
        <v>2017</v>
      </c>
      <c r="B275" s="25" t="s">
        <v>36</v>
      </c>
      <c r="C275" s="25" t="s">
        <v>78</v>
      </c>
      <c r="D275" s="25" t="s">
        <v>79</v>
      </c>
      <c r="E275" s="25" t="s">
        <v>83</v>
      </c>
      <c r="F275" s="25" t="s">
        <v>81</v>
      </c>
      <c r="G275" s="25" t="s">
        <v>84</v>
      </c>
      <c r="H275" s="26">
        <v>16.284483004373506</v>
      </c>
      <c r="I275" s="26">
        <v>0.22228161049086612</v>
      </c>
      <c r="J275" s="27">
        <v>16.506764614864373</v>
      </c>
      <c r="K275" s="26">
        <v>4.1255433082515571</v>
      </c>
      <c r="L275" s="26">
        <v>3.6647989655990272</v>
      </c>
      <c r="M275" s="27">
        <v>7.7903422738505839</v>
      </c>
      <c r="N275" s="26">
        <v>2.9960793264469117</v>
      </c>
      <c r="O275" s="26">
        <v>16.164429316277868</v>
      </c>
      <c r="P275" s="26">
        <v>3.4661762030057117</v>
      </c>
      <c r="Q275" s="26">
        <v>2.2536625591652886</v>
      </c>
      <c r="R275" s="26">
        <v>7.0940671336757619</v>
      </c>
      <c r="S275" s="26">
        <v>7.2891964611139448</v>
      </c>
      <c r="T275" s="26">
        <v>14.059152788244706</v>
      </c>
      <c r="U275" s="26">
        <v>2.5412212637209817</v>
      </c>
      <c r="V275" s="27">
        <v>55.86398505165117</v>
      </c>
      <c r="W275" s="27">
        <v>81.868604651835213</v>
      </c>
      <c r="X275" s="26">
        <v>7.9782550745649736</v>
      </c>
      <c r="Y275" s="28">
        <v>89.848831719188766</v>
      </c>
      <c r="Z275" s="17" t="str">
        <f>SUBSTITUTE(SUBSTITUTE(SUBSTITUTE(SUBSTITUTE(IF(E275="","",VLOOKUP(E275,[1]Esquemas_NORM!$A$2:$H$126,8,FALSE)),"PROVINCIA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5" s="17" t="str">
        <f>IF($E275="","",INDEX([1]Esquemas_NORM!$H$2:$K$126,MATCH($E275,[1]Esquemas_NORM!$A$2:$A$126,0),MATCH(AA$4,[1]Esquemas_NORM!$H$1:$K$1,0)))</f>
        <v>A la fecha no ha conformado un EAT Región</v>
      </c>
      <c r="AB275" s="17" t="str">
        <f>IF($E275="","",INDEX([1]Esquemas_NORM!$H$2:$K$126,MATCH($E275,[1]Esquemas_NORM!$A$2:$A$126,0),MATCH(AB$4,[1]Esquemas_NORM!$H$1:$K$1,0)))</f>
        <v>A la fecha no ha conformado un EAT Área Metropolitana</v>
      </c>
      <c r="AC275" s="17" t="str">
        <f>IF($E275="","",INDEX([1]Esquemas_NORM!$H$2:$K$126,MATCH($E275,[1]Esquemas_NORM!$A$2:$A$126,0),MATCH(AC$4,[1]Esquemas_NORM!$H$1:$K$1,0)))</f>
        <v>ASOCIACIÓN DE MUNICIPIOS DEL MAGDALENA MEDIO ANTIOQUEÑO - AMMA</v>
      </c>
      <c r="AD275" s="23"/>
    </row>
    <row r="276" spans="1:30" x14ac:dyDescent="0.25">
      <c r="A276" s="24">
        <v>2017</v>
      </c>
      <c r="B276" s="25" t="s">
        <v>36</v>
      </c>
      <c r="C276" s="25" t="s">
        <v>78</v>
      </c>
      <c r="D276" s="25" t="s">
        <v>85</v>
      </c>
      <c r="E276" s="25" t="s">
        <v>86</v>
      </c>
      <c r="F276" s="25" t="s">
        <v>81</v>
      </c>
      <c r="G276" s="25" t="s">
        <v>87</v>
      </c>
      <c r="H276" s="26">
        <v>24.839137331356916</v>
      </c>
      <c r="I276" s="26">
        <v>66.188188782106366</v>
      </c>
      <c r="J276" s="27">
        <v>91.027326113463289</v>
      </c>
      <c r="K276" s="26">
        <v>41.424717639774009</v>
      </c>
      <c r="L276" s="26">
        <v>9.9044374195563609</v>
      </c>
      <c r="M276" s="27">
        <v>51.329155059330368</v>
      </c>
      <c r="N276" s="26">
        <v>33.799001844222666</v>
      </c>
      <c r="O276" s="26">
        <v>145.48842102009866</v>
      </c>
      <c r="P276" s="26">
        <v>11.651483078744842</v>
      </c>
      <c r="Q276" s="26">
        <v>18.449598364543636</v>
      </c>
      <c r="R276" s="26">
        <v>37.769757252104384</v>
      </c>
      <c r="S276" s="26">
        <v>57.368944442334147</v>
      </c>
      <c r="T276" s="26">
        <v>63.168836419903762</v>
      </c>
      <c r="U276" s="26">
        <v>14.439143157496009</v>
      </c>
      <c r="V276" s="27">
        <v>382.13518557944809</v>
      </c>
      <c r="W276" s="27">
        <v>535.06532070156788</v>
      </c>
      <c r="X276" s="26">
        <v>52.143158274927046</v>
      </c>
      <c r="Y276" s="28">
        <v>587.22136724982374</v>
      </c>
      <c r="Z276" s="17" t="str">
        <f>SUBSTITUTE(SUBSTITUTE(SUBSTITUTE(SUBSTITUTE(IF(E276="","",VLOOKUP(E276,[1]Esquemas_NORM!$A$2:$H$126,8,FALSE)),"PROVINCIA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6" s="17" t="str">
        <f>IF($E276="","",INDEX([1]Esquemas_NORM!$H$2:$K$126,MATCH($E276,[1]Esquemas_NORM!$A$2:$A$126,0),MATCH(AA$4,[1]Esquemas_NORM!$H$1:$K$1,0)))</f>
        <v>A la fecha no ha conformado un EAT Región</v>
      </c>
      <c r="AB276" s="17" t="str">
        <f>IF($E276="","",INDEX([1]Esquemas_NORM!$H$2:$K$126,MATCH($E276,[1]Esquemas_NORM!$A$2:$A$126,0),MATCH(AB$4,[1]Esquemas_NORM!$H$1:$K$1,0)))</f>
        <v>A la fecha no ha conformado un EAT Área Metropolitana</v>
      </c>
      <c r="AC276" s="17" t="str">
        <f>IF($E276="","",INDEX([1]Esquemas_NORM!$H$2:$K$126,MATCH($E276,[1]Esquemas_NORM!$A$2:$A$126,0),MATCH(AC$4,[1]Esquemas_NORM!$H$1:$K$1,0)))</f>
        <v>ASOCIACIÓN DE MUNICIPIOS DEL MAGDALENA MEDIO ANTIOQUEÑO - AMMA</v>
      </c>
      <c r="AD276" s="23"/>
    </row>
    <row r="277" spans="1:30" x14ac:dyDescent="0.25">
      <c r="A277" s="24">
        <v>2017</v>
      </c>
      <c r="B277" s="25" t="s">
        <v>36</v>
      </c>
      <c r="C277" s="25" t="s">
        <v>78</v>
      </c>
      <c r="D277" s="25" t="s">
        <v>85</v>
      </c>
      <c r="E277" s="25" t="s">
        <v>88</v>
      </c>
      <c r="F277" s="25" t="s">
        <v>81</v>
      </c>
      <c r="G277" s="25" t="s">
        <v>89</v>
      </c>
      <c r="H277" s="26">
        <v>9.1933196843695519</v>
      </c>
      <c r="I277" s="26">
        <v>83.196715389086421</v>
      </c>
      <c r="J277" s="27">
        <v>92.390035073455977</v>
      </c>
      <c r="K277" s="26">
        <v>40.49141402950837</v>
      </c>
      <c r="L277" s="26">
        <v>2.9189764442007573</v>
      </c>
      <c r="M277" s="27">
        <v>43.410390473709128</v>
      </c>
      <c r="N277" s="26">
        <v>102.96785220261485</v>
      </c>
      <c r="O277" s="26">
        <v>20.292233895540928</v>
      </c>
      <c r="P277" s="26">
        <v>4.5525515293290901</v>
      </c>
      <c r="Q277" s="26">
        <v>3.6506205693657527</v>
      </c>
      <c r="R277" s="26">
        <v>10.91975360293228</v>
      </c>
      <c r="S277" s="26">
        <v>32.976669835041548</v>
      </c>
      <c r="T277" s="26">
        <v>33.919267527891556</v>
      </c>
      <c r="U277" s="26">
        <v>3.5614495194367981</v>
      </c>
      <c r="V277" s="27">
        <v>212.8403986821528</v>
      </c>
      <c r="W277" s="27">
        <v>354.42221733953846</v>
      </c>
      <c r="X277" s="26">
        <v>34.539135802421029</v>
      </c>
      <c r="Y277" s="28">
        <v>388.96989021254512</v>
      </c>
      <c r="Z277" s="17" t="str">
        <f>SUBSTITUTE(SUBSTITUTE(SUBSTITUTE(SUBSTITUTE(IF(E277="","",VLOOKUP(E277,[1]Esquemas_NORM!$A$2:$H$126,8,FALSE)),"PROVINCIA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7" s="17" t="str">
        <f>IF($E277="","",INDEX([1]Esquemas_NORM!$H$2:$K$126,MATCH($E277,[1]Esquemas_NORM!$A$2:$A$126,0),MATCH(AA$4,[1]Esquemas_NORM!$H$1:$K$1,0)))</f>
        <v>A la fecha no ha conformado un EAT Región</v>
      </c>
      <c r="AB277" s="17" t="str">
        <f>IF($E277="","",INDEX([1]Esquemas_NORM!$H$2:$K$126,MATCH($E277,[1]Esquemas_NORM!$A$2:$A$126,0),MATCH(AB$4,[1]Esquemas_NORM!$H$1:$K$1,0)))</f>
        <v>A la fecha no ha conformado un EAT Área Metropolitana</v>
      </c>
      <c r="AC277" s="17" t="str">
        <f>IF($E277="","",INDEX([1]Esquemas_NORM!$H$2:$K$126,MATCH($E277,[1]Esquemas_NORM!$A$2:$A$126,0),MATCH(AC$4,[1]Esquemas_NORM!$H$1:$K$1,0)))</f>
        <v>ASOCIACIÓN DE MUNICIPIOS DEL MAGDALENA MEDIO ANTIOQUEÑO - AMMA</v>
      </c>
      <c r="AD277" s="23"/>
    </row>
    <row r="278" spans="1:30" x14ac:dyDescent="0.25">
      <c r="A278" s="24">
        <v>2017</v>
      </c>
      <c r="B278" s="25" t="s">
        <v>36</v>
      </c>
      <c r="C278" s="25" t="s">
        <v>78</v>
      </c>
      <c r="D278" s="25" t="s">
        <v>85</v>
      </c>
      <c r="E278" s="25" t="s">
        <v>90</v>
      </c>
      <c r="F278" s="25" t="s">
        <v>81</v>
      </c>
      <c r="G278" s="25" t="s">
        <v>91</v>
      </c>
      <c r="H278" s="26">
        <v>6.9126030153311095</v>
      </c>
      <c r="I278" s="26">
        <v>14.659951793003851</v>
      </c>
      <c r="J278" s="27">
        <v>21.57255480833496</v>
      </c>
      <c r="K278" s="26">
        <v>13.049022794896258</v>
      </c>
      <c r="L278" s="26">
        <v>6.8525252329290476</v>
      </c>
      <c r="M278" s="27">
        <v>19.901548027825307</v>
      </c>
      <c r="N278" s="26">
        <v>11.04847400386479</v>
      </c>
      <c r="O278" s="26">
        <v>52.163092645410657</v>
      </c>
      <c r="P278" s="26">
        <v>3.2737508708605714</v>
      </c>
      <c r="Q278" s="26">
        <v>2.5917072444256886</v>
      </c>
      <c r="R278" s="26">
        <v>12.465194880540853</v>
      </c>
      <c r="S278" s="26">
        <v>14.35990078761478</v>
      </c>
      <c r="T278" s="26">
        <v>14.759603035873512</v>
      </c>
      <c r="U278" s="26">
        <v>2.920715070449833</v>
      </c>
      <c r="V278" s="27">
        <v>113.58243853904068</v>
      </c>
      <c r="W278" s="27">
        <v>158.3165704424774</v>
      </c>
      <c r="X278" s="26">
        <v>15.42825832797859</v>
      </c>
      <c r="Y278" s="28">
        <v>173.74864218753501</v>
      </c>
      <c r="Z278" s="17" t="str">
        <f>SUBSTITUTE(SUBSTITUTE(SUBSTITUTE(SUBSTITUTE(IF(E278="","",VLOOKUP(E278,[1]Esquemas_NORM!$A$2:$H$126,8,FALSE)),"PROVINCIA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8" s="17" t="str">
        <f>IF($E278="","",INDEX([1]Esquemas_NORM!$H$2:$K$126,MATCH($E278,[1]Esquemas_NORM!$A$2:$A$126,0),MATCH(AA$4,[1]Esquemas_NORM!$H$1:$K$1,0)))</f>
        <v>A la fecha no ha conformado un EAT Región</v>
      </c>
      <c r="AB278" s="17" t="str">
        <f>IF($E278="","",INDEX([1]Esquemas_NORM!$H$2:$K$126,MATCH($E278,[1]Esquemas_NORM!$A$2:$A$126,0),MATCH(AB$4,[1]Esquemas_NORM!$H$1:$K$1,0)))</f>
        <v>A la fecha no ha conformado un EAT Área Metropolitana</v>
      </c>
      <c r="AC278" s="17" t="str">
        <f>IF($E278="","",INDEX([1]Esquemas_NORM!$H$2:$K$126,MATCH($E278,[1]Esquemas_NORM!$A$2:$A$126,0),MATCH(AC$4,[1]Esquemas_NORM!$H$1:$K$1,0)))</f>
        <v>ASOCIACIÓN DE MUNICIPIOS DEL MAGDALENA MEDIO ANTIOQUEÑO - AMMA</v>
      </c>
      <c r="AD278" s="23"/>
    </row>
    <row r="279" spans="1:30" x14ac:dyDescent="0.25">
      <c r="A279" s="24">
        <v>2017</v>
      </c>
      <c r="B279" s="25" t="s">
        <v>36</v>
      </c>
      <c r="C279" s="25" t="s">
        <v>78</v>
      </c>
      <c r="D279" s="25" t="s">
        <v>85</v>
      </c>
      <c r="E279" s="25" t="s">
        <v>92</v>
      </c>
      <c r="F279" s="25" t="s">
        <v>81</v>
      </c>
      <c r="G279" s="25" t="s">
        <v>93</v>
      </c>
      <c r="H279" s="26">
        <v>34.177512534101361</v>
      </c>
      <c r="I279" s="26">
        <v>567.3418965014497</v>
      </c>
      <c r="J279" s="27">
        <v>601.51940903555101</v>
      </c>
      <c r="K279" s="26">
        <v>0.5511725303618672</v>
      </c>
      <c r="L279" s="26">
        <v>18.472376254712437</v>
      </c>
      <c r="M279" s="27">
        <v>19.023548785074304</v>
      </c>
      <c r="N279" s="26">
        <v>10.37620229367516</v>
      </c>
      <c r="O279" s="26">
        <v>16.434699135966547</v>
      </c>
      <c r="P279" s="26">
        <v>3.7710889256108699</v>
      </c>
      <c r="Q279" s="26">
        <v>2.3006800428733438</v>
      </c>
      <c r="R279" s="26">
        <v>9.0138783336164643</v>
      </c>
      <c r="S279" s="26">
        <v>52.371474483550891</v>
      </c>
      <c r="T279" s="26">
        <v>17.114377426481788</v>
      </c>
      <c r="U279" s="26">
        <v>3.6918006261773049</v>
      </c>
      <c r="V279" s="27">
        <v>115.07420126795238</v>
      </c>
      <c r="W279" s="27">
        <v>747.83042799049053</v>
      </c>
      <c r="X279" s="26">
        <v>72.877532631530016</v>
      </c>
      <c r="Y279" s="28">
        <v>820.725973830101</v>
      </c>
      <c r="Z279" s="17" t="str">
        <f>SUBSTITUTE(SUBSTITUTE(SUBSTITUTE(SUBSTITUTE(IF(E279="","",VLOOKUP(E279,[1]Esquemas_NORM!$A$2:$H$126,8,FALSE)),"PROVINCIA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79" s="17" t="str">
        <f>IF($E279="","",INDEX([1]Esquemas_NORM!$H$2:$K$126,MATCH($E279,[1]Esquemas_NORM!$A$2:$A$126,0),MATCH(AA$4,[1]Esquemas_NORM!$H$1:$K$1,0)))</f>
        <v>A la fecha no ha conformado un EAT Región</v>
      </c>
      <c r="AB279" s="17" t="str">
        <f>IF($E279="","",INDEX([1]Esquemas_NORM!$H$2:$K$126,MATCH($E279,[1]Esquemas_NORM!$A$2:$A$126,0),MATCH(AB$4,[1]Esquemas_NORM!$H$1:$K$1,0)))</f>
        <v>A la fecha no ha conformado un EAT Área Metropolitana</v>
      </c>
      <c r="AC279" s="17" t="str">
        <f>IF($E279="","",INDEX([1]Esquemas_NORM!$H$2:$K$126,MATCH($E279,[1]Esquemas_NORM!$A$2:$A$126,0),MATCH(AC$4,[1]Esquemas_NORM!$H$1:$K$1,0)))</f>
        <v>ASOCIACIÓN DE MUNICIPIOS DEL MAGDALENA MEDIO ANTIOQUEÑO - AMMA</v>
      </c>
      <c r="AD279" s="23"/>
    </row>
    <row r="280" spans="1:30" x14ac:dyDescent="0.25">
      <c r="A280" s="24">
        <v>2017</v>
      </c>
      <c r="B280" s="25" t="s">
        <v>36</v>
      </c>
      <c r="C280" s="25" t="s">
        <v>94</v>
      </c>
      <c r="D280" s="25" t="s">
        <v>95</v>
      </c>
      <c r="E280" s="25" t="s">
        <v>96</v>
      </c>
      <c r="F280" s="25" t="s">
        <v>97</v>
      </c>
      <c r="G280" s="25" t="s">
        <v>98</v>
      </c>
      <c r="H280" s="26">
        <v>23.626861197025399</v>
      </c>
      <c r="I280" s="26">
        <v>29.40080024418867</v>
      </c>
      <c r="J280" s="27">
        <v>53.027661441214065</v>
      </c>
      <c r="K280" s="26">
        <v>16.922240479159502</v>
      </c>
      <c r="L280" s="26">
        <v>36.025119521879148</v>
      </c>
      <c r="M280" s="27">
        <v>52.947360001038646</v>
      </c>
      <c r="N280" s="26">
        <v>347.87819341295835</v>
      </c>
      <c r="O280" s="26">
        <v>30.813271430494968</v>
      </c>
      <c r="P280" s="26">
        <v>6.2670547316157785</v>
      </c>
      <c r="Q280" s="26">
        <v>10.10341976044189</v>
      </c>
      <c r="R280" s="26">
        <v>15.258330758313548</v>
      </c>
      <c r="S280" s="26">
        <v>41.846853670596317</v>
      </c>
      <c r="T280" s="26">
        <v>31.1919557538953</v>
      </c>
      <c r="U280" s="26">
        <v>6.2621185022038501</v>
      </c>
      <c r="V280" s="27">
        <v>489.62119802052001</v>
      </c>
      <c r="W280" s="27">
        <v>610.90965755447496</v>
      </c>
      <c r="X280" s="26">
        <v>59.534336711977957</v>
      </c>
      <c r="Y280" s="28">
        <v>670.45870942428735</v>
      </c>
      <c r="Z280" s="17" t="str">
        <f>SUBSTITUTE(SUBSTITUTE(SUBSTITUTE(SUBSTITUTE(IF(E280="","",VLOOKUP(E280,[1]Esquemas_NORM!$A$2:$H$126,8,FALSE)),"PROVINCIA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280" s="17" t="str">
        <f>IF($E280="","",INDEX([1]Esquemas_NORM!$H$2:$K$126,MATCH($E280,[1]Esquemas_NORM!$A$2:$A$126,0),MATCH(AA$4,[1]Esquemas_NORM!$H$1:$K$1,0)))</f>
        <v>A la fecha no ha conformado un EAT Región</v>
      </c>
      <c r="AB280" s="17" t="str">
        <f>IF($E280="","",INDEX([1]Esquemas_NORM!$H$2:$K$126,MATCH($E280,[1]Esquemas_NORM!$A$2:$A$126,0),MATCH(AB$4,[1]Esquemas_NORM!$H$1:$K$1,0)))</f>
        <v>A la fecha no ha conformado un EAT Área Metropolitana</v>
      </c>
      <c r="AC280" s="17" t="str">
        <f>IF($E280="","",INDEX([1]Esquemas_NORM!$H$2:$K$126,MATCH($E280,[1]Esquemas_NORM!$A$2:$A$126,0),MATCH(AC$4,[1]Esquemas_NORM!$H$1:$K$1,0)))</f>
        <v>A la fecha no ha conformado un EAT asociación - unión</v>
      </c>
      <c r="AD280" s="23"/>
    </row>
    <row r="281" spans="1:30" x14ac:dyDescent="0.25">
      <c r="A281" s="24">
        <v>2017</v>
      </c>
      <c r="B281" s="25" t="s">
        <v>36</v>
      </c>
      <c r="C281" s="25" t="s">
        <v>94</v>
      </c>
      <c r="D281" s="25" t="s">
        <v>99</v>
      </c>
      <c r="E281" s="25" t="s">
        <v>100</v>
      </c>
      <c r="F281" s="25" t="s">
        <v>97</v>
      </c>
      <c r="G281" s="25" t="s">
        <v>101</v>
      </c>
      <c r="H281" s="26">
        <v>10.633182056218933</v>
      </c>
      <c r="I281" s="26">
        <v>1.8065227459806212</v>
      </c>
      <c r="J281" s="27">
        <v>12.439704802199554</v>
      </c>
      <c r="K281" s="26">
        <v>2.3409232689726704</v>
      </c>
      <c r="L281" s="26">
        <v>9.332916969500701</v>
      </c>
      <c r="M281" s="27">
        <v>11.673840238473371</v>
      </c>
      <c r="N281" s="26">
        <v>70.615372599945246</v>
      </c>
      <c r="O281" s="26">
        <v>6.7455431804921107</v>
      </c>
      <c r="P281" s="26">
        <v>1.6805035242381026</v>
      </c>
      <c r="Q281" s="26">
        <v>1.1255023198643015</v>
      </c>
      <c r="R281" s="26">
        <v>2.8272036419137301</v>
      </c>
      <c r="S281" s="26">
        <v>8.011312097407588</v>
      </c>
      <c r="T281" s="26">
        <v>11.191593931330548</v>
      </c>
      <c r="U281" s="26">
        <v>1.4786753450404084</v>
      </c>
      <c r="V281" s="27">
        <v>103.67570664023202</v>
      </c>
      <c r="W281" s="27">
        <v>131.21904510627547</v>
      </c>
      <c r="X281" s="26">
        <v>12.787551674423879</v>
      </c>
      <c r="Y281" s="28">
        <v>144.00975749183851</v>
      </c>
      <c r="Z281" s="17" t="str">
        <f>SUBSTITUTE(SUBSTITUTE(SUBSTITUTE(SUBSTITUTE(IF(E281="","",VLOOKUP(E281,[1]Esquemas_NORM!$A$2:$H$126,8,FALSE)),"PROVINCIA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281" s="17" t="str">
        <f>IF($E281="","",INDEX([1]Esquemas_NORM!$H$2:$K$126,MATCH($E281,[1]Esquemas_NORM!$A$2:$A$126,0),MATCH(AA$4,[1]Esquemas_NORM!$H$1:$K$1,0)))</f>
        <v>A la fecha no ha conformado un EAT Región</v>
      </c>
      <c r="AB281" s="17" t="str">
        <f>IF($E281="","",INDEX([1]Esquemas_NORM!$H$2:$K$126,MATCH($E281,[1]Esquemas_NORM!$A$2:$A$126,0),MATCH(AB$4,[1]Esquemas_NORM!$H$1:$K$1,0)))</f>
        <v>A la fecha no ha conformado un EAT Área Metropolitana</v>
      </c>
      <c r="AC281" s="17" t="str">
        <f>IF($E281="","",INDEX([1]Esquemas_NORM!$H$2:$K$126,MATCH($E281,[1]Esquemas_NORM!$A$2:$A$126,0),MATCH(AC$4,[1]Esquemas_NORM!$H$1:$K$1,0)))</f>
        <v>A la fecha no ha conformado un EAT asociación - unión</v>
      </c>
      <c r="AD281" s="23"/>
    </row>
    <row r="282" spans="1:30" x14ac:dyDescent="0.25">
      <c r="A282" s="24">
        <v>2017</v>
      </c>
      <c r="B282" s="25" t="s">
        <v>36</v>
      </c>
      <c r="C282" s="25" t="s">
        <v>94</v>
      </c>
      <c r="D282" s="25" t="s">
        <v>79</v>
      </c>
      <c r="E282" s="25" t="s">
        <v>102</v>
      </c>
      <c r="F282" s="25" t="s">
        <v>97</v>
      </c>
      <c r="G282" s="25" t="s">
        <v>103</v>
      </c>
      <c r="H282" s="26">
        <v>3.4425958878771286</v>
      </c>
      <c r="I282" s="26">
        <v>0</v>
      </c>
      <c r="J282" s="27">
        <v>3.4425958878771286</v>
      </c>
      <c r="K282" s="26">
        <v>6.7837355076137671</v>
      </c>
      <c r="L282" s="26">
        <v>2.6899586300931619</v>
      </c>
      <c r="M282" s="27">
        <v>9.4736941377069286</v>
      </c>
      <c r="N282" s="26">
        <v>8.9040871357851543</v>
      </c>
      <c r="O282" s="26">
        <v>21.386040251863328</v>
      </c>
      <c r="P282" s="26">
        <v>3.1345371084709113</v>
      </c>
      <c r="Q282" s="26">
        <v>3.3364401090314595</v>
      </c>
      <c r="R282" s="26">
        <v>11.210576238974939</v>
      </c>
      <c r="S282" s="26">
        <v>9.808772859467453</v>
      </c>
      <c r="T282" s="26">
        <v>15.752804617245515</v>
      </c>
      <c r="U282" s="26">
        <v>2.6891530546624454</v>
      </c>
      <c r="V282" s="27">
        <v>76.222411375501196</v>
      </c>
      <c r="W282" s="27">
        <v>90.765117679303358</v>
      </c>
      <c r="X282" s="26">
        <v>8.8452376072326473</v>
      </c>
      <c r="Y282" s="28">
        <v>99.612541572210162</v>
      </c>
      <c r="Z282" s="17" t="str">
        <f>SUBSTITUTE(SUBSTITUTE(SUBSTITUTE(SUBSTITUTE(IF(E282="","",VLOOKUP(E282,[1]Esquemas_NORM!$A$2:$H$126,8,FALSE)),"PROVINCIA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82" s="17" t="str">
        <f>IF($E282="","",INDEX([1]Esquemas_NORM!$H$2:$K$126,MATCH($E282,[1]Esquemas_NORM!$A$2:$A$126,0),MATCH(AA$4,[1]Esquemas_NORM!$H$1:$K$1,0)))</f>
        <v>A la fecha no ha conformado un EAT Región</v>
      </c>
      <c r="AB282" s="17" t="str">
        <f>IF($E282="","",INDEX([1]Esquemas_NORM!$H$2:$K$126,MATCH($E282,[1]Esquemas_NORM!$A$2:$A$126,0),MATCH(AB$4,[1]Esquemas_NORM!$H$1:$K$1,0)))</f>
        <v>A la fecha no ha conformado un EAT Área Metropolitana</v>
      </c>
      <c r="AC282" s="17" t="str">
        <f>IF($E282="","",INDEX([1]Esquemas_NORM!$H$2:$K$126,MATCH($E282,[1]Esquemas_NORM!$A$2:$A$126,0),MATCH(AC$4,[1]Esquemas_NORM!$H$1:$K$1,0)))</f>
        <v>A la fecha no ha conformado un EAT asociación - unión</v>
      </c>
      <c r="AD282" s="23"/>
    </row>
    <row r="283" spans="1:30" x14ac:dyDescent="0.25">
      <c r="A283" s="24">
        <v>2017</v>
      </c>
      <c r="B283" s="25" t="s">
        <v>36</v>
      </c>
      <c r="C283" s="25" t="s">
        <v>94</v>
      </c>
      <c r="D283" s="25" t="s">
        <v>104</v>
      </c>
      <c r="E283" s="25" t="s">
        <v>105</v>
      </c>
      <c r="F283" s="25" t="s">
        <v>97</v>
      </c>
      <c r="G283" s="25" t="s">
        <v>106</v>
      </c>
      <c r="H283" s="26">
        <v>34.474064801743218</v>
      </c>
      <c r="I283" s="26">
        <v>256.90722993998287</v>
      </c>
      <c r="J283" s="27">
        <v>291.38129474172609</v>
      </c>
      <c r="K283" s="26">
        <v>11.376691700810184</v>
      </c>
      <c r="L283" s="26">
        <v>8.8873277623089901</v>
      </c>
      <c r="M283" s="27">
        <v>20.264019463119176</v>
      </c>
      <c r="N283" s="26">
        <v>9.1438991793104272</v>
      </c>
      <c r="O283" s="26">
        <v>52.688477888073287</v>
      </c>
      <c r="P283" s="26">
        <v>6.5840939339089175</v>
      </c>
      <c r="Q283" s="26">
        <v>4.7378166970636038</v>
      </c>
      <c r="R283" s="26">
        <v>15.806258968771957</v>
      </c>
      <c r="S283" s="26">
        <v>37.147995274920447</v>
      </c>
      <c r="T283" s="26">
        <v>31.500194001465527</v>
      </c>
      <c r="U283" s="26">
        <v>5.6235800352810621</v>
      </c>
      <c r="V283" s="27">
        <v>163.23231597879524</v>
      </c>
      <c r="W283" s="27">
        <v>484.0676658192146</v>
      </c>
      <c r="X283" s="26">
        <v>47.173337418794972</v>
      </c>
      <c r="Y283" s="28">
        <v>531.25266311605606</v>
      </c>
      <c r="Z283" s="17" t="str">
        <f>SUBSTITUTE(SUBSTITUTE(SUBSTITUTE(SUBSTITUTE(IF(E283="","",VLOOKUP(E283,[1]Esquemas_NORM!$A$2:$H$126,8,FALSE)),"PROVINCIA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283" s="17" t="str">
        <f>IF($E283="","",INDEX([1]Esquemas_NORM!$H$2:$K$126,MATCH($E283,[1]Esquemas_NORM!$A$2:$A$126,0),MATCH(AA$4,[1]Esquemas_NORM!$H$1:$K$1,0)))</f>
        <v>A la fecha no ha conformado un EAT Región</v>
      </c>
      <c r="AB283" s="17" t="str">
        <f>IF($E283="","",INDEX([1]Esquemas_NORM!$H$2:$K$126,MATCH($E283,[1]Esquemas_NORM!$A$2:$A$126,0),MATCH(AB$4,[1]Esquemas_NORM!$H$1:$K$1,0)))</f>
        <v>A la fecha no ha conformado un EAT Área Metropolitana</v>
      </c>
      <c r="AC283" s="17" t="str">
        <f>IF($E283="","",INDEX([1]Esquemas_NORM!$H$2:$K$126,MATCH($E283,[1]Esquemas_NORM!$A$2:$A$126,0),MATCH(AC$4,[1]Esquemas_NORM!$H$1:$K$1,0)))</f>
        <v>A la fecha no ha conformado un EAT asociación - unión</v>
      </c>
      <c r="AD283" s="23"/>
    </row>
    <row r="284" spans="1:30" x14ac:dyDescent="0.25">
      <c r="A284" s="24">
        <v>2017</v>
      </c>
      <c r="B284" s="25" t="s">
        <v>36</v>
      </c>
      <c r="C284" s="25" t="s">
        <v>94</v>
      </c>
      <c r="D284" s="25" t="s">
        <v>79</v>
      </c>
      <c r="E284" s="25" t="s">
        <v>107</v>
      </c>
      <c r="F284" s="25" t="s">
        <v>97</v>
      </c>
      <c r="G284" s="25" t="s">
        <v>108</v>
      </c>
      <c r="H284" s="26">
        <v>27.934228312096774</v>
      </c>
      <c r="I284" s="26">
        <v>12.795723174132185</v>
      </c>
      <c r="J284" s="27">
        <v>40.729951486228956</v>
      </c>
      <c r="K284" s="26">
        <v>3.8562994368684507</v>
      </c>
      <c r="L284" s="26">
        <v>13.648648257288057</v>
      </c>
      <c r="M284" s="27">
        <v>17.504947694156506</v>
      </c>
      <c r="N284" s="26">
        <v>8.6963527028699499</v>
      </c>
      <c r="O284" s="26">
        <v>24.868492334878475</v>
      </c>
      <c r="P284" s="26">
        <v>8.4533740493252356</v>
      </c>
      <c r="Q284" s="26">
        <v>6.4994257831110627</v>
      </c>
      <c r="R284" s="26">
        <v>16.956601133670986</v>
      </c>
      <c r="S284" s="26">
        <v>17.581930298751349</v>
      </c>
      <c r="T284" s="26">
        <v>27.4861122619109</v>
      </c>
      <c r="U284" s="26">
        <v>7.346992215605721</v>
      </c>
      <c r="V284" s="27">
        <v>117.88928078012368</v>
      </c>
      <c r="W284" s="27">
        <v>179.03580871688357</v>
      </c>
      <c r="X284" s="26">
        <v>17.44738847691902</v>
      </c>
      <c r="Y284" s="28">
        <v>196.48750968117403</v>
      </c>
      <c r="Z284" s="17" t="str">
        <f>SUBSTITUTE(SUBSTITUTE(SUBSTITUTE(SUBSTITUTE(IF(E284="","",VLOOKUP(E284,[1]Esquemas_NORM!$A$2:$H$126,8,FALSE)),"PROVINCIA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84" s="17" t="str">
        <f>IF($E284="","",INDEX([1]Esquemas_NORM!$H$2:$K$126,MATCH($E284,[1]Esquemas_NORM!$A$2:$A$126,0),MATCH(AA$4,[1]Esquemas_NORM!$H$1:$K$1,0)))</f>
        <v>A la fecha no ha conformado un EAT Región</v>
      </c>
      <c r="AB284" s="17" t="str">
        <f>IF($E284="","",INDEX([1]Esquemas_NORM!$H$2:$K$126,MATCH($E284,[1]Esquemas_NORM!$A$2:$A$126,0),MATCH(AB$4,[1]Esquemas_NORM!$H$1:$K$1,0)))</f>
        <v>A la fecha no ha conformado un EAT Área Metropolitana</v>
      </c>
      <c r="AC284" s="17" t="str">
        <f>IF($E284="","",INDEX([1]Esquemas_NORM!$H$2:$K$126,MATCH($E284,[1]Esquemas_NORM!$A$2:$A$126,0),MATCH(AC$4,[1]Esquemas_NORM!$H$1:$K$1,0)))</f>
        <v>A la fecha no ha conformado un EAT asociación - unión</v>
      </c>
      <c r="AD284" s="23"/>
    </row>
    <row r="285" spans="1:30" x14ac:dyDescent="0.25">
      <c r="A285" s="24">
        <v>2017</v>
      </c>
      <c r="B285" s="25" t="s">
        <v>36</v>
      </c>
      <c r="C285" s="25" t="s">
        <v>94</v>
      </c>
      <c r="D285" s="25" t="s">
        <v>79</v>
      </c>
      <c r="E285" s="25" t="s">
        <v>109</v>
      </c>
      <c r="F285" s="25" t="s">
        <v>97</v>
      </c>
      <c r="G285" s="25" t="s">
        <v>110</v>
      </c>
      <c r="H285" s="26">
        <v>58.78902687385829</v>
      </c>
      <c r="I285" s="26">
        <v>1.1845921790542604E-2</v>
      </c>
      <c r="J285" s="27">
        <v>58.800872795648836</v>
      </c>
      <c r="K285" s="26">
        <v>7.4028631429604221</v>
      </c>
      <c r="L285" s="26">
        <v>7.5775272936320066</v>
      </c>
      <c r="M285" s="27">
        <v>14.98039043659243</v>
      </c>
      <c r="N285" s="26">
        <v>4.8365314578844965</v>
      </c>
      <c r="O285" s="26">
        <v>20.729025962036967</v>
      </c>
      <c r="P285" s="26">
        <v>3.2869875056009685</v>
      </c>
      <c r="Q285" s="26">
        <v>2.53135448310152</v>
      </c>
      <c r="R285" s="26">
        <v>9.3274517961117187</v>
      </c>
      <c r="S285" s="26">
        <v>10.389628581938132</v>
      </c>
      <c r="T285" s="26">
        <v>17.555296264775468</v>
      </c>
      <c r="U285" s="26">
        <v>3.4400201345612742</v>
      </c>
      <c r="V285" s="27">
        <v>72.096296186010548</v>
      </c>
      <c r="W285" s="27">
        <v>149.32603834353338</v>
      </c>
      <c r="X285" s="26">
        <v>14.552113453572311</v>
      </c>
      <c r="Y285" s="28">
        <v>163.88174865663464</v>
      </c>
      <c r="Z285" s="17" t="str">
        <f>SUBSTITUTE(SUBSTITUTE(SUBSTITUTE(SUBSTITUTE(IF(E285="","",VLOOKUP(E285,[1]Esquemas_NORM!$A$2:$H$126,8,FALSE)),"PROVINCIA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285" s="17" t="str">
        <f>IF($E285="","",INDEX([1]Esquemas_NORM!$H$2:$K$126,MATCH($E285,[1]Esquemas_NORM!$A$2:$A$126,0),MATCH(AA$4,[1]Esquemas_NORM!$H$1:$K$1,0)))</f>
        <v>A la fecha no ha conformado un EAT Región</v>
      </c>
      <c r="AB285" s="17" t="str">
        <f>IF($E285="","",INDEX([1]Esquemas_NORM!$H$2:$K$126,MATCH($E285,[1]Esquemas_NORM!$A$2:$A$126,0),MATCH(AB$4,[1]Esquemas_NORM!$H$1:$K$1,0)))</f>
        <v>A la fecha no ha conformado un EAT Área Metropolitana</v>
      </c>
      <c r="AC285" s="17" t="str">
        <f>IF($E285="","",INDEX([1]Esquemas_NORM!$H$2:$K$126,MATCH($E285,[1]Esquemas_NORM!$A$2:$A$126,0),MATCH(AC$4,[1]Esquemas_NORM!$H$1:$K$1,0)))</f>
        <v>A la fecha no ha conformado un EAT asociación - unión</v>
      </c>
      <c r="AD285" s="23"/>
    </row>
    <row r="286" spans="1:30" x14ac:dyDescent="0.25">
      <c r="A286" s="24">
        <v>2017</v>
      </c>
      <c r="B286" s="25" t="s">
        <v>36</v>
      </c>
      <c r="C286" s="25" t="s">
        <v>94</v>
      </c>
      <c r="D286" s="25" t="s">
        <v>104</v>
      </c>
      <c r="E286" s="25" t="s">
        <v>111</v>
      </c>
      <c r="F286" s="25" t="s">
        <v>97</v>
      </c>
      <c r="G286" s="25" t="s">
        <v>112</v>
      </c>
      <c r="H286" s="26">
        <v>12.137206731284126</v>
      </c>
      <c r="I286" s="26">
        <v>219.54299562606536</v>
      </c>
      <c r="J286" s="27">
        <v>231.68020235734949</v>
      </c>
      <c r="K286" s="26">
        <v>25.739625214322906</v>
      </c>
      <c r="L286" s="26">
        <v>3.8086124372083572</v>
      </c>
      <c r="M286" s="27">
        <v>29.548237651531263</v>
      </c>
      <c r="N286" s="26">
        <v>22.010223579539975</v>
      </c>
      <c r="O286" s="26">
        <v>81.403183221887687</v>
      </c>
      <c r="P286" s="26">
        <v>8.9331085192720732</v>
      </c>
      <c r="Q286" s="26">
        <v>8.3962974483038799</v>
      </c>
      <c r="R286" s="26">
        <v>35.706527462224358</v>
      </c>
      <c r="S286" s="26">
        <v>48.817808055431314</v>
      </c>
      <c r="T286" s="26">
        <v>47.755637187427688</v>
      </c>
      <c r="U286" s="26">
        <v>9.8371829268732345</v>
      </c>
      <c r="V286" s="27">
        <v>262.85996840096021</v>
      </c>
      <c r="W286" s="27">
        <v>533.83202787074561</v>
      </c>
      <c r="X286" s="26">
        <v>52.022971484982349</v>
      </c>
      <c r="Y286" s="28">
        <v>585.86785792237447</v>
      </c>
      <c r="Z286" s="17" t="str">
        <f>SUBSTITUTE(SUBSTITUTE(SUBSTITUTE(SUBSTITUTE(IF(E286="","",VLOOKUP(E286,[1]Esquemas_NORM!$A$2:$H$126,8,FALSE)),"PROVINCIA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286" s="17" t="str">
        <f>IF($E286="","",INDEX([1]Esquemas_NORM!$H$2:$K$126,MATCH($E286,[1]Esquemas_NORM!$A$2:$A$126,0),MATCH(AA$4,[1]Esquemas_NORM!$H$1:$K$1,0)))</f>
        <v>A la fecha no ha conformado un EAT Región</v>
      </c>
      <c r="AB286" s="17" t="str">
        <f>IF($E286="","",INDEX([1]Esquemas_NORM!$H$2:$K$126,MATCH($E286,[1]Esquemas_NORM!$A$2:$A$126,0),MATCH(AB$4,[1]Esquemas_NORM!$H$1:$K$1,0)))</f>
        <v>A la fecha no ha conformado un EAT Área Metropolitana</v>
      </c>
      <c r="AC286" s="17" t="str">
        <f>IF($E286="","",INDEX([1]Esquemas_NORM!$H$2:$K$126,MATCH($E286,[1]Esquemas_NORM!$A$2:$A$126,0),MATCH(AC$4,[1]Esquemas_NORM!$H$1:$K$1,0)))</f>
        <v>A la fecha no ha conformado un EAT asociación - unión</v>
      </c>
      <c r="AD286" s="23"/>
    </row>
    <row r="287" spans="1:30" x14ac:dyDescent="0.25">
      <c r="A287" s="24">
        <v>2017</v>
      </c>
      <c r="B287" s="25" t="s">
        <v>36</v>
      </c>
      <c r="C287" s="25" t="s">
        <v>94</v>
      </c>
      <c r="D287" s="25" t="s">
        <v>95</v>
      </c>
      <c r="E287" s="25" t="s">
        <v>113</v>
      </c>
      <c r="F287" s="25" t="s">
        <v>97</v>
      </c>
      <c r="G287" s="25" t="s">
        <v>114</v>
      </c>
      <c r="H287" s="26">
        <v>14.647065631080563</v>
      </c>
      <c r="I287" s="26">
        <v>5.3807535724450464</v>
      </c>
      <c r="J287" s="27">
        <v>20.02781920352561</v>
      </c>
      <c r="K287" s="26">
        <v>1.0633903256122237</v>
      </c>
      <c r="L287" s="26">
        <v>9.660206327806808</v>
      </c>
      <c r="M287" s="27">
        <v>10.723596653419031</v>
      </c>
      <c r="N287" s="26">
        <v>2.8193588211400855</v>
      </c>
      <c r="O287" s="26">
        <v>23.402557975155915</v>
      </c>
      <c r="P287" s="26">
        <v>9.7158473405850874</v>
      </c>
      <c r="Q287" s="26">
        <v>3.4269981139072634</v>
      </c>
      <c r="R287" s="26">
        <v>6.5951153734817343</v>
      </c>
      <c r="S287" s="26">
        <v>10.545089385339717</v>
      </c>
      <c r="T287" s="26">
        <v>21.163854772047973</v>
      </c>
      <c r="U287" s="26">
        <v>2.9090581031964682</v>
      </c>
      <c r="V287" s="27">
        <v>80.577879884854241</v>
      </c>
      <c r="W287" s="27">
        <v>113.6359775923941</v>
      </c>
      <c r="X287" s="26">
        <v>11.074047478090288</v>
      </c>
      <c r="Y287" s="28">
        <v>124.71276225318445</v>
      </c>
      <c r="Z287" s="17" t="str">
        <f>SUBSTITUTE(SUBSTITUTE(SUBSTITUTE(SUBSTITUTE(IF(E287="","",VLOOKUP(E287,[1]Esquemas_NORM!$A$2:$H$126,8,FALSE)),"PROVINCIA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287" s="17" t="str">
        <f>IF($E287="","",INDEX([1]Esquemas_NORM!$H$2:$K$126,MATCH($E287,[1]Esquemas_NORM!$A$2:$A$126,0),MATCH(AA$4,[1]Esquemas_NORM!$H$1:$K$1,0)))</f>
        <v>A la fecha no ha conformado un EAT Región</v>
      </c>
      <c r="AB287" s="17" t="str">
        <f>IF($E287="","",INDEX([1]Esquemas_NORM!$H$2:$K$126,MATCH($E287,[1]Esquemas_NORM!$A$2:$A$126,0),MATCH(AB$4,[1]Esquemas_NORM!$H$1:$K$1,0)))</f>
        <v>A la fecha no ha conformado un EAT Área Metropolitana</v>
      </c>
      <c r="AC287" s="17" t="str">
        <f>IF($E287="","",INDEX([1]Esquemas_NORM!$H$2:$K$126,MATCH($E287,[1]Esquemas_NORM!$A$2:$A$126,0),MATCH(AC$4,[1]Esquemas_NORM!$H$1:$K$1,0)))</f>
        <v>A la fecha no ha conformado un EAT asociación - unión</v>
      </c>
      <c r="AD287" s="23"/>
    </row>
    <row r="288" spans="1:30" x14ac:dyDescent="0.25">
      <c r="A288" s="24">
        <v>2017</v>
      </c>
      <c r="B288" s="25" t="s">
        <v>36</v>
      </c>
      <c r="C288" s="25" t="s">
        <v>94</v>
      </c>
      <c r="D288" s="25" t="s">
        <v>95</v>
      </c>
      <c r="E288" s="25" t="s">
        <v>115</v>
      </c>
      <c r="F288" s="25" t="s">
        <v>97</v>
      </c>
      <c r="G288" s="25" t="s">
        <v>116</v>
      </c>
      <c r="H288" s="26">
        <v>8.8879856003655195</v>
      </c>
      <c r="I288" s="26">
        <v>0.58948996555957622</v>
      </c>
      <c r="J288" s="27">
        <v>9.4774755659250953</v>
      </c>
      <c r="K288" s="26">
        <v>2.3382289438652686</v>
      </c>
      <c r="L288" s="26">
        <v>2.9725052352723975</v>
      </c>
      <c r="M288" s="27">
        <v>5.3107341791376665</v>
      </c>
      <c r="N288" s="26">
        <v>1.7462519646199508</v>
      </c>
      <c r="O288" s="26">
        <v>12.038711419582716</v>
      </c>
      <c r="P288" s="26">
        <v>4.4701669442758689</v>
      </c>
      <c r="Q288" s="26">
        <v>1.549647437823352</v>
      </c>
      <c r="R288" s="26">
        <v>4.0316051777499222</v>
      </c>
      <c r="S288" s="26">
        <v>5.8123894134213092</v>
      </c>
      <c r="T288" s="26">
        <v>11.276565703549252</v>
      </c>
      <c r="U288" s="26">
        <v>2.2593289410238686</v>
      </c>
      <c r="V288" s="27">
        <v>43.18466700204624</v>
      </c>
      <c r="W288" s="27">
        <v>59.223772885501745</v>
      </c>
      <c r="X288" s="26">
        <v>5.7714720871071412</v>
      </c>
      <c r="Y288" s="28">
        <v>64.996671512776956</v>
      </c>
      <c r="Z288" s="17" t="str">
        <f>SUBSTITUTE(SUBSTITUTE(SUBSTITUTE(SUBSTITUTE(IF(E288="","",VLOOKUP(E288,[1]Esquemas_NORM!$A$2:$H$126,8,FALSE)),"PROVINCIA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288" s="17" t="str">
        <f>IF($E288="","",INDEX([1]Esquemas_NORM!$H$2:$K$126,MATCH($E288,[1]Esquemas_NORM!$A$2:$A$126,0),MATCH(AA$4,[1]Esquemas_NORM!$H$1:$K$1,0)))</f>
        <v>A la fecha no ha conformado un EAT Región</v>
      </c>
      <c r="AB288" s="17" t="str">
        <f>IF($E288="","",INDEX([1]Esquemas_NORM!$H$2:$K$126,MATCH($E288,[1]Esquemas_NORM!$A$2:$A$126,0),MATCH(AB$4,[1]Esquemas_NORM!$H$1:$K$1,0)))</f>
        <v>A la fecha no ha conformado un EAT Área Metropolitana</v>
      </c>
      <c r="AC288" s="17" t="str">
        <f>IF($E288="","",INDEX([1]Esquemas_NORM!$H$2:$K$126,MATCH($E288,[1]Esquemas_NORM!$A$2:$A$126,0),MATCH(AC$4,[1]Esquemas_NORM!$H$1:$K$1,0)))</f>
        <v>A la fecha no ha conformado un EAT asociación - unión</v>
      </c>
      <c r="AD288" s="23"/>
    </row>
    <row r="289" spans="1:30" x14ac:dyDescent="0.25">
      <c r="A289" s="24">
        <v>2017</v>
      </c>
      <c r="B289" s="25" t="s">
        <v>36</v>
      </c>
      <c r="C289" s="25" t="s">
        <v>94</v>
      </c>
      <c r="D289" s="25" t="s">
        <v>95</v>
      </c>
      <c r="E289" s="25" t="s">
        <v>117</v>
      </c>
      <c r="F289" s="25" t="s">
        <v>97</v>
      </c>
      <c r="G289" s="25" t="s">
        <v>118</v>
      </c>
      <c r="H289" s="26">
        <v>36.086181640460673</v>
      </c>
      <c r="I289" s="26">
        <v>0</v>
      </c>
      <c r="J289" s="27">
        <v>36.086181640460673</v>
      </c>
      <c r="K289" s="26">
        <v>5.085334087449807</v>
      </c>
      <c r="L289" s="26">
        <v>17.084720416760259</v>
      </c>
      <c r="M289" s="27">
        <v>22.170054504210064</v>
      </c>
      <c r="N289" s="26">
        <v>2.9972967533195698</v>
      </c>
      <c r="O289" s="26">
        <v>38.299277189294415</v>
      </c>
      <c r="P289" s="26">
        <v>4.7925242961050643</v>
      </c>
      <c r="Q289" s="26">
        <v>4.0283109452119206</v>
      </c>
      <c r="R289" s="26">
        <v>10.064097826864396</v>
      </c>
      <c r="S289" s="26">
        <v>16.281917425045531</v>
      </c>
      <c r="T289" s="26">
        <v>41.810392248450832</v>
      </c>
      <c r="U289" s="26">
        <v>4.0719218319323591</v>
      </c>
      <c r="V289" s="27">
        <v>122.34573851622407</v>
      </c>
      <c r="W289" s="27">
        <v>184.25973205802862</v>
      </c>
      <c r="X289" s="26">
        <v>17.956469987262953</v>
      </c>
      <c r="Y289" s="28">
        <v>202.22064036281739</v>
      </c>
      <c r="Z289" s="17" t="str">
        <f>SUBSTITUTE(SUBSTITUTE(SUBSTITUTE(SUBSTITUTE(IF(E289="","",VLOOKUP(E289,[1]Esquemas_NORM!$A$2:$H$126,8,FALSE)),"PROVINCIA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289" s="17" t="str">
        <f>IF($E289="","",INDEX([1]Esquemas_NORM!$H$2:$K$126,MATCH($E289,[1]Esquemas_NORM!$A$2:$A$126,0),MATCH(AA$4,[1]Esquemas_NORM!$H$1:$K$1,0)))</f>
        <v>A la fecha no ha conformado un EAT Región</v>
      </c>
      <c r="AB289" s="17" t="str">
        <f>IF($E289="","",INDEX([1]Esquemas_NORM!$H$2:$K$126,MATCH($E289,[1]Esquemas_NORM!$A$2:$A$126,0),MATCH(AB$4,[1]Esquemas_NORM!$H$1:$K$1,0)))</f>
        <v>A la fecha no ha conformado un EAT Área Metropolitana</v>
      </c>
      <c r="AC289" s="17" t="str">
        <f>IF($E289="","",INDEX([1]Esquemas_NORM!$H$2:$K$126,MATCH($E289,[1]Esquemas_NORM!$A$2:$A$126,0),MATCH(AC$4,[1]Esquemas_NORM!$H$1:$K$1,0)))</f>
        <v>A la fecha no ha conformado un EAT asociación - unión</v>
      </c>
      <c r="AD289" s="23"/>
    </row>
    <row r="290" spans="1:30" x14ac:dyDescent="0.25">
      <c r="A290" s="24">
        <v>2017</v>
      </c>
      <c r="B290" s="25" t="s">
        <v>36</v>
      </c>
      <c r="C290" s="25" t="s">
        <v>119</v>
      </c>
      <c r="D290" s="25" t="s">
        <v>120</v>
      </c>
      <c r="E290" s="25" t="s">
        <v>121</v>
      </c>
      <c r="F290" s="25" t="s">
        <v>122</v>
      </c>
      <c r="G290" s="25" t="s">
        <v>123</v>
      </c>
      <c r="H290" s="26">
        <v>31.037839759992117</v>
      </c>
      <c r="I290" s="26">
        <v>0</v>
      </c>
      <c r="J290" s="27">
        <v>31.037839759992117</v>
      </c>
      <c r="K290" s="26">
        <v>4.8603659796147305</v>
      </c>
      <c r="L290" s="26">
        <v>13.312465702454602</v>
      </c>
      <c r="M290" s="27">
        <v>18.172831682069333</v>
      </c>
      <c r="N290" s="26">
        <v>2.6645022657765796</v>
      </c>
      <c r="O290" s="26">
        <v>17.840209278253759</v>
      </c>
      <c r="P290" s="26">
        <v>3.9018849683011401</v>
      </c>
      <c r="Q290" s="26">
        <v>3.0201164852248796</v>
      </c>
      <c r="R290" s="26">
        <v>7.289706265798543</v>
      </c>
      <c r="S290" s="26">
        <v>9.3386247807569696</v>
      </c>
      <c r="T290" s="26">
        <v>21.987162620229952</v>
      </c>
      <c r="U290" s="26">
        <v>3.1356027067670142</v>
      </c>
      <c r="V290" s="27">
        <v>69.177809371108836</v>
      </c>
      <c r="W290" s="27">
        <v>120.28341231189053</v>
      </c>
      <c r="X290" s="26">
        <v>11.721852946491426</v>
      </c>
      <c r="Y290" s="28">
        <v>132.00816255976719</v>
      </c>
      <c r="Z290" s="17" t="str">
        <f>SUBSTITUTE(SUBSTITUTE(SUBSTITUTE(SUBSTITUTE(IF(E290="","",VLOOKUP(E290,[1]Esquemas_NORM!$A$2:$H$126,8,FALSE)),"PROVINCIA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290" s="17" t="str">
        <f>IF($E290="","",INDEX([1]Esquemas_NORM!$H$2:$K$126,MATCH($E290,[1]Esquemas_NORM!$A$2:$A$126,0),MATCH(AA$4,[1]Esquemas_NORM!$H$1:$K$1,0)))</f>
        <v>A la fecha no ha conformado un EAT Región</v>
      </c>
      <c r="AB290" s="17" t="str">
        <f>IF($E290="","",INDEX([1]Esquemas_NORM!$H$2:$K$126,MATCH($E290,[1]Esquemas_NORM!$A$2:$A$126,0),MATCH(AB$4,[1]Esquemas_NORM!$H$1:$K$1,0)))</f>
        <v>A la fecha no ha conformado un EAT Área Metropolitana</v>
      </c>
      <c r="AC290" s="17" t="str">
        <f>IF($E290="","",INDEX([1]Esquemas_NORM!$H$2:$K$126,MATCH($E290,[1]Esquemas_NORM!$A$2:$A$126,0),MATCH(AC$4,[1]Esquemas_NORM!$H$1:$K$1,0)))</f>
        <v>ASOCIACION DE MUNICIPIOS DEL NORTE ANTIOQUEÑO - AMUNORTE</v>
      </c>
      <c r="AD290" s="23"/>
    </row>
    <row r="291" spans="1:30" x14ac:dyDescent="0.25">
      <c r="A291" s="24">
        <v>2017</v>
      </c>
      <c r="B291" s="25" t="s">
        <v>36</v>
      </c>
      <c r="C291" s="25" t="s">
        <v>119</v>
      </c>
      <c r="D291" s="25" t="s">
        <v>124</v>
      </c>
      <c r="E291" s="25" t="s">
        <v>125</v>
      </c>
      <c r="F291" s="25" t="s">
        <v>122</v>
      </c>
      <c r="G291" s="25" t="s">
        <v>126</v>
      </c>
      <c r="H291" s="26">
        <v>13.388276913424404</v>
      </c>
      <c r="I291" s="26">
        <v>0</v>
      </c>
      <c r="J291" s="27">
        <v>13.388276913424404</v>
      </c>
      <c r="K291" s="26">
        <v>4.2085854172148771</v>
      </c>
      <c r="L291" s="26">
        <v>1.5678245093760761</v>
      </c>
      <c r="M291" s="27">
        <v>5.7764099265909534</v>
      </c>
      <c r="N291" s="26">
        <v>2.4715553423978829</v>
      </c>
      <c r="O291" s="26">
        <v>12.551266262931652</v>
      </c>
      <c r="P291" s="26">
        <v>2.571709216125877</v>
      </c>
      <c r="Q291" s="26">
        <v>1.1891147965418474</v>
      </c>
      <c r="R291" s="26">
        <v>6.4186844868123103</v>
      </c>
      <c r="S291" s="26">
        <v>5.4673746297370514</v>
      </c>
      <c r="T291" s="26">
        <v>10.092042392443581</v>
      </c>
      <c r="U291" s="26">
        <v>1.7074612841641537</v>
      </c>
      <c r="V291" s="27">
        <v>42.469208411154355</v>
      </c>
      <c r="W291" s="27">
        <v>63.017232938157562</v>
      </c>
      <c r="X291" s="26">
        <v>6.1411521621992113</v>
      </c>
      <c r="Y291" s="28">
        <v>69.159903014695715</v>
      </c>
      <c r="Z291" s="17" t="str">
        <f>SUBSTITUTE(SUBSTITUTE(SUBSTITUTE(SUBSTITUTE(IF(E291="","",VLOOKUP(E291,[1]Esquemas_NORM!$A$2:$H$126,8,FALSE)),"PROVINCIA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291" s="17" t="str">
        <f>IF($E291="","",INDEX([1]Esquemas_NORM!$H$2:$K$126,MATCH($E291,[1]Esquemas_NORM!$A$2:$A$126,0),MATCH(AA$4,[1]Esquemas_NORM!$H$1:$K$1,0)))</f>
        <v>A la fecha no ha conformado un EAT Región</v>
      </c>
      <c r="AB291" s="17" t="str">
        <f>IF($E291="","",INDEX([1]Esquemas_NORM!$H$2:$K$126,MATCH($E291,[1]Esquemas_NORM!$A$2:$A$126,0),MATCH(AB$4,[1]Esquemas_NORM!$H$1:$K$1,0)))</f>
        <v>A la fecha no ha conformado un EAT Área Metropolitana</v>
      </c>
      <c r="AC291" s="17" t="str">
        <f>IF($E291="","",INDEX([1]Esquemas_NORM!$H$2:$K$126,MATCH($E291,[1]Esquemas_NORM!$A$2:$A$126,0),MATCH(AC$4,[1]Esquemas_NORM!$H$1:$K$1,0)))</f>
        <v>A la fecha no ha conformado un EAT asociación - unión</v>
      </c>
      <c r="AD291" s="23"/>
    </row>
    <row r="292" spans="1:30" x14ac:dyDescent="0.25">
      <c r="A292" s="24">
        <v>2017</v>
      </c>
      <c r="B292" s="25" t="s">
        <v>36</v>
      </c>
      <c r="C292" s="25" t="s">
        <v>119</v>
      </c>
      <c r="D292" s="25" t="s">
        <v>120</v>
      </c>
      <c r="E292" s="25" t="s">
        <v>127</v>
      </c>
      <c r="F292" s="25" t="s">
        <v>122</v>
      </c>
      <c r="G292" s="25" t="s">
        <v>128</v>
      </c>
      <c r="H292" s="26">
        <v>10.51168351460916</v>
      </c>
      <c r="I292" s="26">
        <v>6.9493838562282075</v>
      </c>
      <c r="J292" s="27">
        <v>17.46106737083737</v>
      </c>
      <c r="K292" s="26">
        <v>0.36379563132515186</v>
      </c>
      <c r="L292" s="26">
        <v>4.9599325429810213</v>
      </c>
      <c r="M292" s="27">
        <v>5.3237281743061731</v>
      </c>
      <c r="N292" s="26">
        <v>1.7807414793325262</v>
      </c>
      <c r="O292" s="26">
        <v>5.8541201481159959</v>
      </c>
      <c r="P292" s="26">
        <v>2.6934698514696365</v>
      </c>
      <c r="Q292" s="26">
        <v>1.886458643752388</v>
      </c>
      <c r="R292" s="26">
        <v>4.1030096024732439</v>
      </c>
      <c r="S292" s="26">
        <v>6.8912063320443435</v>
      </c>
      <c r="T292" s="26">
        <v>16.820949315318227</v>
      </c>
      <c r="U292" s="26">
        <v>2.4637360016913865</v>
      </c>
      <c r="V292" s="27">
        <v>42.493691374197752</v>
      </c>
      <c r="W292" s="27">
        <v>66.430465643471777</v>
      </c>
      <c r="X292" s="26">
        <v>6.4737783412751799</v>
      </c>
      <c r="Y292" s="28">
        <v>72.905844114610474</v>
      </c>
      <c r="Z292" s="17" t="str">
        <f>SUBSTITUTE(SUBSTITUTE(SUBSTITUTE(SUBSTITUTE(IF(E292="","",VLOOKUP(E292,[1]Esquemas_NORM!$A$2:$H$126,8,FALSE)),"PROVINCIA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292" s="17" t="str">
        <f>IF($E292="","",INDEX([1]Esquemas_NORM!$H$2:$K$126,MATCH($E292,[1]Esquemas_NORM!$A$2:$A$126,0),MATCH(AA$4,[1]Esquemas_NORM!$H$1:$K$1,0)))</f>
        <v>A la fecha no ha conformado un EAT Región</v>
      </c>
      <c r="AB292" s="17" t="str">
        <f>IF($E292="","",INDEX([1]Esquemas_NORM!$H$2:$K$126,MATCH($E292,[1]Esquemas_NORM!$A$2:$A$126,0),MATCH(AB$4,[1]Esquemas_NORM!$H$1:$K$1,0)))</f>
        <v>A la fecha no ha conformado un EAT Área Metropolitana</v>
      </c>
      <c r="AC292" s="17" t="str">
        <f>IF($E292="","",INDEX([1]Esquemas_NORM!$H$2:$K$126,MATCH($E292,[1]Esquemas_NORM!$A$2:$A$126,0),MATCH(AC$4,[1]Esquemas_NORM!$H$1:$K$1,0)))</f>
        <v>ASOCIACION DE MUNICIPIOS DEL NORTE ANTIOQUEÑO - AMUNORTE</v>
      </c>
      <c r="AD292" s="23"/>
    </row>
    <row r="293" spans="1:30" x14ac:dyDescent="0.25">
      <c r="A293" s="24">
        <v>2017</v>
      </c>
      <c r="B293" s="25" t="s">
        <v>36</v>
      </c>
      <c r="C293" s="25" t="s">
        <v>119</v>
      </c>
      <c r="D293" s="25" t="s">
        <v>120</v>
      </c>
      <c r="E293" s="25" t="s">
        <v>129</v>
      </c>
      <c r="F293" s="25" t="s">
        <v>122</v>
      </c>
      <c r="G293" s="25" t="s">
        <v>130</v>
      </c>
      <c r="H293" s="26">
        <v>5.7604756878050329</v>
      </c>
      <c r="I293" s="26">
        <v>0</v>
      </c>
      <c r="J293" s="27">
        <v>5.7604756878050329</v>
      </c>
      <c r="K293" s="26">
        <v>3.8350884635876192</v>
      </c>
      <c r="L293" s="26">
        <v>2.0669555396625112</v>
      </c>
      <c r="M293" s="27">
        <v>5.9020440032501309</v>
      </c>
      <c r="N293" s="26">
        <v>3.0006369849657895</v>
      </c>
      <c r="O293" s="26">
        <v>9.8343812430946631</v>
      </c>
      <c r="P293" s="26">
        <v>2.7030973036057855</v>
      </c>
      <c r="Q293" s="26">
        <v>2.1419925278225636</v>
      </c>
      <c r="R293" s="26">
        <v>4.3276918023649253</v>
      </c>
      <c r="S293" s="26">
        <v>6.5967875464767829</v>
      </c>
      <c r="T293" s="26">
        <v>15.942977959956028</v>
      </c>
      <c r="U293" s="26">
        <v>2.0071090886970118</v>
      </c>
      <c r="V293" s="27">
        <v>46.554674456983555</v>
      </c>
      <c r="W293" s="27">
        <v>59.274249955071582</v>
      </c>
      <c r="X293" s="26">
        <v>5.776391175909307</v>
      </c>
      <c r="Y293" s="28">
        <v>65.052068887004737</v>
      </c>
      <c r="Z293" s="17" t="str">
        <f>SUBSTITUTE(SUBSTITUTE(SUBSTITUTE(SUBSTITUTE(IF(E293="","",VLOOKUP(E293,[1]Esquemas_NORM!$A$2:$H$126,8,FALSE)),"PROVINCIA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293" s="17" t="str">
        <f>IF($E293="","",INDEX([1]Esquemas_NORM!$H$2:$K$126,MATCH($E293,[1]Esquemas_NORM!$A$2:$A$126,0),MATCH(AA$4,[1]Esquemas_NORM!$H$1:$K$1,0)))</f>
        <v>A la fecha no ha conformado un EAT Región</v>
      </c>
      <c r="AB293" s="17" t="str">
        <f>IF($E293="","",INDEX([1]Esquemas_NORM!$H$2:$K$126,MATCH($E293,[1]Esquemas_NORM!$A$2:$A$126,0),MATCH(AB$4,[1]Esquemas_NORM!$H$1:$K$1,0)))</f>
        <v>A la fecha no ha conformado un EAT Área Metropolitana</v>
      </c>
      <c r="AC293" s="17" t="str">
        <f>IF($E293="","",INDEX([1]Esquemas_NORM!$H$2:$K$126,MATCH($E293,[1]Esquemas_NORM!$A$2:$A$126,0),MATCH(AC$4,[1]Esquemas_NORM!$H$1:$K$1,0)))</f>
        <v>ASOCIACION DE MUNICIPIOS DEL NORTE ANTIOQUEÑO - AMUNORTE</v>
      </c>
      <c r="AD293" s="23"/>
    </row>
    <row r="294" spans="1:30" x14ac:dyDescent="0.25">
      <c r="A294" s="24">
        <v>2017</v>
      </c>
      <c r="B294" s="25" t="s">
        <v>36</v>
      </c>
      <c r="C294" s="25" t="s">
        <v>119</v>
      </c>
      <c r="D294" s="25" t="s">
        <v>99</v>
      </c>
      <c r="E294" s="25" t="s">
        <v>131</v>
      </c>
      <c r="F294" s="25" t="s">
        <v>122</v>
      </c>
      <c r="G294" s="25" t="s">
        <v>132</v>
      </c>
      <c r="H294" s="26">
        <v>4.8629508452154946</v>
      </c>
      <c r="I294" s="26">
        <v>0</v>
      </c>
      <c r="J294" s="27">
        <v>4.8629508452154946</v>
      </c>
      <c r="K294" s="26">
        <v>0.37431730674385888</v>
      </c>
      <c r="L294" s="26">
        <v>2.9472291239337594</v>
      </c>
      <c r="M294" s="27">
        <v>3.3215464306776181</v>
      </c>
      <c r="N294" s="26">
        <v>20.118468611096223</v>
      </c>
      <c r="O294" s="26">
        <v>1.1736275229273603</v>
      </c>
      <c r="P294" s="26">
        <v>0.30818450685642818</v>
      </c>
      <c r="Q294" s="26">
        <v>0.1422520662857919</v>
      </c>
      <c r="R294" s="26">
        <v>0.84222923656069915</v>
      </c>
      <c r="S294" s="26">
        <v>1.9149559934395015</v>
      </c>
      <c r="T294" s="26">
        <v>2.076318004327685</v>
      </c>
      <c r="U294" s="26">
        <v>0.39239500463731708</v>
      </c>
      <c r="V294" s="27">
        <v>26.968430946131008</v>
      </c>
      <c r="W294" s="27">
        <v>36.119871749101264</v>
      </c>
      <c r="X294" s="26">
        <v>3.5199518948736523</v>
      </c>
      <c r="Y294" s="28">
        <v>39.640693673785691</v>
      </c>
      <c r="Z294" s="17" t="str">
        <f>SUBSTITUTE(SUBSTITUTE(SUBSTITUTE(SUBSTITUTE(IF(E294="","",VLOOKUP(E294,[1]Esquemas_NORM!$A$2:$H$126,8,FALSE)),"PROVINCIA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294" s="17" t="str">
        <f>IF($E294="","",INDEX([1]Esquemas_NORM!$H$2:$K$126,MATCH($E294,[1]Esquemas_NORM!$A$2:$A$126,0),MATCH(AA$4,[1]Esquemas_NORM!$H$1:$K$1,0)))</f>
        <v>A la fecha no ha conformado un EAT Región</v>
      </c>
      <c r="AB294" s="17" t="str">
        <f>IF($E294="","",INDEX([1]Esquemas_NORM!$H$2:$K$126,MATCH($E294,[1]Esquemas_NORM!$A$2:$A$126,0),MATCH(AB$4,[1]Esquemas_NORM!$H$1:$K$1,0)))</f>
        <v>A la fecha no ha conformado un EAT Área Metropolitana</v>
      </c>
      <c r="AC294" s="17" t="str">
        <f>IF($E294="","",INDEX([1]Esquemas_NORM!$H$2:$K$126,MATCH($E294,[1]Esquemas_NORM!$A$2:$A$126,0),MATCH(AC$4,[1]Esquemas_NORM!$H$1:$K$1,0)))</f>
        <v>A la fecha no ha conformado un EAT asociación - unión</v>
      </c>
      <c r="AD294" s="23"/>
    </row>
    <row r="295" spans="1:30" x14ac:dyDescent="0.25">
      <c r="A295" s="24">
        <v>2017</v>
      </c>
      <c r="B295" s="25" t="s">
        <v>36</v>
      </c>
      <c r="C295" s="25" t="s">
        <v>119</v>
      </c>
      <c r="D295" s="25" t="s">
        <v>124</v>
      </c>
      <c r="E295" s="25" t="s">
        <v>133</v>
      </c>
      <c r="F295" s="25" t="s">
        <v>122</v>
      </c>
      <c r="G295" s="25" t="s">
        <v>134</v>
      </c>
      <c r="H295" s="26">
        <v>135.55800380980065</v>
      </c>
      <c r="I295" s="26">
        <v>2.8256936640316641E-3</v>
      </c>
      <c r="J295" s="27">
        <v>135.56082950346467</v>
      </c>
      <c r="K295" s="26">
        <v>38.037770388946839</v>
      </c>
      <c r="L295" s="26">
        <v>6.7125779750984069</v>
      </c>
      <c r="M295" s="27">
        <v>44.750348364045244</v>
      </c>
      <c r="N295" s="26">
        <v>25.803510617083919</v>
      </c>
      <c r="O295" s="26">
        <v>47.163953982546289</v>
      </c>
      <c r="P295" s="26">
        <v>5.5241457139525059</v>
      </c>
      <c r="Q295" s="26">
        <v>10.422006278487988</v>
      </c>
      <c r="R295" s="26">
        <v>20.350827043874485</v>
      </c>
      <c r="S295" s="26">
        <v>24.877421999804305</v>
      </c>
      <c r="T295" s="26">
        <v>24.683989329340839</v>
      </c>
      <c r="U295" s="26">
        <v>7.4042219513414969</v>
      </c>
      <c r="V295" s="27">
        <v>166.23007691643184</v>
      </c>
      <c r="W295" s="27">
        <v>353.73177865344849</v>
      </c>
      <c r="X295" s="26">
        <v>34.471851206929472</v>
      </c>
      <c r="Y295" s="28">
        <v>388.21215030016754</v>
      </c>
      <c r="Z295" s="17" t="str">
        <f>SUBSTITUTE(SUBSTITUTE(SUBSTITUTE(SUBSTITUTE(IF(E295="","",VLOOKUP(E295,[1]Esquemas_NORM!$A$2:$H$126,8,FALSE)),"PROVINCIA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295" s="17" t="str">
        <f>IF($E295="","",INDEX([1]Esquemas_NORM!$H$2:$K$126,MATCH($E295,[1]Esquemas_NORM!$A$2:$A$126,0),MATCH(AA$4,[1]Esquemas_NORM!$H$1:$K$1,0)))</f>
        <v>A la fecha no ha conformado un EAT Región</v>
      </c>
      <c r="AB295" s="17" t="str">
        <f>IF($E295="","",INDEX([1]Esquemas_NORM!$H$2:$K$126,MATCH($E295,[1]Esquemas_NORM!$A$2:$A$126,0),MATCH(AB$4,[1]Esquemas_NORM!$H$1:$K$1,0)))</f>
        <v>A la fecha no ha conformado un EAT Área Metropolitana</v>
      </c>
      <c r="AC295" s="17" t="str">
        <f>IF($E295="","",INDEX([1]Esquemas_NORM!$H$2:$K$126,MATCH($E295,[1]Esquemas_NORM!$A$2:$A$126,0),MATCH(AC$4,[1]Esquemas_NORM!$H$1:$K$1,0)))</f>
        <v>ASOCIACION DE MUNICIPIOS DEL NORTE ANTIOQUEÑO - AMUNORTE</v>
      </c>
      <c r="AD295" s="23"/>
    </row>
    <row r="296" spans="1:30" x14ac:dyDescent="0.25">
      <c r="A296" s="24">
        <v>2017</v>
      </c>
      <c r="B296" s="25" t="s">
        <v>36</v>
      </c>
      <c r="C296" s="25" t="s">
        <v>119</v>
      </c>
      <c r="D296" s="25" t="s">
        <v>124</v>
      </c>
      <c r="E296" s="25" t="s">
        <v>135</v>
      </c>
      <c r="F296" s="25" t="s">
        <v>122</v>
      </c>
      <c r="G296" s="25" t="s">
        <v>136</v>
      </c>
      <c r="H296" s="26">
        <v>40.944077124749079</v>
      </c>
      <c r="I296" s="26">
        <v>0</v>
      </c>
      <c r="J296" s="27">
        <v>40.944077124749079</v>
      </c>
      <c r="K296" s="26">
        <v>126.29453117331286</v>
      </c>
      <c r="L296" s="26">
        <v>53.078864297501134</v>
      </c>
      <c r="M296" s="27">
        <v>179.37339547081399</v>
      </c>
      <c r="N296" s="26">
        <v>5.8401916566377912</v>
      </c>
      <c r="O296" s="26">
        <v>31.119788089028777</v>
      </c>
      <c r="P296" s="26">
        <v>2.7743755034518287</v>
      </c>
      <c r="Q296" s="26">
        <v>4.1944308813308115</v>
      </c>
      <c r="R296" s="26">
        <v>9.9204571945493161</v>
      </c>
      <c r="S296" s="26">
        <v>18.270478281022612</v>
      </c>
      <c r="T296" s="26">
        <v>11.271517537488165</v>
      </c>
      <c r="U296" s="26">
        <v>4.5132031480902954</v>
      </c>
      <c r="V296" s="27">
        <v>87.904442291599594</v>
      </c>
      <c r="W296" s="27">
        <v>300.32978803429751</v>
      </c>
      <c r="X296" s="26">
        <v>29.267723147563437</v>
      </c>
      <c r="Y296" s="28">
        <v>329.60474531243767</v>
      </c>
      <c r="Z296" s="17" t="str">
        <f>SUBSTITUTE(SUBSTITUTE(SUBSTITUTE(SUBSTITUTE(IF(E296="","",VLOOKUP(E296,[1]Esquemas_NORM!$A$2:$H$126,8,FALSE)),"PROVINCIA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296" s="17" t="str">
        <f>IF($E296="","",INDEX([1]Esquemas_NORM!$H$2:$K$126,MATCH($E296,[1]Esquemas_NORM!$A$2:$A$126,0),MATCH(AA$4,[1]Esquemas_NORM!$H$1:$K$1,0)))</f>
        <v>A la fecha no ha conformado un EAT Región</v>
      </c>
      <c r="AB296" s="17" t="str">
        <f>IF($E296="","",INDEX([1]Esquemas_NORM!$H$2:$K$126,MATCH($E296,[1]Esquemas_NORM!$A$2:$A$126,0),MATCH(AB$4,[1]Esquemas_NORM!$H$1:$K$1,0)))</f>
        <v>A la fecha no ha conformado un EAT Área Metropolitana</v>
      </c>
      <c r="AC296" s="17" t="str">
        <f>IF($E296="","",INDEX([1]Esquemas_NORM!$H$2:$K$126,MATCH($E296,[1]Esquemas_NORM!$A$2:$A$126,0),MATCH(AC$4,[1]Esquemas_NORM!$H$1:$K$1,0)))</f>
        <v>A la fecha no ha conformado un EAT asociación - unión</v>
      </c>
      <c r="AD296" s="23"/>
    </row>
    <row r="297" spans="1:30" x14ac:dyDescent="0.25">
      <c r="A297" s="24">
        <v>2017</v>
      </c>
      <c r="B297" s="25" t="s">
        <v>36</v>
      </c>
      <c r="C297" s="25" t="s">
        <v>119</v>
      </c>
      <c r="D297" s="25" t="s">
        <v>99</v>
      </c>
      <c r="E297" s="25" t="s">
        <v>137</v>
      </c>
      <c r="F297" s="25" t="s">
        <v>122</v>
      </c>
      <c r="G297" s="25" t="s">
        <v>138</v>
      </c>
      <c r="H297" s="26">
        <v>17.833197856018334</v>
      </c>
      <c r="I297" s="26">
        <v>5.9959797044128446E-2</v>
      </c>
      <c r="J297" s="27">
        <v>17.893157653062463</v>
      </c>
      <c r="K297" s="26">
        <v>13.483620274946604</v>
      </c>
      <c r="L297" s="26">
        <v>11.202325696327296</v>
      </c>
      <c r="M297" s="27">
        <v>24.685945971273902</v>
      </c>
      <c r="N297" s="26">
        <v>17.557395347927148</v>
      </c>
      <c r="O297" s="26">
        <v>52.723616502930547</v>
      </c>
      <c r="P297" s="26">
        <v>24.961457962101701</v>
      </c>
      <c r="Q297" s="26">
        <v>5.9770097814567587</v>
      </c>
      <c r="R297" s="26">
        <v>24.955967247914966</v>
      </c>
      <c r="S297" s="26">
        <v>34.554939785021105</v>
      </c>
      <c r="T297" s="26">
        <v>43.183146871357458</v>
      </c>
      <c r="U297" s="26">
        <v>10.823994187377371</v>
      </c>
      <c r="V297" s="27">
        <v>214.73752768608705</v>
      </c>
      <c r="W297" s="27">
        <v>262.35815818408395</v>
      </c>
      <c r="X297" s="26">
        <v>25.567313816898388</v>
      </c>
      <c r="Y297" s="28">
        <v>287.93179149791467</v>
      </c>
      <c r="Z297" s="17" t="str">
        <f>SUBSTITUTE(SUBSTITUTE(SUBSTITUTE(SUBSTITUTE(IF(E297="","",VLOOKUP(E297,[1]Esquemas_NORM!$A$2:$H$126,8,FALSE)),"PROVINCIA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297" s="17" t="str">
        <f>IF($E297="","",INDEX([1]Esquemas_NORM!$H$2:$K$126,MATCH($E297,[1]Esquemas_NORM!$A$2:$A$126,0),MATCH(AA$4,[1]Esquemas_NORM!$H$1:$K$1,0)))</f>
        <v>A la fecha no ha conformado un EAT Región</v>
      </c>
      <c r="AB297" s="17" t="str">
        <f>IF($E297="","",INDEX([1]Esquemas_NORM!$H$2:$K$126,MATCH($E297,[1]Esquemas_NORM!$A$2:$A$126,0),MATCH(AB$4,[1]Esquemas_NORM!$H$1:$K$1,0)))</f>
        <v>A la fecha no ha conformado un EAT Área Metropolitana</v>
      </c>
      <c r="AC297" s="17" t="str">
        <f>IF($E297="","",INDEX([1]Esquemas_NORM!$H$2:$K$126,MATCH($E297,[1]Esquemas_NORM!$A$2:$A$126,0),MATCH(AC$4,[1]Esquemas_NORM!$H$1:$K$1,0)))</f>
        <v>ASOCIACION DE MUNICIPIOS DEL NORTE ANTIOQUEÑO - AMUNORTE</v>
      </c>
      <c r="AD297" s="23"/>
    </row>
    <row r="298" spans="1:30" x14ac:dyDescent="0.25">
      <c r="A298" s="24">
        <v>2017</v>
      </c>
      <c r="B298" s="25" t="s">
        <v>36</v>
      </c>
      <c r="C298" s="25" t="s">
        <v>119</v>
      </c>
      <c r="D298" s="25" t="s">
        <v>99</v>
      </c>
      <c r="E298" s="25" t="s">
        <v>139</v>
      </c>
      <c r="F298" s="25" t="s">
        <v>122</v>
      </c>
      <c r="G298" s="25" t="s">
        <v>140</v>
      </c>
      <c r="H298" s="26">
        <v>6.3813605859917795</v>
      </c>
      <c r="I298" s="26">
        <v>0</v>
      </c>
      <c r="J298" s="27">
        <v>6.3813605859917795</v>
      </c>
      <c r="K298" s="26">
        <v>1.2100280861427499</v>
      </c>
      <c r="L298" s="26">
        <v>4.122462193086295</v>
      </c>
      <c r="M298" s="27">
        <v>5.3324902792290452</v>
      </c>
      <c r="N298" s="26">
        <v>26.159143645042857</v>
      </c>
      <c r="O298" s="26">
        <v>2.4677786554068613</v>
      </c>
      <c r="P298" s="26">
        <v>0.76580138560325683</v>
      </c>
      <c r="Q298" s="26">
        <v>0.63566488118164688</v>
      </c>
      <c r="R298" s="26">
        <v>1.3041297350765999</v>
      </c>
      <c r="S298" s="26">
        <v>3.0308357360254452</v>
      </c>
      <c r="T298" s="26">
        <v>4.0129033466124593</v>
      </c>
      <c r="U298" s="26">
        <v>0.86150954495086096</v>
      </c>
      <c r="V298" s="27">
        <v>39.23776692989999</v>
      </c>
      <c r="W298" s="27">
        <v>52.231182677099767</v>
      </c>
      <c r="X298" s="26">
        <v>5.0900305436509603</v>
      </c>
      <c r="Y298" s="28">
        <v>57.322471328373467</v>
      </c>
      <c r="Z298" s="17" t="str">
        <f>SUBSTITUTE(SUBSTITUTE(SUBSTITUTE(SUBSTITUTE(IF(E298="","",VLOOKUP(E298,[1]Esquemas_NORM!$A$2:$H$126,8,FALSE)),"PROVINCIA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298" s="17" t="str">
        <f>IF($E298="","",INDEX([1]Esquemas_NORM!$H$2:$K$126,MATCH($E298,[1]Esquemas_NORM!$A$2:$A$126,0),MATCH(AA$4,[1]Esquemas_NORM!$H$1:$K$1,0)))</f>
        <v>A la fecha no ha conformado un EAT Región</v>
      </c>
      <c r="AB298" s="17" t="str">
        <f>IF($E298="","",INDEX([1]Esquemas_NORM!$H$2:$K$126,MATCH($E298,[1]Esquemas_NORM!$A$2:$A$126,0),MATCH(AB$4,[1]Esquemas_NORM!$H$1:$K$1,0)))</f>
        <v>A la fecha no ha conformado un EAT Área Metropolitana</v>
      </c>
      <c r="AC298" s="17" t="str">
        <f>IF($E298="","",INDEX([1]Esquemas_NORM!$H$2:$K$126,MATCH($E298,[1]Esquemas_NORM!$A$2:$A$126,0),MATCH(AC$4,[1]Esquemas_NORM!$H$1:$K$1,0)))</f>
        <v>A la fecha no ha conformado un EAT asociación - unión</v>
      </c>
      <c r="AD298" s="23"/>
    </row>
    <row r="299" spans="1:30" x14ac:dyDescent="0.25">
      <c r="A299" s="24">
        <v>2017</v>
      </c>
      <c r="B299" s="25" t="s">
        <v>36</v>
      </c>
      <c r="C299" s="25" t="s">
        <v>119</v>
      </c>
      <c r="D299" s="25" t="s">
        <v>141</v>
      </c>
      <c r="E299" s="25" t="s">
        <v>142</v>
      </c>
      <c r="F299" s="25" t="s">
        <v>122</v>
      </c>
      <c r="G299" s="25" t="s">
        <v>143</v>
      </c>
      <c r="H299" s="26">
        <v>36.565691446650298</v>
      </c>
      <c r="I299" s="26">
        <v>6.7898817797114788</v>
      </c>
      <c r="J299" s="27">
        <v>43.355573226361777</v>
      </c>
      <c r="K299" s="26">
        <v>8.5896350509668178</v>
      </c>
      <c r="L299" s="26">
        <v>10.235601052565459</v>
      </c>
      <c r="M299" s="27">
        <v>18.825236103532276</v>
      </c>
      <c r="N299" s="26">
        <v>9.8757199743317727</v>
      </c>
      <c r="O299" s="26">
        <v>23.412618126493722</v>
      </c>
      <c r="P299" s="26">
        <v>13.148066390223974</v>
      </c>
      <c r="Q299" s="26">
        <v>7.5768344887668739</v>
      </c>
      <c r="R299" s="26">
        <v>17.646058771375714</v>
      </c>
      <c r="S299" s="26">
        <v>19.265667036804192</v>
      </c>
      <c r="T299" s="26">
        <v>42.117905661159192</v>
      </c>
      <c r="U299" s="26">
        <v>5.5401927180364696</v>
      </c>
      <c r="V299" s="27">
        <v>138.58306316719194</v>
      </c>
      <c r="W299" s="27">
        <v>204.38141703506889</v>
      </c>
      <c r="X299" s="26">
        <v>19.917367402813969</v>
      </c>
      <c r="Y299" s="28">
        <v>224.30370743226169</v>
      </c>
      <c r="Z299" s="17" t="str">
        <f>SUBSTITUTE(SUBSTITUTE(SUBSTITUTE(SUBSTITUTE(IF(E299="","",VLOOKUP(E299,[1]Esquemas_NORM!$A$2:$H$126,8,FALSE)),"PROVINCIA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299" s="17" t="str">
        <f>IF($E299="","",INDEX([1]Esquemas_NORM!$H$2:$K$126,MATCH($E299,[1]Esquemas_NORM!$A$2:$A$126,0),MATCH(AA$4,[1]Esquemas_NORM!$H$1:$K$1,0)))</f>
        <v>A la fecha no ha conformado un EAT Región</v>
      </c>
      <c r="AB299" s="17" t="str">
        <f>IF($E299="","",INDEX([1]Esquemas_NORM!$H$2:$K$126,MATCH($E299,[1]Esquemas_NORM!$A$2:$A$126,0),MATCH(AB$4,[1]Esquemas_NORM!$H$1:$K$1,0)))</f>
        <v>A la fecha no ha conformado un EAT Área Metropolitana</v>
      </c>
      <c r="AC299" s="17" t="str">
        <f>IF($E299="","",INDEX([1]Esquemas_NORM!$H$2:$K$126,MATCH($E299,[1]Esquemas_NORM!$A$2:$A$126,0),MATCH(AC$4,[1]Esquemas_NORM!$H$1:$K$1,0)))</f>
        <v>ASOCIACION DE MUNICIPIOS DEL NORTE ANTIOQUEÑO - AMUNORTE</v>
      </c>
      <c r="AD299" s="23"/>
    </row>
    <row r="300" spans="1:30" x14ac:dyDescent="0.25">
      <c r="A300" s="24">
        <v>2017</v>
      </c>
      <c r="B300" s="25" t="s">
        <v>36</v>
      </c>
      <c r="C300" s="25" t="s">
        <v>119</v>
      </c>
      <c r="D300" s="25" t="s">
        <v>141</v>
      </c>
      <c r="E300" s="25" t="s">
        <v>144</v>
      </c>
      <c r="F300" s="25" t="s">
        <v>122</v>
      </c>
      <c r="G300" s="25" t="s">
        <v>145</v>
      </c>
      <c r="H300" s="26">
        <v>2.1899078632656637</v>
      </c>
      <c r="I300" s="26">
        <v>0</v>
      </c>
      <c r="J300" s="27">
        <v>2.1899078632656637</v>
      </c>
      <c r="K300" s="26">
        <v>0.67655300855387057</v>
      </c>
      <c r="L300" s="26">
        <v>3.7418450605013653</v>
      </c>
      <c r="M300" s="27">
        <v>4.418398069055236</v>
      </c>
      <c r="N300" s="26">
        <v>1.4457190638584201</v>
      </c>
      <c r="O300" s="26">
        <v>6.0268789568420909</v>
      </c>
      <c r="P300" s="26">
        <v>3.5969762789229178</v>
      </c>
      <c r="Q300" s="26">
        <v>1.4241258226107907</v>
      </c>
      <c r="R300" s="26">
        <v>7.6856031414838402</v>
      </c>
      <c r="S300" s="26">
        <v>5.0206778731450958</v>
      </c>
      <c r="T300" s="26">
        <v>12.738831395424933</v>
      </c>
      <c r="U300" s="26">
        <v>2.8082664937614714</v>
      </c>
      <c r="V300" s="27">
        <v>40.747079026049562</v>
      </c>
      <c r="W300" s="27">
        <v>48.012205743928121</v>
      </c>
      <c r="X300" s="26">
        <v>4.6788830192781941</v>
      </c>
      <c r="Y300" s="28">
        <v>52.692245247109916</v>
      </c>
      <c r="Z300" s="17" t="str">
        <f>SUBSTITUTE(SUBSTITUTE(SUBSTITUTE(SUBSTITUTE(IF(E300="","",VLOOKUP(E300,[1]Esquemas_NORM!$A$2:$H$126,8,FALSE)),"PROVINCIA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300" s="17" t="str">
        <f>IF($E300="","",INDEX([1]Esquemas_NORM!$H$2:$K$126,MATCH($E300,[1]Esquemas_NORM!$A$2:$A$126,0),MATCH(AA$4,[1]Esquemas_NORM!$H$1:$K$1,0)))</f>
        <v>A la fecha no ha conformado un EAT Región</v>
      </c>
      <c r="AB300" s="17" t="str">
        <f>IF($E300="","",INDEX([1]Esquemas_NORM!$H$2:$K$126,MATCH($E300,[1]Esquemas_NORM!$A$2:$A$126,0),MATCH(AB$4,[1]Esquemas_NORM!$H$1:$K$1,0)))</f>
        <v>A la fecha no ha conformado un EAT Área Metropolitana</v>
      </c>
      <c r="AC300" s="17" t="str">
        <f>IF($E300="","",INDEX([1]Esquemas_NORM!$H$2:$K$126,MATCH($E300,[1]Esquemas_NORM!$A$2:$A$126,0),MATCH(AC$4,[1]Esquemas_NORM!$H$1:$K$1,0)))</f>
        <v>ASOCIACION DE MUNICIPIOS DEL NORTE ANTIOQUEÑO - AMUNORTE</v>
      </c>
      <c r="AD300" s="23"/>
    </row>
    <row r="301" spans="1:30" x14ac:dyDescent="0.25">
      <c r="A301" s="24">
        <v>2017</v>
      </c>
      <c r="B301" s="25" t="s">
        <v>36</v>
      </c>
      <c r="C301" s="25" t="s">
        <v>119</v>
      </c>
      <c r="D301" s="25" t="s">
        <v>124</v>
      </c>
      <c r="E301" s="25" t="s">
        <v>146</v>
      </c>
      <c r="F301" s="25" t="s">
        <v>122</v>
      </c>
      <c r="G301" s="25" t="s">
        <v>147</v>
      </c>
      <c r="H301" s="26">
        <v>4.2661491237173035</v>
      </c>
      <c r="I301" s="26">
        <v>0</v>
      </c>
      <c r="J301" s="27">
        <v>4.2661491237173035</v>
      </c>
      <c r="K301" s="26">
        <v>1.6197181748650846</v>
      </c>
      <c r="L301" s="26">
        <v>1.4046532781302588</v>
      </c>
      <c r="M301" s="27">
        <v>3.0243714529953434</v>
      </c>
      <c r="N301" s="26">
        <v>2.0002420709037931</v>
      </c>
      <c r="O301" s="26">
        <v>5.7866173505751295</v>
      </c>
      <c r="P301" s="26">
        <v>1.2808563510499746</v>
      </c>
      <c r="Q301" s="26">
        <v>0.94700523677310422</v>
      </c>
      <c r="R301" s="26">
        <v>2.8679149544771163</v>
      </c>
      <c r="S301" s="26">
        <v>2.9388849534019328</v>
      </c>
      <c r="T301" s="26">
        <v>6.1810334725009923</v>
      </c>
      <c r="U301" s="26">
        <v>1.1725468434497384</v>
      </c>
      <c r="V301" s="27">
        <v>23.175101233131784</v>
      </c>
      <c r="W301" s="27">
        <v>31.063574742634525</v>
      </c>
      <c r="X301" s="26">
        <v>3.0272058975289706</v>
      </c>
      <c r="Y301" s="28">
        <v>34.091528877484016</v>
      </c>
      <c r="Z301" s="17" t="str">
        <f>SUBSTITUTE(SUBSTITUTE(SUBSTITUTE(SUBSTITUTE(IF(E301="","",VLOOKUP(E301,[1]Esquemas_NORM!$A$2:$H$126,8,FALSE)),"PROVINCIA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301" s="17" t="str">
        <f>IF($E301="","",INDEX([1]Esquemas_NORM!$H$2:$K$126,MATCH($E301,[1]Esquemas_NORM!$A$2:$A$126,0),MATCH(AA$4,[1]Esquemas_NORM!$H$1:$K$1,0)))</f>
        <v>A la fecha no ha conformado un EAT Región</v>
      </c>
      <c r="AB301" s="17" t="str">
        <f>IF($E301="","",INDEX([1]Esquemas_NORM!$H$2:$K$126,MATCH($E301,[1]Esquemas_NORM!$A$2:$A$126,0),MATCH(AB$4,[1]Esquemas_NORM!$H$1:$K$1,0)))</f>
        <v>A la fecha no ha conformado un EAT Área Metropolitana</v>
      </c>
      <c r="AC301" s="17" t="str">
        <f>IF($E301="","",INDEX([1]Esquemas_NORM!$H$2:$K$126,MATCH($E301,[1]Esquemas_NORM!$A$2:$A$126,0),MATCH(AC$4,[1]Esquemas_NORM!$H$1:$K$1,0)))</f>
        <v>ASOCIACION DE MUNICIPIOS DEL NORTE ANTIOQUEÑO - AMUNORTE</v>
      </c>
      <c r="AD301" s="23"/>
    </row>
    <row r="302" spans="1:30" x14ac:dyDescent="0.25">
      <c r="A302" s="24">
        <v>2017</v>
      </c>
      <c r="B302" s="25" t="s">
        <v>36</v>
      </c>
      <c r="C302" s="25" t="s">
        <v>119</v>
      </c>
      <c r="D302" s="25" t="s">
        <v>124</v>
      </c>
      <c r="E302" s="25" t="s">
        <v>148</v>
      </c>
      <c r="F302" s="25" t="s">
        <v>122</v>
      </c>
      <c r="G302" s="25" t="s">
        <v>149</v>
      </c>
      <c r="H302" s="26">
        <v>49.410329027038223</v>
      </c>
      <c r="I302" s="26">
        <v>2.0211201986021785E-3</v>
      </c>
      <c r="J302" s="27">
        <v>49.412350147236822</v>
      </c>
      <c r="K302" s="26">
        <v>378.53199080264318</v>
      </c>
      <c r="L302" s="26">
        <v>72.402679067847004</v>
      </c>
      <c r="M302" s="27">
        <v>450.93466987049021</v>
      </c>
      <c r="N302" s="26">
        <v>15.191283106264938</v>
      </c>
      <c r="O302" s="26">
        <v>59.560459487697798</v>
      </c>
      <c r="P302" s="26">
        <v>8.0178546655931431</v>
      </c>
      <c r="Q302" s="26">
        <v>9.6765155958182039</v>
      </c>
      <c r="R302" s="26">
        <v>23.382598731839447</v>
      </c>
      <c r="S302" s="26">
        <v>44.609885536293447</v>
      </c>
      <c r="T302" s="26">
        <v>28.430514341364649</v>
      </c>
      <c r="U302" s="26">
        <v>6.0993480001835305</v>
      </c>
      <c r="V302" s="27">
        <v>194.96845946505516</v>
      </c>
      <c r="W302" s="27">
        <v>672.60769344947971</v>
      </c>
      <c r="X302" s="26">
        <v>65.546930551391398</v>
      </c>
      <c r="Y302" s="28">
        <v>738.17082529716345</v>
      </c>
      <c r="Z302" s="17" t="str">
        <f>SUBSTITUTE(SUBSTITUTE(SUBSTITUTE(SUBSTITUTE(IF(E302="","",VLOOKUP(E302,[1]Esquemas_NORM!$A$2:$H$126,8,FALSE)),"PROVINCIA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302" s="17" t="str">
        <f>IF($E302="","",INDEX([1]Esquemas_NORM!$H$2:$K$126,MATCH($E302,[1]Esquemas_NORM!$A$2:$A$126,0),MATCH(AA$4,[1]Esquemas_NORM!$H$1:$K$1,0)))</f>
        <v>A la fecha no ha conformado un EAT Región</v>
      </c>
      <c r="AB302" s="17" t="str">
        <f>IF($E302="","",INDEX([1]Esquemas_NORM!$H$2:$K$126,MATCH($E302,[1]Esquemas_NORM!$A$2:$A$126,0),MATCH(AB$4,[1]Esquemas_NORM!$H$1:$K$1,0)))</f>
        <v>A la fecha no ha conformado un EAT Área Metropolitana</v>
      </c>
      <c r="AC302" s="17" t="str">
        <f>IF($E302="","",INDEX([1]Esquemas_NORM!$H$2:$K$126,MATCH($E302,[1]Esquemas_NORM!$A$2:$A$126,0),MATCH(AC$4,[1]Esquemas_NORM!$H$1:$K$1,0)))</f>
        <v>A la fecha no ha conformado un EAT asociación - unión</v>
      </c>
      <c r="AD302" s="23"/>
    </row>
    <row r="303" spans="1:30" x14ac:dyDescent="0.25">
      <c r="A303" s="24">
        <v>2017</v>
      </c>
      <c r="B303" s="25" t="s">
        <v>36</v>
      </c>
      <c r="C303" s="25" t="s">
        <v>119</v>
      </c>
      <c r="D303" s="25" t="s">
        <v>124</v>
      </c>
      <c r="E303" s="25" t="s">
        <v>150</v>
      </c>
      <c r="F303" s="25" t="s">
        <v>122</v>
      </c>
      <c r="G303" s="25" t="s">
        <v>151</v>
      </c>
      <c r="H303" s="26">
        <v>285.17919546770111</v>
      </c>
      <c r="I303" s="26">
        <v>11.269027574002958</v>
      </c>
      <c r="J303" s="27">
        <v>296.44822304170407</v>
      </c>
      <c r="K303" s="26">
        <v>215.30820640362791</v>
      </c>
      <c r="L303" s="26">
        <v>44.727167474963238</v>
      </c>
      <c r="M303" s="27">
        <v>260.03537387859114</v>
      </c>
      <c r="N303" s="26">
        <v>31.504981897347541</v>
      </c>
      <c r="O303" s="26">
        <v>90.807031946507038</v>
      </c>
      <c r="P303" s="26">
        <v>12.156267506661553</v>
      </c>
      <c r="Q303" s="26">
        <v>12.30436159109686</v>
      </c>
      <c r="R303" s="26">
        <v>28.120930872705337</v>
      </c>
      <c r="S303" s="26">
        <v>58.030993422885942</v>
      </c>
      <c r="T303" s="26">
        <v>86.503348141485546</v>
      </c>
      <c r="U303" s="26">
        <v>10.127080605085888</v>
      </c>
      <c r="V303" s="27">
        <v>329.55499598377571</v>
      </c>
      <c r="W303" s="27">
        <v>890.42066531394971</v>
      </c>
      <c r="X303" s="26">
        <v>86.773229148702654</v>
      </c>
      <c r="Y303" s="28">
        <v>977.21534228307462</v>
      </c>
      <c r="Z303" s="17" t="str">
        <f>SUBSTITUTE(SUBSTITUTE(SUBSTITUTE(SUBSTITUTE(IF(E303="","",VLOOKUP(E303,[1]Esquemas_NORM!$A$2:$H$126,8,FALSE)),"PROVINCIA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303" s="17" t="str">
        <f>IF($E303="","",INDEX([1]Esquemas_NORM!$H$2:$K$126,MATCH($E303,[1]Esquemas_NORM!$A$2:$A$126,0),MATCH(AA$4,[1]Esquemas_NORM!$H$1:$K$1,0)))</f>
        <v>A la fecha no ha conformado un EAT Región</v>
      </c>
      <c r="AB303" s="17" t="str">
        <f>IF($E303="","",INDEX([1]Esquemas_NORM!$H$2:$K$126,MATCH($E303,[1]Esquemas_NORM!$A$2:$A$126,0),MATCH(AB$4,[1]Esquemas_NORM!$H$1:$K$1,0)))</f>
        <v>A la fecha no ha conformado un EAT Área Metropolitana</v>
      </c>
      <c r="AC303" s="17" t="str">
        <f>IF($E303="","",INDEX([1]Esquemas_NORM!$H$2:$K$126,MATCH($E303,[1]Esquemas_NORM!$A$2:$A$126,0),MATCH(AC$4,[1]Esquemas_NORM!$H$1:$K$1,0)))</f>
        <v>A la fecha no ha conformado un EAT asociación - unión</v>
      </c>
      <c r="AD303" s="23"/>
    </row>
    <row r="304" spans="1:30" x14ac:dyDescent="0.25">
      <c r="A304" s="24">
        <v>2017</v>
      </c>
      <c r="B304" s="25" t="s">
        <v>36</v>
      </c>
      <c r="C304" s="25" t="s">
        <v>119</v>
      </c>
      <c r="D304" s="25" t="s">
        <v>141</v>
      </c>
      <c r="E304" s="25" t="s">
        <v>152</v>
      </c>
      <c r="F304" s="25" t="s">
        <v>122</v>
      </c>
      <c r="G304" s="25" t="s">
        <v>153</v>
      </c>
      <c r="H304" s="26">
        <v>8.3717570950255329</v>
      </c>
      <c r="I304" s="26">
        <v>0</v>
      </c>
      <c r="J304" s="27">
        <v>8.3717570950255329</v>
      </c>
      <c r="K304" s="26">
        <v>5.4158649748443954</v>
      </c>
      <c r="L304" s="26">
        <v>0.20346824726778887</v>
      </c>
      <c r="M304" s="27">
        <v>5.6193332221121839</v>
      </c>
      <c r="N304" s="26">
        <v>10.534616232657276</v>
      </c>
      <c r="O304" s="26">
        <v>10.355117361654797</v>
      </c>
      <c r="P304" s="26">
        <v>2.7084637557477369</v>
      </c>
      <c r="Q304" s="26">
        <v>1.367306950432442</v>
      </c>
      <c r="R304" s="26">
        <v>3.6549758044121026</v>
      </c>
      <c r="S304" s="26">
        <v>5.5804394438083742</v>
      </c>
      <c r="T304" s="26">
        <v>8.8415123553565529</v>
      </c>
      <c r="U304" s="26">
        <v>1.9256590925552128</v>
      </c>
      <c r="V304" s="27">
        <v>44.968090996624504</v>
      </c>
      <c r="W304" s="27">
        <v>60.324496442830842</v>
      </c>
      <c r="X304" s="26">
        <v>5.8787397429361423</v>
      </c>
      <c r="Y304" s="28">
        <v>66.204689239382148</v>
      </c>
      <c r="Z304" s="17" t="str">
        <f>SUBSTITUTE(SUBSTITUTE(SUBSTITUTE(SUBSTITUTE(IF(E304="","",VLOOKUP(E304,[1]Esquemas_NORM!$A$2:$H$126,8,FALSE)),"PROVINCIA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304" s="17" t="str">
        <f>IF($E304="","",INDEX([1]Esquemas_NORM!$H$2:$K$126,MATCH($E304,[1]Esquemas_NORM!$A$2:$A$126,0),MATCH(AA$4,[1]Esquemas_NORM!$H$1:$K$1,0)))</f>
        <v>A la fecha no ha conformado un EAT Región</v>
      </c>
      <c r="AB304" s="17" t="str">
        <f>IF($E304="","",INDEX([1]Esquemas_NORM!$H$2:$K$126,MATCH($E304,[1]Esquemas_NORM!$A$2:$A$126,0),MATCH(AB$4,[1]Esquemas_NORM!$H$1:$K$1,0)))</f>
        <v>A la fecha no ha conformado un EAT Área Metropolitana</v>
      </c>
      <c r="AC304" s="17" t="str">
        <f>IF($E304="","",INDEX([1]Esquemas_NORM!$H$2:$K$126,MATCH($E304,[1]Esquemas_NORM!$A$2:$A$126,0),MATCH(AC$4,[1]Esquemas_NORM!$H$1:$K$1,0)))</f>
        <v>ASOCIACION DE MUNICIPIOS DEL NORTE ANTIOQUEÑO - AMUNORTE</v>
      </c>
      <c r="AD304" s="23"/>
    </row>
    <row r="305" spans="1:30" x14ac:dyDescent="0.25">
      <c r="A305" s="24">
        <v>2017</v>
      </c>
      <c r="B305" s="25" t="s">
        <v>36</v>
      </c>
      <c r="C305" s="25" t="s">
        <v>119</v>
      </c>
      <c r="D305" s="25" t="s">
        <v>120</v>
      </c>
      <c r="E305" s="25" t="s">
        <v>154</v>
      </c>
      <c r="F305" s="25" t="s">
        <v>122</v>
      </c>
      <c r="G305" s="25" t="s">
        <v>155</v>
      </c>
      <c r="H305" s="26">
        <v>13.928702701769675</v>
      </c>
      <c r="I305" s="26">
        <v>1.8963273679152968</v>
      </c>
      <c r="J305" s="27">
        <v>15.825030069684971</v>
      </c>
      <c r="K305" s="26">
        <v>3.6805269271676977</v>
      </c>
      <c r="L305" s="26">
        <v>6.5380099419684861</v>
      </c>
      <c r="M305" s="27">
        <v>10.218536869136184</v>
      </c>
      <c r="N305" s="26">
        <v>3.7933545820845875</v>
      </c>
      <c r="O305" s="26">
        <v>35.292416829822734</v>
      </c>
      <c r="P305" s="26">
        <v>3.3274037742043805</v>
      </c>
      <c r="Q305" s="26">
        <v>2.9147161888883408</v>
      </c>
      <c r="R305" s="26">
        <v>6.6062381589183783</v>
      </c>
      <c r="S305" s="26">
        <v>10.750788378224696</v>
      </c>
      <c r="T305" s="26">
        <v>19.846260032346365</v>
      </c>
      <c r="U305" s="26">
        <v>3.0294851971927961</v>
      </c>
      <c r="V305" s="27">
        <v>85.560663141682284</v>
      </c>
      <c r="W305" s="27">
        <v>114.38267825277714</v>
      </c>
      <c r="X305" s="26">
        <v>11.146814912667226</v>
      </c>
      <c r="Y305" s="28">
        <v>125.53224833413947</v>
      </c>
      <c r="Z305" s="17" t="str">
        <f>SUBSTITUTE(SUBSTITUTE(SUBSTITUTE(SUBSTITUTE(IF(E305="","",VLOOKUP(E305,[1]Esquemas_NORM!$A$2:$H$126,8,FALSE)),"PROVINCIA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305" s="17" t="str">
        <f>IF($E305="","",INDEX([1]Esquemas_NORM!$H$2:$K$126,MATCH($E305,[1]Esquemas_NORM!$A$2:$A$126,0),MATCH(AA$4,[1]Esquemas_NORM!$H$1:$K$1,0)))</f>
        <v>A la fecha no ha conformado un EAT Región</v>
      </c>
      <c r="AB305" s="17" t="str">
        <f>IF($E305="","",INDEX([1]Esquemas_NORM!$H$2:$K$126,MATCH($E305,[1]Esquemas_NORM!$A$2:$A$126,0),MATCH(AB$4,[1]Esquemas_NORM!$H$1:$K$1,0)))</f>
        <v>A la fecha no ha conformado un EAT Área Metropolitana</v>
      </c>
      <c r="AC305" s="17" t="str">
        <f>IF($E305="","",INDEX([1]Esquemas_NORM!$H$2:$K$126,MATCH($E305,[1]Esquemas_NORM!$A$2:$A$126,0),MATCH(AC$4,[1]Esquemas_NORM!$H$1:$K$1,0)))</f>
        <v>A la fecha no ha conformado un EAT asociación - unión</v>
      </c>
      <c r="AD305" s="23"/>
    </row>
    <row r="306" spans="1:30" x14ac:dyDescent="0.25">
      <c r="A306" s="24">
        <v>2017</v>
      </c>
      <c r="B306" s="25" t="s">
        <v>36</v>
      </c>
      <c r="C306" s="25" t="s">
        <v>119</v>
      </c>
      <c r="D306" s="25" t="s">
        <v>120</v>
      </c>
      <c r="E306" s="25" t="s">
        <v>156</v>
      </c>
      <c r="F306" s="25" t="s">
        <v>122</v>
      </c>
      <c r="G306" s="25" t="s">
        <v>157</v>
      </c>
      <c r="H306" s="26">
        <v>40.605784977610568</v>
      </c>
      <c r="I306" s="26">
        <v>0.35744189244852798</v>
      </c>
      <c r="J306" s="27">
        <v>40.963226870059096</v>
      </c>
      <c r="K306" s="26">
        <v>87.539839669700015</v>
      </c>
      <c r="L306" s="26">
        <v>33.666832714622799</v>
      </c>
      <c r="M306" s="27">
        <v>121.20667238432281</v>
      </c>
      <c r="N306" s="26">
        <v>20.356391646986587</v>
      </c>
      <c r="O306" s="26">
        <v>108.0435000214397</v>
      </c>
      <c r="P306" s="26">
        <v>9.134911683423379</v>
      </c>
      <c r="Q306" s="26">
        <v>15.697708397483067</v>
      </c>
      <c r="R306" s="26">
        <v>31.354400377556775</v>
      </c>
      <c r="S306" s="26">
        <v>44.943505687422714</v>
      </c>
      <c r="T306" s="26">
        <v>73.943874688323518</v>
      </c>
      <c r="U306" s="26">
        <v>12.134141867409811</v>
      </c>
      <c r="V306" s="27">
        <v>315.60843437004559</v>
      </c>
      <c r="W306" s="27">
        <v>480.63969314517738</v>
      </c>
      <c r="X306" s="26">
        <v>46.839274801122947</v>
      </c>
      <c r="Y306" s="28">
        <v>527.49054525377733</v>
      </c>
      <c r="Z306" s="17" t="str">
        <f>SUBSTITUTE(SUBSTITUTE(SUBSTITUTE(SUBSTITUTE(IF(E306="","",VLOOKUP(E306,[1]Esquemas_NORM!$A$2:$H$126,8,FALSE)),"PROVINCIA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306" s="17" t="str">
        <f>IF($E306="","",INDEX([1]Esquemas_NORM!$H$2:$K$126,MATCH($E306,[1]Esquemas_NORM!$A$2:$A$126,0),MATCH(AA$4,[1]Esquemas_NORM!$H$1:$K$1,0)))</f>
        <v>A la fecha no ha conformado un EAT Región</v>
      </c>
      <c r="AB306" s="17" t="str">
        <f>IF($E306="","",INDEX([1]Esquemas_NORM!$H$2:$K$126,MATCH($E306,[1]Esquemas_NORM!$A$2:$A$126,0),MATCH(AB$4,[1]Esquemas_NORM!$H$1:$K$1,0)))</f>
        <v>A la fecha no ha conformado un EAT Área Metropolitana</v>
      </c>
      <c r="AC306" s="17" t="str">
        <f>IF($E306="","",INDEX([1]Esquemas_NORM!$H$2:$K$126,MATCH($E306,[1]Esquemas_NORM!$A$2:$A$126,0),MATCH(AC$4,[1]Esquemas_NORM!$H$1:$K$1,0)))</f>
        <v>A la fecha no ha conformado un EAT asociación - unión</v>
      </c>
      <c r="AD306" s="23"/>
    </row>
    <row r="307" spans="1:30" x14ac:dyDescent="0.25">
      <c r="A307" s="24">
        <v>2017</v>
      </c>
      <c r="B307" s="25" t="s">
        <v>36</v>
      </c>
      <c r="C307" s="25" t="s">
        <v>158</v>
      </c>
      <c r="D307" s="25" t="s">
        <v>159</v>
      </c>
      <c r="E307" s="25" t="s">
        <v>160</v>
      </c>
      <c r="F307" s="25" t="s">
        <v>161</v>
      </c>
      <c r="G307" s="25" t="s">
        <v>162</v>
      </c>
      <c r="H307" s="26">
        <v>4.1554995676433126</v>
      </c>
      <c r="I307" s="26">
        <v>7.5813294482511895E-2</v>
      </c>
      <c r="J307" s="27">
        <v>4.2313128621258249</v>
      </c>
      <c r="K307" s="26">
        <v>0.58784740260411095</v>
      </c>
      <c r="L307" s="26">
        <v>1.2848380656321319</v>
      </c>
      <c r="M307" s="27">
        <v>1.8726854682362428</v>
      </c>
      <c r="N307" s="26">
        <v>2.8020181251289111</v>
      </c>
      <c r="O307" s="26">
        <v>1.6450742595184018</v>
      </c>
      <c r="P307" s="26">
        <v>0.48052476906256181</v>
      </c>
      <c r="Q307" s="26">
        <v>0.31721795857560686</v>
      </c>
      <c r="R307" s="26">
        <v>0.97084014134582164</v>
      </c>
      <c r="S307" s="26">
        <v>1.6250370590718679</v>
      </c>
      <c r="T307" s="26">
        <v>5.0563743960083407</v>
      </c>
      <c r="U307" s="26">
        <v>0.40931526453574063</v>
      </c>
      <c r="V307" s="27">
        <v>13.306401973247253</v>
      </c>
      <c r="W307" s="27">
        <v>19.832769025868149</v>
      </c>
      <c r="X307" s="26">
        <v>1.9327419930529941</v>
      </c>
      <c r="Y307" s="28">
        <v>21.76598873657203</v>
      </c>
      <c r="Z307" s="17" t="str">
        <f>SUBSTITUTE(SUBSTITUTE(SUBSTITUTE(SUBSTITUTE(IF(E307="","",VLOOKUP(E307,[1]Esquemas_NORM!$A$2:$H$126,8,FALSE)),"PROVINCIA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307" s="17" t="str">
        <f>IF($E307="","",INDEX([1]Esquemas_NORM!$H$2:$K$126,MATCH($E307,[1]Esquemas_NORM!$A$2:$A$126,0),MATCH(AA$4,[1]Esquemas_NORM!$H$1:$K$1,0)))</f>
        <v>Región de Planeación y Gestión de Occidente</v>
      </c>
      <c r="AB307" s="17" t="str">
        <f>IF($E307="","",INDEX([1]Esquemas_NORM!$H$2:$K$126,MATCH($E307,[1]Esquemas_NORM!$A$2:$A$126,0),MATCH(AB$4,[1]Esquemas_NORM!$H$1:$K$1,0)))</f>
        <v>A la fecha no ha conformado un EAT Área Metropolitana</v>
      </c>
      <c r="AC307" s="17" t="str">
        <f>IF($E307="","",INDEX([1]Esquemas_NORM!$H$2:$K$126,MATCH($E307,[1]Esquemas_NORM!$A$2:$A$126,0),MATCH(AC$4,[1]Esquemas_NORM!$H$1:$K$1,0)))</f>
        <v>ASOCIACION DE MUNICIPIOS DEL NORTE ANTIOQUEÑO - AMUNORTE</v>
      </c>
      <c r="AD307" s="23"/>
    </row>
    <row r="308" spans="1:30" x14ac:dyDescent="0.25">
      <c r="A308" s="24">
        <v>2017</v>
      </c>
      <c r="B308" s="25" t="s">
        <v>36</v>
      </c>
      <c r="C308" s="25" t="s">
        <v>158</v>
      </c>
      <c r="D308" s="25" t="s">
        <v>163</v>
      </c>
      <c r="E308" s="25" t="s">
        <v>164</v>
      </c>
      <c r="F308" s="25" t="s">
        <v>161</v>
      </c>
      <c r="G308" s="25" t="s">
        <v>165</v>
      </c>
      <c r="H308" s="26">
        <v>36.629863281429991</v>
      </c>
      <c r="I308" s="26">
        <v>0</v>
      </c>
      <c r="J308" s="27">
        <v>36.629863281429991</v>
      </c>
      <c r="K308" s="26">
        <v>1.2013013285005036</v>
      </c>
      <c r="L308" s="26">
        <v>6.9615518357629309</v>
      </c>
      <c r="M308" s="27">
        <v>8.162853164263435</v>
      </c>
      <c r="N308" s="26">
        <v>1.3587015801898827</v>
      </c>
      <c r="O308" s="26">
        <v>5.9409471498570436</v>
      </c>
      <c r="P308" s="26">
        <v>2.8440523291701663</v>
      </c>
      <c r="Q308" s="26">
        <v>1.9581301477623505</v>
      </c>
      <c r="R308" s="26">
        <v>4.7202650279018323</v>
      </c>
      <c r="S308" s="26">
        <v>6.9136025518106878</v>
      </c>
      <c r="T308" s="26">
        <v>12.228812103416429</v>
      </c>
      <c r="U308" s="26">
        <v>1.799602108753062</v>
      </c>
      <c r="V308" s="27">
        <v>37.764112998861457</v>
      </c>
      <c r="W308" s="27">
        <v>84.346592326412789</v>
      </c>
      <c r="X308" s="26">
        <v>8.2197398027284052</v>
      </c>
      <c r="Y308" s="28">
        <v>92.5683638099365</v>
      </c>
      <c r="Z308" s="17" t="str">
        <f>SUBSTITUTE(SUBSTITUTE(SUBSTITUTE(SUBSTITUTE(IF(E308="","",VLOOKUP(E308,[1]Esquemas_NORM!$A$2:$H$126,8,FALSE)),"PROVINCIA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308" s="17" t="str">
        <f>IF($E308="","",INDEX([1]Esquemas_NORM!$H$2:$K$126,MATCH($E308,[1]Esquemas_NORM!$A$2:$A$126,0),MATCH(AA$4,[1]Esquemas_NORM!$H$1:$K$1,0)))</f>
        <v>A la fecha no ha conformado un EAT Región</v>
      </c>
      <c r="AB308" s="17" t="str">
        <f>IF($E308="","",INDEX([1]Esquemas_NORM!$H$2:$K$126,MATCH($E308,[1]Esquemas_NORM!$A$2:$A$126,0),MATCH(AB$4,[1]Esquemas_NORM!$H$1:$K$1,0)))</f>
        <v>A la fecha no ha conformado un EAT Área Metropolitana</v>
      </c>
      <c r="AC308" s="17" t="str">
        <f>IF($E308="","",INDEX([1]Esquemas_NORM!$H$2:$K$126,MATCH($E308,[1]Esquemas_NORM!$A$2:$A$126,0),MATCH(AC$4,[1]Esquemas_NORM!$H$1:$K$1,0)))</f>
        <v>ASOCIACION DE MUNICIPIOS DEL OCCIDENTE ANTIOQUEÑO - AMOCCIDENTE</v>
      </c>
      <c r="AD308" s="23"/>
    </row>
    <row r="309" spans="1:30" x14ac:dyDescent="0.25">
      <c r="A309" s="24">
        <v>2017</v>
      </c>
      <c r="B309" s="25" t="s">
        <v>36</v>
      </c>
      <c r="C309" s="25" t="s">
        <v>158</v>
      </c>
      <c r="D309" s="25" t="s">
        <v>163</v>
      </c>
      <c r="E309" s="25" t="s">
        <v>166</v>
      </c>
      <c r="F309" s="25" t="s">
        <v>161</v>
      </c>
      <c r="G309" s="25" t="s">
        <v>167</v>
      </c>
      <c r="H309" s="26">
        <v>10.840860872601196</v>
      </c>
      <c r="I309" s="26">
        <v>0</v>
      </c>
      <c r="J309" s="27">
        <v>10.840860872601196</v>
      </c>
      <c r="K309" s="26">
        <v>0.87487492566437841</v>
      </c>
      <c r="L309" s="26">
        <v>3.3833155508924113</v>
      </c>
      <c r="M309" s="27">
        <v>4.2581904765567895</v>
      </c>
      <c r="N309" s="26">
        <v>0.68227564453476386</v>
      </c>
      <c r="O309" s="26">
        <v>4.150982855699703</v>
      </c>
      <c r="P309" s="26">
        <v>2.0843397574568976</v>
      </c>
      <c r="Q309" s="26">
        <v>1.0843723949040505</v>
      </c>
      <c r="R309" s="26">
        <v>3.2753353516153756</v>
      </c>
      <c r="S309" s="26">
        <v>4.6757557977717541</v>
      </c>
      <c r="T309" s="26">
        <v>13.445197833455657</v>
      </c>
      <c r="U309" s="26">
        <v>1.645283342501243</v>
      </c>
      <c r="V309" s="27">
        <v>31.043542977939445</v>
      </c>
      <c r="W309" s="27">
        <v>47.02174571267583</v>
      </c>
      <c r="X309" s="26">
        <v>4.5823607589554314</v>
      </c>
      <c r="Y309" s="28">
        <v>51.605239098037259</v>
      </c>
      <c r="Z309" s="17" t="str">
        <f>SUBSTITUTE(SUBSTITUTE(SUBSTITUTE(SUBSTITUTE(IF(E309="","",VLOOKUP(E309,[1]Esquemas_NORM!$A$2:$H$126,8,FALSE)),"PROVINCIA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09" s="17" t="str">
        <f>IF($E309="","",INDEX([1]Esquemas_NORM!$H$2:$K$126,MATCH($E309,[1]Esquemas_NORM!$A$2:$A$126,0),MATCH(AA$4,[1]Esquemas_NORM!$H$1:$K$1,0)))</f>
        <v>Región de Planeación y Gestión de Occidente</v>
      </c>
      <c r="AB309" s="17" t="str">
        <f>IF($E309="","",INDEX([1]Esquemas_NORM!$H$2:$K$126,MATCH($E309,[1]Esquemas_NORM!$A$2:$A$126,0),MATCH(AB$4,[1]Esquemas_NORM!$H$1:$K$1,0)))</f>
        <v>A la fecha no ha conformado un EAT Área Metropolitana</v>
      </c>
      <c r="AC309" s="17" t="str">
        <f>IF($E309="","",INDEX([1]Esquemas_NORM!$H$2:$K$126,MATCH($E309,[1]Esquemas_NORM!$A$2:$A$126,0),MATCH(AC$4,[1]Esquemas_NORM!$H$1:$K$1,0)))</f>
        <v>ASOCIACION DE MUNICIPIOS DEL OCCIDENTE ANTIOQUEÑO - AMOCCIDENTE</v>
      </c>
      <c r="AD309" s="23"/>
    </row>
    <row r="310" spans="1:30" x14ac:dyDescent="0.25">
      <c r="A310" s="24">
        <v>2017</v>
      </c>
      <c r="B310" s="25" t="s">
        <v>36</v>
      </c>
      <c r="C310" s="25" t="s">
        <v>158</v>
      </c>
      <c r="D310" s="25" t="s">
        <v>163</v>
      </c>
      <c r="E310" s="25" t="s">
        <v>168</v>
      </c>
      <c r="F310" s="25" t="s">
        <v>161</v>
      </c>
      <c r="G310" s="25" t="s">
        <v>169</v>
      </c>
      <c r="H310" s="26">
        <v>5.9852625579588441</v>
      </c>
      <c r="I310" s="26">
        <v>18.051032699982958</v>
      </c>
      <c r="J310" s="27">
        <v>24.036295257941802</v>
      </c>
      <c r="K310" s="26">
        <v>3.2871052916714381</v>
      </c>
      <c r="L310" s="26">
        <v>2.3373520003497035</v>
      </c>
      <c r="M310" s="27">
        <v>5.6244572920211411</v>
      </c>
      <c r="N310" s="26">
        <v>3.6155031917234997</v>
      </c>
      <c r="O310" s="26">
        <v>6.5215977249530344</v>
      </c>
      <c r="P310" s="26">
        <v>4.1775506418737889</v>
      </c>
      <c r="Q310" s="26">
        <v>2.0378226865325049</v>
      </c>
      <c r="R310" s="26">
        <v>9.1454843021815293</v>
      </c>
      <c r="S310" s="26">
        <v>7.3105757499326964</v>
      </c>
      <c r="T310" s="26">
        <v>11.109387974473558</v>
      </c>
      <c r="U310" s="26">
        <v>3.0758296314611613</v>
      </c>
      <c r="V310" s="27">
        <v>46.993751903131773</v>
      </c>
      <c r="W310" s="27">
        <v>77.794720684714321</v>
      </c>
      <c r="X310" s="26">
        <v>7.5812471424923</v>
      </c>
      <c r="Y310" s="28">
        <v>85.377841691172208</v>
      </c>
      <c r="Z310" s="17" t="str">
        <f>SUBSTITUTE(SUBSTITUTE(SUBSTITUTE(SUBSTITUTE(IF(E310="","",VLOOKUP(E310,[1]Esquemas_NORM!$A$2:$H$126,8,FALSE)),"PROVINCIA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310" s="17" t="str">
        <f>IF($E310="","",INDEX([1]Esquemas_NORM!$H$2:$K$126,MATCH($E310,[1]Esquemas_NORM!$A$2:$A$126,0),MATCH(AA$4,[1]Esquemas_NORM!$H$1:$K$1,0)))</f>
        <v>Región de Planeación y Gestión de Occidente</v>
      </c>
      <c r="AB310" s="17" t="str">
        <f>IF($E310="","",INDEX([1]Esquemas_NORM!$H$2:$K$126,MATCH($E310,[1]Esquemas_NORM!$A$2:$A$126,0),MATCH(AB$4,[1]Esquemas_NORM!$H$1:$K$1,0)))</f>
        <v>A la fecha no ha conformado un EAT Área Metropolitana</v>
      </c>
      <c r="AC310" s="17" t="str">
        <f>IF($E310="","",INDEX([1]Esquemas_NORM!$H$2:$K$126,MATCH($E310,[1]Esquemas_NORM!$A$2:$A$126,0),MATCH(AC$4,[1]Esquemas_NORM!$H$1:$K$1,0)))</f>
        <v>ASOCIACION DE MUNICIPIOS DEL OCCIDENTE ANTIOQUEÑO - AMOCCIDENTE</v>
      </c>
      <c r="AD310" s="23"/>
    </row>
    <row r="311" spans="1:30" x14ac:dyDescent="0.25">
      <c r="A311" s="24">
        <v>2017</v>
      </c>
      <c r="B311" s="25" t="s">
        <v>36</v>
      </c>
      <c r="C311" s="25" t="s">
        <v>158</v>
      </c>
      <c r="D311" s="25" t="s">
        <v>163</v>
      </c>
      <c r="E311" s="25" t="s">
        <v>170</v>
      </c>
      <c r="F311" s="25" t="s">
        <v>161</v>
      </c>
      <c r="G311" s="25" t="s">
        <v>171</v>
      </c>
      <c r="H311" s="26">
        <v>33.288421097366296</v>
      </c>
      <c r="I311" s="26">
        <v>5.622763608955561E-2</v>
      </c>
      <c r="J311" s="27">
        <v>33.344648733455848</v>
      </c>
      <c r="K311" s="26">
        <v>2.9116562881439214</v>
      </c>
      <c r="L311" s="26">
        <v>5.8402852687493141</v>
      </c>
      <c r="M311" s="27">
        <v>8.7519415568932359</v>
      </c>
      <c r="N311" s="26">
        <v>0.96500790006172399</v>
      </c>
      <c r="O311" s="26">
        <v>10.553932813863058</v>
      </c>
      <c r="P311" s="26">
        <v>2.924426389125641</v>
      </c>
      <c r="Q311" s="26">
        <v>2.8054699633183273</v>
      </c>
      <c r="R311" s="26">
        <v>6.3949635150654975</v>
      </c>
      <c r="S311" s="26">
        <v>8.2609169758535899</v>
      </c>
      <c r="T311" s="26">
        <v>17.847621758305987</v>
      </c>
      <c r="U311" s="26">
        <v>2.486219351043446</v>
      </c>
      <c r="V311" s="27">
        <v>52.238558666637275</v>
      </c>
      <c r="W311" s="27">
        <v>96.341233448740013</v>
      </c>
      <c r="X311" s="26">
        <v>9.3886409560912547</v>
      </c>
      <c r="Y311" s="28">
        <v>105.73219500402081</v>
      </c>
      <c r="Z311" s="17" t="str">
        <f>SUBSTITUTE(SUBSTITUTE(SUBSTITUTE(SUBSTITUTE(IF(E311="","",VLOOKUP(E311,[1]Esquemas_NORM!$A$2:$H$126,8,FALSE)),"PROVINCIA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311" s="17" t="str">
        <f>IF($E311="","",INDEX([1]Esquemas_NORM!$H$2:$K$126,MATCH($E311,[1]Esquemas_NORM!$A$2:$A$126,0),MATCH(AA$4,[1]Esquemas_NORM!$H$1:$K$1,0)))</f>
        <v>A la fecha no ha conformado un EAT Región</v>
      </c>
      <c r="AB311" s="17" t="str">
        <f>IF($E311="","",INDEX([1]Esquemas_NORM!$H$2:$K$126,MATCH($E311,[1]Esquemas_NORM!$A$2:$A$126,0),MATCH(AB$4,[1]Esquemas_NORM!$H$1:$K$1,0)))</f>
        <v>A la fecha no ha conformado un EAT Área Metropolitana</v>
      </c>
      <c r="AC311" s="17" t="str">
        <f>IF($E311="","",INDEX([1]Esquemas_NORM!$H$2:$K$126,MATCH($E311,[1]Esquemas_NORM!$A$2:$A$126,0),MATCH(AC$4,[1]Esquemas_NORM!$H$1:$K$1,0)))</f>
        <v>ASOCIACION DE MUNICIPIOS DEL OCCIDENTE ANTIOQUEÑO - AMOCCIDENTE</v>
      </c>
      <c r="AD311" s="23"/>
    </row>
    <row r="312" spans="1:30" x14ac:dyDescent="0.25">
      <c r="A312" s="24">
        <v>2017</v>
      </c>
      <c r="B312" s="25" t="s">
        <v>36</v>
      </c>
      <c r="C312" s="25" t="s">
        <v>158</v>
      </c>
      <c r="D312" s="25" t="s">
        <v>159</v>
      </c>
      <c r="E312" s="25" t="s">
        <v>172</v>
      </c>
      <c r="F312" s="25" t="s">
        <v>161</v>
      </c>
      <c r="G312" s="25" t="s">
        <v>173</v>
      </c>
      <c r="H312" s="26">
        <v>31.587068123652365</v>
      </c>
      <c r="I312" s="26">
        <v>0</v>
      </c>
      <c r="J312" s="27">
        <v>31.587068123652365</v>
      </c>
      <c r="K312" s="26">
        <v>1.4475428850493859</v>
      </c>
      <c r="L312" s="26">
        <v>11.016899030884638</v>
      </c>
      <c r="M312" s="27">
        <v>12.464441915934023</v>
      </c>
      <c r="N312" s="26">
        <v>9.1625647292690839</v>
      </c>
      <c r="O312" s="26">
        <v>24.308500015594326</v>
      </c>
      <c r="P312" s="26">
        <v>3.8872128297495814</v>
      </c>
      <c r="Q312" s="26">
        <v>3.3965935464371446</v>
      </c>
      <c r="R312" s="26">
        <v>10.886083740635284</v>
      </c>
      <c r="S312" s="26">
        <v>10.768639332714795</v>
      </c>
      <c r="T312" s="26">
        <v>22.928919743581762</v>
      </c>
      <c r="U312" s="26">
        <v>3.3855221676087024</v>
      </c>
      <c r="V312" s="27">
        <v>88.72403610559067</v>
      </c>
      <c r="W312" s="27">
        <v>135.7537758460829</v>
      </c>
      <c r="X312" s="26">
        <v>13.229470022621889</v>
      </c>
      <c r="Y312" s="28">
        <v>148.98651580921651</v>
      </c>
      <c r="Z312" s="17" t="str">
        <f>SUBSTITUTE(SUBSTITUTE(SUBSTITUTE(SUBSTITUTE(IF(E312="","",VLOOKUP(E312,[1]Esquemas_NORM!$A$2:$H$126,8,FALSE)),"PROVINCIA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312" s="17" t="str">
        <f>IF($E312="","",INDEX([1]Esquemas_NORM!$H$2:$K$126,MATCH($E312,[1]Esquemas_NORM!$A$2:$A$126,0),MATCH(AA$4,[1]Esquemas_NORM!$H$1:$K$1,0)))</f>
        <v>Región de Planeación y Gestión de Occidente</v>
      </c>
      <c r="AB312" s="17" t="str">
        <f>IF($E312="","",INDEX([1]Esquemas_NORM!$H$2:$K$126,MATCH($E312,[1]Esquemas_NORM!$A$2:$A$126,0),MATCH(AB$4,[1]Esquemas_NORM!$H$1:$K$1,0)))</f>
        <v>A la fecha no ha conformado un EAT Área Metropolitana</v>
      </c>
      <c r="AC312" s="17" t="str">
        <f>IF($E312="","",INDEX([1]Esquemas_NORM!$H$2:$K$126,MATCH($E312,[1]Esquemas_NORM!$A$2:$A$126,0),MATCH(AC$4,[1]Esquemas_NORM!$H$1:$K$1,0)))</f>
        <v>ASOCIACION DE MUNICIPIOS DEL OCCIDENTE ANTIOQUEÑO - AMOCCIDENTE</v>
      </c>
      <c r="AD312" s="23"/>
    </row>
    <row r="313" spans="1:30" x14ac:dyDescent="0.25">
      <c r="A313" s="24">
        <v>2017</v>
      </c>
      <c r="B313" s="25" t="s">
        <v>36</v>
      </c>
      <c r="C313" s="25" t="s">
        <v>158</v>
      </c>
      <c r="D313" s="25" t="s">
        <v>159</v>
      </c>
      <c r="E313" s="25" t="s">
        <v>174</v>
      </c>
      <c r="F313" s="25" t="s">
        <v>161</v>
      </c>
      <c r="G313" s="25" t="s">
        <v>175</v>
      </c>
      <c r="H313" s="26">
        <v>64.834014444374688</v>
      </c>
      <c r="I313" s="26">
        <v>0</v>
      </c>
      <c r="J313" s="27">
        <v>64.834014444374688</v>
      </c>
      <c r="K313" s="26">
        <v>4.366992742666242</v>
      </c>
      <c r="L313" s="26">
        <v>15.97895069667751</v>
      </c>
      <c r="M313" s="27">
        <v>20.345943439343753</v>
      </c>
      <c r="N313" s="26">
        <v>4.4557855118442848</v>
      </c>
      <c r="O313" s="26">
        <v>37.772298329906981</v>
      </c>
      <c r="P313" s="26">
        <v>6.9041756873844635</v>
      </c>
      <c r="Q313" s="26">
        <v>6.7812829067358429</v>
      </c>
      <c r="R313" s="26">
        <v>14.238703643875278</v>
      </c>
      <c r="S313" s="26">
        <v>18.792889553583851</v>
      </c>
      <c r="T313" s="26">
        <v>35.014738792772896</v>
      </c>
      <c r="U313" s="26">
        <v>6.2147456265098038</v>
      </c>
      <c r="V313" s="27">
        <v>130.17462005261339</v>
      </c>
      <c r="W313" s="27">
        <v>220.13764107160515</v>
      </c>
      <c r="X313" s="26">
        <v>21.452842142008254</v>
      </c>
      <c r="Y313" s="28">
        <v>241.59578573272361</v>
      </c>
      <c r="Z313" s="17" t="str">
        <f>SUBSTITUTE(SUBSTITUTE(SUBSTITUTE(SUBSTITUTE(IF(E313="","",VLOOKUP(E313,[1]Esquemas_NORM!$A$2:$H$126,8,FALSE)),"PROVINCIA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313" s="17" t="str">
        <f>IF($E313="","",INDEX([1]Esquemas_NORM!$H$2:$K$126,MATCH($E313,[1]Esquemas_NORM!$A$2:$A$126,0),MATCH(AA$4,[1]Esquemas_NORM!$H$1:$K$1,0)))</f>
        <v>Región de Planeación y Gestión de Occidente</v>
      </c>
      <c r="AB313" s="17" t="str">
        <f>IF($E313="","",INDEX([1]Esquemas_NORM!$H$2:$K$126,MATCH($E313,[1]Esquemas_NORM!$A$2:$A$126,0),MATCH(AB$4,[1]Esquemas_NORM!$H$1:$K$1,0)))</f>
        <v>A la fecha no ha conformado un EAT Área Metropolitana</v>
      </c>
      <c r="AC313" s="17" t="str">
        <f>IF($E313="","",INDEX([1]Esquemas_NORM!$H$2:$K$126,MATCH($E313,[1]Esquemas_NORM!$A$2:$A$126,0),MATCH(AC$4,[1]Esquemas_NORM!$H$1:$K$1,0)))</f>
        <v>ASOCIACION DE MUNICIPIOS DEL OCCIDENTE ANTIOQUEÑO - AMOCCIDENTE</v>
      </c>
      <c r="AD313" s="23"/>
    </row>
    <row r="314" spans="1:30" x14ac:dyDescent="0.25">
      <c r="A314" s="24">
        <v>2017</v>
      </c>
      <c r="B314" s="25" t="s">
        <v>36</v>
      </c>
      <c r="C314" s="25" t="s">
        <v>158</v>
      </c>
      <c r="D314" s="25" t="s">
        <v>163</v>
      </c>
      <c r="E314" s="25" t="s">
        <v>176</v>
      </c>
      <c r="F314" s="25" t="s">
        <v>161</v>
      </c>
      <c r="G314" s="25" t="s">
        <v>177</v>
      </c>
      <c r="H314" s="26">
        <v>88.086130240524213</v>
      </c>
      <c r="I314" s="26">
        <v>0</v>
      </c>
      <c r="J314" s="27">
        <v>88.086130240524213</v>
      </c>
      <c r="K314" s="26">
        <v>8.4382047292092395</v>
      </c>
      <c r="L314" s="26">
        <v>9.2486580373905838</v>
      </c>
      <c r="M314" s="27">
        <v>17.686862766599823</v>
      </c>
      <c r="N314" s="26">
        <v>3.4001842050276201</v>
      </c>
      <c r="O314" s="26">
        <v>14.297995904238366</v>
      </c>
      <c r="P314" s="26">
        <v>4.5096537029575128</v>
      </c>
      <c r="Q314" s="26">
        <v>3.168085543082531</v>
      </c>
      <c r="R314" s="26">
        <v>10.882281080657998</v>
      </c>
      <c r="S314" s="26">
        <v>11.640180084689435</v>
      </c>
      <c r="T314" s="26">
        <v>20.505119513011788</v>
      </c>
      <c r="U314" s="26">
        <v>5.2754548233230265</v>
      </c>
      <c r="V314" s="27">
        <v>73.678954856988284</v>
      </c>
      <c r="W314" s="27">
        <v>183.60946491265358</v>
      </c>
      <c r="X314" s="26">
        <v>17.893100186664306</v>
      </c>
      <c r="Y314" s="28">
        <v>201.50698775367073</v>
      </c>
      <c r="Z314" s="17" t="str">
        <f>SUBSTITUTE(SUBSTITUTE(SUBSTITUTE(SUBSTITUTE(IF(E314="","",VLOOKUP(E314,[1]Esquemas_NORM!$A$2:$H$126,8,FALSE)),"PROVINCIA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314" s="17" t="str">
        <f>IF($E314="","",INDEX([1]Esquemas_NORM!$H$2:$K$126,MATCH($E314,[1]Esquemas_NORM!$A$2:$A$126,0),MATCH(AA$4,[1]Esquemas_NORM!$H$1:$K$1,0)))</f>
        <v>A la fecha no ha conformado un EAT Región</v>
      </c>
      <c r="AB314" s="17" t="str">
        <f>IF($E314="","",INDEX([1]Esquemas_NORM!$H$2:$K$126,MATCH($E314,[1]Esquemas_NORM!$A$2:$A$126,0),MATCH(AB$4,[1]Esquemas_NORM!$H$1:$K$1,0)))</f>
        <v>A la fecha no ha conformado un EAT Área Metropolitana</v>
      </c>
      <c r="AC314" s="17" t="str">
        <f>IF($E314="","",INDEX([1]Esquemas_NORM!$H$2:$K$126,MATCH($E314,[1]Esquemas_NORM!$A$2:$A$126,0),MATCH(AC$4,[1]Esquemas_NORM!$H$1:$K$1,0)))</f>
        <v>ASOCIACION DE MUNICIPIOS DEL OCCIDENTE ANTIOQUEÑO - AMOCCIDENTE</v>
      </c>
      <c r="AD314" s="23"/>
    </row>
    <row r="315" spans="1:30" x14ac:dyDescent="0.25">
      <c r="A315" s="24">
        <v>2017</v>
      </c>
      <c r="B315" s="25" t="s">
        <v>36</v>
      </c>
      <c r="C315" s="25" t="s">
        <v>158</v>
      </c>
      <c r="D315" s="25" t="s">
        <v>159</v>
      </c>
      <c r="E315" s="25" t="s">
        <v>178</v>
      </c>
      <c r="F315" s="25" t="s">
        <v>161</v>
      </c>
      <c r="G315" s="25" t="s">
        <v>179</v>
      </c>
      <c r="H315" s="26">
        <v>24.914762842706221</v>
      </c>
      <c r="I315" s="26">
        <v>0.10815067392523872</v>
      </c>
      <c r="J315" s="27">
        <v>25.022913516631458</v>
      </c>
      <c r="K315" s="26">
        <v>1.2318750674908463</v>
      </c>
      <c r="L315" s="26">
        <v>16.157495534977464</v>
      </c>
      <c r="M315" s="27">
        <v>17.389370602468311</v>
      </c>
      <c r="N315" s="26">
        <v>15.44012166213818</v>
      </c>
      <c r="O315" s="26">
        <v>24.355399698033132</v>
      </c>
      <c r="P315" s="26">
        <v>5.7196630465639355</v>
      </c>
      <c r="Q315" s="26">
        <v>6.4489598110439381</v>
      </c>
      <c r="R315" s="26">
        <v>10.872881325649347</v>
      </c>
      <c r="S315" s="26">
        <v>14.861045297168177</v>
      </c>
      <c r="T315" s="26">
        <v>32.620469457611819</v>
      </c>
      <c r="U315" s="26">
        <v>6.1308852942043712</v>
      </c>
      <c r="V315" s="27">
        <v>116.44942559241291</v>
      </c>
      <c r="W315" s="27">
        <v>161.70840117346114</v>
      </c>
      <c r="X315" s="26">
        <v>15.758798842953963</v>
      </c>
      <c r="Y315" s="28">
        <v>177.47109513350324</v>
      </c>
      <c r="Z315" s="17" t="str">
        <f>SUBSTITUTE(SUBSTITUTE(SUBSTITUTE(SUBSTITUTE(IF(E315="","",VLOOKUP(E315,[1]Esquemas_NORM!$A$2:$H$126,8,FALSE)),"PROVINCIA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315" s="17" t="str">
        <f>IF($E315="","",INDEX([1]Esquemas_NORM!$H$2:$K$126,MATCH($E315,[1]Esquemas_NORM!$A$2:$A$126,0),MATCH(AA$4,[1]Esquemas_NORM!$H$1:$K$1,0)))</f>
        <v>Región de Planeación y Gestión de Occidente</v>
      </c>
      <c r="AB315" s="17" t="str">
        <f>IF($E315="","",INDEX([1]Esquemas_NORM!$H$2:$K$126,MATCH($E315,[1]Esquemas_NORM!$A$2:$A$126,0),MATCH(AB$4,[1]Esquemas_NORM!$H$1:$K$1,0)))</f>
        <v>A la fecha no ha conformado un EAT Área Metropolitana</v>
      </c>
      <c r="AC315" s="17" t="str">
        <f>IF($E315="","",INDEX([1]Esquemas_NORM!$H$2:$K$126,MATCH($E315,[1]Esquemas_NORM!$A$2:$A$126,0),MATCH(AC$4,[1]Esquemas_NORM!$H$1:$K$1,0)))</f>
        <v>ASOCIACION DE MUNICIPIOS DEL OCCIDENTE ANTIOQUEÑO - AMOCCIDENTE</v>
      </c>
      <c r="AD315" s="23"/>
    </row>
    <row r="316" spans="1:30" x14ac:dyDescent="0.25">
      <c r="A316" s="24">
        <v>2017</v>
      </c>
      <c r="B316" s="25" t="s">
        <v>36</v>
      </c>
      <c r="C316" s="25" t="s">
        <v>158</v>
      </c>
      <c r="D316" s="25" t="s">
        <v>163</v>
      </c>
      <c r="E316" s="25" t="s">
        <v>180</v>
      </c>
      <c r="F316" s="25" t="s">
        <v>161</v>
      </c>
      <c r="G316" s="25" t="s">
        <v>181</v>
      </c>
      <c r="H316" s="26">
        <v>10.386566947822239</v>
      </c>
      <c r="I316" s="26">
        <v>0</v>
      </c>
      <c r="J316" s="27">
        <v>10.386566947822239</v>
      </c>
      <c r="K316" s="26">
        <v>0.92343795086228542</v>
      </c>
      <c r="L316" s="26">
        <v>3.139515505778169</v>
      </c>
      <c r="M316" s="27">
        <v>4.0629534566404546</v>
      </c>
      <c r="N316" s="26">
        <v>0.94314552840004617</v>
      </c>
      <c r="O316" s="26">
        <v>7.3812079932623123</v>
      </c>
      <c r="P316" s="26">
        <v>1.5004315639930514</v>
      </c>
      <c r="Q316" s="26">
        <v>0.96657328252908359</v>
      </c>
      <c r="R316" s="26">
        <v>3.9912816100950979</v>
      </c>
      <c r="S316" s="26">
        <v>4.5001198534320359</v>
      </c>
      <c r="T316" s="26">
        <v>9.4316401074769427</v>
      </c>
      <c r="U316" s="26">
        <v>1.3061214796188385</v>
      </c>
      <c r="V316" s="27">
        <v>30.020521418807405</v>
      </c>
      <c r="W316" s="27">
        <v>45.412961815423991</v>
      </c>
      <c r="X316" s="26">
        <v>4.425581632859112</v>
      </c>
      <c r="Y316" s="28">
        <v>49.839637323445501</v>
      </c>
      <c r="Z316" s="17" t="str">
        <f>SUBSTITUTE(SUBSTITUTE(SUBSTITUTE(SUBSTITUTE(IF(E316="","",VLOOKUP(E316,[1]Esquemas_NORM!$A$2:$H$126,8,FALSE)),"PROVINCIA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316" s="17" t="str">
        <f>IF($E316="","",INDEX([1]Esquemas_NORM!$H$2:$K$126,MATCH($E316,[1]Esquemas_NORM!$A$2:$A$126,0),MATCH(AA$4,[1]Esquemas_NORM!$H$1:$K$1,0)))</f>
        <v>A la fecha no ha conformado un EAT Región</v>
      </c>
      <c r="AB316" s="17" t="str">
        <f>IF($E316="","",INDEX([1]Esquemas_NORM!$H$2:$K$126,MATCH($E316,[1]Esquemas_NORM!$A$2:$A$126,0),MATCH(AB$4,[1]Esquemas_NORM!$H$1:$K$1,0)))</f>
        <v>A la fecha no ha conformado un EAT Área Metropolitana</v>
      </c>
      <c r="AC316" s="17" t="str">
        <f>IF($E316="","",INDEX([1]Esquemas_NORM!$H$2:$K$126,MATCH($E316,[1]Esquemas_NORM!$A$2:$A$126,0),MATCH(AC$4,[1]Esquemas_NORM!$H$1:$K$1,0)))</f>
        <v>ASOCIACION DE MUNICIPIOS DEL OCCIDENTE ANTIOQUEÑO - AMOCCIDENTE</v>
      </c>
      <c r="AD316" s="23"/>
    </row>
    <row r="317" spans="1:30" x14ac:dyDescent="0.25">
      <c r="A317" s="24">
        <v>2017</v>
      </c>
      <c r="B317" s="25" t="s">
        <v>36</v>
      </c>
      <c r="C317" s="25" t="s">
        <v>158</v>
      </c>
      <c r="D317" s="25" t="s">
        <v>163</v>
      </c>
      <c r="E317" s="25" t="s">
        <v>182</v>
      </c>
      <c r="F317" s="25" t="s">
        <v>161</v>
      </c>
      <c r="G317" s="25" t="s">
        <v>183</v>
      </c>
      <c r="H317" s="26">
        <v>16.32936451842053</v>
      </c>
      <c r="I317" s="26">
        <v>6.3745804050895805E-2</v>
      </c>
      <c r="J317" s="27">
        <v>16.393110322471426</v>
      </c>
      <c r="K317" s="26">
        <v>1.3756500091891293</v>
      </c>
      <c r="L317" s="26">
        <v>3.7266992994891099</v>
      </c>
      <c r="M317" s="27">
        <v>5.1023493086782388</v>
      </c>
      <c r="N317" s="26">
        <v>1.6305354547943722</v>
      </c>
      <c r="O317" s="26">
        <v>4.8351841524103358</v>
      </c>
      <c r="P317" s="26">
        <v>2.6995147864097873</v>
      </c>
      <c r="Q317" s="26">
        <v>1.6350190412876091</v>
      </c>
      <c r="R317" s="26">
        <v>4.9176174195710356</v>
      </c>
      <c r="S317" s="26">
        <v>4.8498835916632901</v>
      </c>
      <c r="T317" s="26">
        <v>10.693272932605646</v>
      </c>
      <c r="U317" s="26">
        <v>2.1360143598716355</v>
      </c>
      <c r="V317" s="27">
        <v>33.397041738613716</v>
      </c>
      <c r="W317" s="27">
        <v>55.939095157182606</v>
      </c>
      <c r="X317" s="26">
        <v>5.45137384107481</v>
      </c>
      <c r="Y317" s="28">
        <v>61.391816419441852</v>
      </c>
      <c r="Z317" s="17" t="str">
        <f>SUBSTITUTE(SUBSTITUTE(SUBSTITUTE(SUBSTITUTE(IF(E317="","",VLOOKUP(E317,[1]Esquemas_NORM!$A$2:$H$126,8,FALSE)),"PROVINCIA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317" s="17" t="str">
        <f>IF($E317="","",INDEX([1]Esquemas_NORM!$H$2:$K$126,MATCH($E317,[1]Esquemas_NORM!$A$2:$A$126,0),MATCH(AA$4,[1]Esquemas_NORM!$H$1:$K$1,0)))</f>
        <v>Región de Planeación y Gestión de Occidente</v>
      </c>
      <c r="AB317" s="17" t="str">
        <f>IF($E317="","",INDEX([1]Esquemas_NORM!$H$2:$K$126,MATCH($E317,[1]Esquemas_NORM!$A$2:$A$126,0),MATCH(AB$4,[1]Esquemas_NORM!$H$1:$K$1,0)))</f>
        <v>A la fecha no ha conformado un EAT Área Metropolitana</v>
      </c>
      <c r="AC317" s="17" t="str">
        <f>IF($E317="","",INDEX([1]Esquemas_NORM!$H$2:$K$126,MATCH($E317,[1]Esquemas_NORM!$A$2:$A$126,0),MATCH(AC$4,[1]Esquemas_NORM!$H$1:$K$1,0)))</f>
        <v>ASOCIACION DE MUNICIPIOS DEL OCCIDENTE ANTIOQUEÑO - AMOCCIDENTE</v>
      </c>
      <c r="AD317" s="23"/>
    </row>
    <row r="318" spans="1:30" x14ac:dyDescent="0.25">
      <c r="A318" s="24">
        <v>2017</v>
      </c>
      <c r="B318" s="25" t="s">
        <v>36</v>
      </c>
      <c r="C318" s="25" t="s">
        <v>158</v>
      </c>
      <c r="D318" s="25" t="s">
        <v>163</v>
      </c>
      <c r="E318" s="25" t="s">
        <v>184</v>
      </c>
      <c r="F318" s="25" t="s">
        <v>161</v>
      </c>
      <c r="G318" s="25" t="s">
        <v>185</v>
      </c>
      <c r="H318" s="26">
        <v>22.993783468896705</v>
      </c>
      <c r="I318" s="26">
        <v>1.1252469409252595E-2</v>
      </c>
      <c r="J318" s="27">
        <v>23.005035938305959</v>
      </c>
      <c r="K318" s="26">
        <v>1.0570964031174497</v>
      </c>
      <c r="L318" s="26">
        <v>7.1922404840381633</v>
      </c>
      <c r="M318" s="27">
        <v>8.2493368871556125</v>
      </c>
      <c r="N318" s="26">
        <v>2.303678010040779</v>
      </c>
      <c r="O318" s="26">
        <v>9.130985751868284</v>
      </c>
      <c r="P318" s="26">
        <v>3.2307742337380758</v>
      </c>
      <c r="Q318" s="26">
        <v>3.1010665728302578</v>
      </c>
      <c r="R318" s="26">
        <v>5.8200742507098955</v>
      </c>
      <c r="S318" s="26">
        <v>9.1254000160752256</v>
      </c>
      <c r="T318" s="26">
        <v>20.144639934184195</v>
      </c>
      <c r="U318" s="26">
        <v>3.021641679777602</v>
      </c>
      <c r="V318" s="27">
        <v>55.878260449224314</v>
      </c>
      <c r="W318" s="27">
        <v>88.777047889857911</v>
      </c>
      <c r="X318" s="26">
        <v>8.6514963317650047</v>
      </c>
      <c r="Y318" s="28">
        <v>97.430682620084369</v>
      </c>
      <c r="Z318" s="17" t="str">
        <f>SUBSTITUTE(SUBSTITUTE(SUBSTITUTE(SUBSTITUTE(IF(E318="","",VLOOKUP(E318,[1]Esquemas_NORM!$A$2:$H$126,8,FALSE)),"PROVINCIA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18" s="17" t="str">
        <f>IF($E318="","",INDEX([1]Esquemas_NORM!$H$2:$K$126,MATCH($E318,[1]Esquemas_NORM!$A$2:$A$126,0),MATCH(AA$4,[1]Esquemas_NORM!$H$1:$K$1,0)))</f>
        <v>Región de Planeación y Gestión de Occidente</v>
      </c>
      <c r="AB318" s="17" t="str">
        <f>IF($E318="","",INDEX([1]Esquemas_NORM!$H$2:$K$126,MATCH($E318,[1]Esquemas_NORM!$A$2:$A$126,0),MATCH(AB$4,[1]Esquemas_NORM!$H$1:$K$1,0)))</f>
        <v>A la fecha no ha conformado un EAT Área Metropolitana</v>
      </c>
      <c r="AC318" s="17" t="str">
        <f>IF($E318="","",INDEX([1]Esquemas_NORM!$H$2:$K$126,MATCH($E318,[1]Esquemas_NORM!$A$2:$A$126,0),MATCH(AC$4,[1]Esquemas_NORM!$H$1:$K$1,0)))</f>
        <v>ASOCIACION DE MUNICIPIOS DEL OCCIDENTE ANTIOQUEÑO - AMOCCIDENTE</v>
      </c>
      <c r="AD318" s="23"/>
    </row>
    <row r="319" spans="1:30" x14ac:dyDescent="0.25">
      <c r="A319" s="24">
        <v>2017</v>
      </c>
      <c r="B319" s="25" t="s">
        <v>36</v>
      </c>
      <c r="C319" s="25" t="s">
        <v>158</v>
      </c>
      <c r="D319" s="25" t="s">
        <v>163</v>
      </c>
      <c r="E319" s="25" t="s">
        <v>186</v>
      </c>
      <c r="F319" s="25" t="s">
        <v>161</v>
      </c>
      <c r="G319" s="25" t="s">
        <v>187</v>
      </c>
      <c r="H319" s="26">
        <v>5.4156139251171771</v>
      </c>
      <c r="I319" s="26">
        <v>1.5386625571843188E-2</v>
      </c>
      <c r="J319" s="27">
        <v>5.4310005506890207</v>
      </c>
      <c r="K319" s="26">
        <v>0.55977724294059994</v>
      </c>
      <c r="L319" s="26">
        <v>2.3154964522348616</v>
      </c>
      <c r="M319" s="27">
        <v>2.8752736951754616</v>
      </c>
      <c r="N319" s="26">
        <v>1.958318475590664</v>
      </c>
      <c r="O319" s="26">
        <v>6.6935945853697962</v>
      </c>
      <c r="P319" s="26">
        <v>1.2403423678737662</v>
      </c>
      <c r="Q319" s="26">
        <v>0.59515424290511665</v>
      </c>
      <c r="R319" s="26">
        <v>2.8613580477323124</v>
      </c>
      <c r="S319" s="26">
        <v>3.0982381306193738</v>
      </c>
      <c r="T319" s="26">
        <v>5.29736148675536</v>
      </c>
      <c r="U319" s="26">
        <v>0.86438207652643551</v>
      </c>
      <c r="V319" s="27">
        <v>22.608749413372827</v>
      </c>
      <c r="W319" s="27">
        <v>31.610592027558884</v>
      </c>
      <c r="X319" s="26">
        <v>3.0805137980117658</v>
      </c>
      <c r="Y319" s="28">
        <v>34.691867239054936</v>
      </c>
      <c r="Z319" s="17" t="str">
        <f>SUBSTITUTE(SUBSTITUTE(SUBSTITUTE(SUBSTITUTE(IF(E319="","",VLOOKUP(E319,[1]Esquemas_NORM!$A$2:$H$126,8,FALSE)),"PROVINCIA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319" s="17" t="str">
        <f>IF($E319="","",INDEX([1]Esquemas_NORM!$H$2:$K$126,MATCH($E319,[1]Esquemas_NORM!$A$2:$A$126,0),MATCH(AA$4,[1]Esquemas_NORM!$H$1:$K$1,0)))</f>
        <v>Región de Planeación y Gestión de Occidente</v>
      </c>
      <c r="AB319" s="17" t="str">
        <f>IF($E319="","",INDEX([1]Esquemas_NORM!$H$2:$K$126,MATCH($E319,[1]Esquemas_NORM!$A$2:$A$126,0),MATCH(AB$4,[1]Esquemas_NORM!$H$1:$K$1,0)))</f>
        <v>A la fecha no ha conformado un EAT Área Metropolitana</v>
      </c>
      <c r="AC319" s="17" t="str">
        <f>IF($E319="","",INDEX([1]Esquemas_NORM!$H$2:$K$126,MATCH($E319,[1]Esquemas_NORM!$A$2:$A$126,0),MATCH(AC$4,[1]Esquemas_NORM!$H$1:$K$1,0)))</f>
        <v>ASOCIACION DE MUNICIPIOS DEL OCCIDENTE ANTIOQUEÑO - AMOCCIDENTE</v>
      </c>
      <c r="AD319" s="23"/>
    </row>
    <row r="320" spans="1:30" x14ac:dyDescent="0.25">
      <c r="A320" s="24">
        <v>2017</v>
      </c>
      <c r="B320" s="25" t="s">
        <v>36</v>
      </c>
      <c r="C320" s="25" t="s">
        <v>158</v>
      </c>
      <c r="D320" s="25" t="s">
        <v>159</v>
      </c>
      <c r="E320" s="25" t="s">
        <v>188</v>
      </c>
      <c r="F320" s="25" t="s">
        <v>161</v>
      </c>
      <c r="G320" s="25" t="s">
        <v>189</v>
      </c>
      <c r="H320" s="26">
        <v>17.046197231704507</v>
      </c>
      <c r="I320" s="26">
        <v>0</v>
      </c>
      <c r="J320" s="27">
        <v>17.046197231704507</v>
      </c>
      <c r="K320" s="26">
        <v>2.7879935578056716</v>
      </c>
      <c r="L320" s="26">
        <v>3.5059138842170521</v>
      </c>
      <c r="M320" s="27">
        <v>6.2939074420227232</v>
      </c>
      <c r="N320" s="26">
        <v>0.87706340539997352</v>
      </c>
      <c r="O320" s="26">
        <v>8.1410457498716333</v>
      </c>
      <c r="P320" s="26">
        <v>2.8849036709825384</v>
      </c>
      <c r="Q320" s="26">
        <v>2.1444676465391828</v>
      </c>
      <c r="R320" s="26">
        <v>5.0943324444350369</v>
      </c>
      <c r="S320" s="26">
        <v>6.5842198375832179</v>
      </c>
      <c r="T320" s="26">
        <v>17.161519271577756</v>
      </c>
      <c r="U320" s="26">
        <v>1.7876785741929659</v>
      </c>
      <c r="V320" s="27">
        <v>44.67523060058231</v>
      </c>
      <c r="W320" s="27">
        <v>69.363901407855366</v>
      </c>
      <c r="X320" s="26">
        <v>6.7596473734006155</v>
      </c>
      <c r="Y320" s="28">
        <v>76.125219569636272</v>
      </c>
      <c r="Z320" s="17" t="str">
        <f>SUBSTITUTE(SUBSTITUTE(SUBSTITUTE(SUBSTITUTE(IF(E320="","",VLOOKUP(E320,[1]Esquemas_NORM!$A$2:$H$126,8,FALSE)),"PROVINCIA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320" s="17" t="str">
        <f>IF($E320="","",INDEX([1]Esquemas_NORM!$H$2:$K$126,MATCH($E320,[1]Esquemas_NORM!$A$2:$A$126,0),MATCH(AA$4,[1]Esquemas_NORM!$H$1:$K$1,0)))</f>
        <v>Región de Planeación y Gestión de Occidente</v>
      </c>
      <c r="AB320" s="17" t="str">
        <f>IF($E320="","",INDEX([1]Esquemas_NORM!$H$2:$K$126,MATCH($E320,[1]Esquemas_NORM!$A$2:$A$126,0),MATCH(AB$4,[1]Esquemas_NORM!$H$1:$K$1,0)))</f>
        <v>A la fecha no ha conformado un EAT Área Metropolitana</v>
      </c>
      <c r="AC320" s="17" t="str">
        <f>IF($E320="","",INDEX([1]Esquemas_NORM!$H$2:$K$126,MATCH($E320,[1]Esquemas_NORM!$A$2:$A$126,0),MATCH(AC$4,[1]Esquemas_NORM!$H$1:$K$1,0)))</f>
        <v>ASOCIACION DE MUNICIPIOS DEL OCCIDENTE ANTIOQUEÑO - AMOCCIDENTE</v>
      </c>
      <c r="AD320" s="23"/>
    </row>
    <row r="321" spans="1:30" x14ac:dyDescent="0.25">
      <c r="A321" s="24">
        <v>2017</v>
      </c>
      <c r="B321" s="25" t="s">
        <v>36</v>
      </c>
      <c r="C321" s="25" t="s">
        <v>158</v>
      </c>
      <c r="D321" s="25" t="s">
        <v>163</v>
      </c>
      <c r="E321" s="25" t="s">
        <v>190</v>
      </c>
      <c r="F321" s="25" t="s">
        <v>161</v>
      </c>
      <c r="G321" s="25" t="s">
        <v>191</v>
      </c>
      <c r="H321" s="26">
        <v>23.637624759841046</v>
      </c>
      <c r="I321" s="26">
        <v>0.57529173756696683</v>
      </c>
      <c r="J321" s="27">
        <v>24.212916497408013</v>
      </c>
      <c r="K321" s="26">
        <v>5.020369668434693</v>
      </c>
      <c r="L321" s="26">
        <v>2.5471355238326616</v>
      </c>
      <c r="M321" s="27">
        <v>7.5675051922673546</v>
      </c>
      <c r="N321" s="26">
        <v>1.8546176739650315</v>
      </c>
      <c r="O321" s="26">
        <v>6.1401555285467753</v>
      </c>
      <c r="P321" s="26">
        <v>3.1010952997925845</v>
      </c>
      <c r="Q321" s="26">
        <v>2.6219628034416123</v>
      </c>
      <c r="R321" s="26">
        <v>6.9311509993004474</v>
      </c>
      <c r="S321" s="26">
        <v>7.1695540906728024</v>
      </c>
      <c r="T321" s="26">
        <v>18.741850138478444</v>
      </c>
      <c r="U321" s="26">
        <v>2.2871628413891809</v>
      </c>
      <c r="V321" s="27">
        <v>48.847549375586887</v>
      </c>
      <c r="W321" s="27">
        <v>82.142788054426518</v>
      </c>
      <c r="X321" s="26">
        <v>8.0049747814928409</v>
      </c>
      <c r="Y321" s="28">
        <v>90.149741433042934</v>
      </c>
      <c r="Z321" s="17" t="str">
        <f>SUBSTITUTE(SUBSTITUTE(SUBSTITUTE(SUBSTITUTE(IF(E321="","",VLOOKUP(E321,[1]Esquemas_NORM!$A$2:$H$126,8,FALSE)),"PROVINCIA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321" s="17" t="str">
        <f>IF($E321="","",INDEX([1]Esquemas_NORM!$H$2:$K$126,MATCH($E321,[1]Esquemas_NORM!$A$2:$A$126,0),MATCH(AA$4,[1]Esquemas_NORM!$H$1:$K$1,0)))</f>
        <v>A la fecha no ha conformado un EAT Región</v>
      </c>
      <c r="AB321" s="17" t="str">
        <f>IF($E321="","",INDEX([1]Esquemas_NORM!$H$2:$K$126,MATCH($E321,[1]Esquemas_NORM!$A$2:$A$126,0),MATCH(AB$4,[1]Esquemas_NORM!$H$1:$K$1,0)))</f>
        <v>A la fecha no ha conformado un EAT Área Metropolitana</v>
      </c>
      <c r="AC321" s="17" t="str">
        <f>IF($E321="","",INDEX([1]Esquemas_NORM!$H$2:$K$126,MATCH($E321,[1]Esquemas_NORM!$A$2:$A$126,0),MATCH(AC$4,[1]Esquemas_NORM!$H$1:$K$1,0)))</f>
        <v>ASOCIACION DE MUNICIPIOS DEL OCCIDENTE ANTIOQUEÑO - AMOCCIDENTE</v>
      </c>
      <c r="AD321" s="23"/>
    </row>
    <row r="322" spans="1:30" x14ac:dyDescent="0.25">
      <c r="A322" s="24">
        <v>2017</v>
      </c>
      <c r="B322" s="25" t="s">
        <v>36</v>
      </c>
      <c r="C322" s="25" t="s">
        <v>158</v>
      </c>
      <c r="D322" s="25" t="s">
        <v>163</v>
      </c>
      <c r="E322" s="25" t="s">
        <v>192</v>
      </c>
      <c r="F322" s="25" t="s">
        <v>161</v>
      </c>
      <c r="G322" s="25" t="s">
        <v>193</v>
      </c>
      <c r="H322" s="26">
        <v>14.320472844713356</v>
      </c>
      <c r="I322" s="26">
        <v>0</v>
      </c>
      <c r="J322" s="27">
        <v>14.320472844713356</v>
      </c>
      <c r="K322" s="26">
        <v>2.238624765114559</v>
      </c>
      <c r="L322" s="26">
        <v>11.9586539276288</v>
      </c>
      <c r="M322" s="27">
        <v>14.19727869274336</v>
      </c>
      <c r="N322" s="26">
        <v>8.9284867360761098</v>
      </c>
      <c r="O322" s="26">
        <v>44.381702303651338</v>
      </c>
      <c r="P322" s="26">
        <v>3.9841034083232136</v>
      </c>
      <c r="Q322" s="26">
        <v>3.6975360351871402</v>
      </c>
      <c r="R322" s="26">
        <v>25.918990657001743</v>
      </c>
      <c r="S322" s="26">
        <v>15.005132197286702</v>
      </c>
      <c r="T322" s="26">
        <v>17.797451945355423</v>
      </c>
      <c r="U322" s="26">
        <v>3.7435133804551692</v>
      </c>
      <c r="V322" s="27">
        <v>123.45691666333683</v>
      </c>
      <c r="W322" s="27">
        <v>155.15346039711636</v>
      </c>
      <c r="X322" s="26">
        <v>15.120007089573384</v>
      </c>
      <c r="Y322" s="28">
        <v>170.27720471302115</v>
      </c>
      <c r="Z322" s="17" t="str">
        <f>SUBSTITUTE(SUBSTITUTE(SUBSTITUTE(SUBSTITUTE(IF(E322="","",VLOOKUP(E322,[1]Esquemas_NORM!$A$2:$H$126,8,FALSE)),"PROVINCIA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322" s="17" t="str">
        <f>IF($E322="","",INDEX([1]Esquemas_NORM!$H$2:$K$126,MATCH($E322,[1]Esquemas_NORM!$A$2:$A$126,0),MATCH(AA$4,[1]Esquemas_NORM!$H$1:$K$1,0)))</f>
        <v>Región de Planeación y Gestión de Occidente</v>
      </c>
      <c r="AB322" s="17" t="str">
        <f>IF($E322="","",INDEX([1]Esquemas_NORM!$H$2:$K$126,MATCH($E322,[1]Esquemas_NORM!$A$2:$A$126,0),MATCH(AB$4,[1]Esquemas_NORM!$H$1:$K$1,0)))</f>
        <v>A la fecha no ha conformado un EAT Área Metropolitana</v>
      </c>
      <c r="AC322" s="17" t="str">
        <f>IF($E322="","",INDEX([1]Esquemas_NORM!$H$2:$K$126,MATCH($E322,[1]Esquemas_NORM!$A$2:$A$126,0),MATCH(AC$4,[1]Esquemas_NORM!$H$1:$K$1,0)))</f>
        <v>ASOCIACION DE MUNICIPIOS DEL OCCIDENTE ANTIOQUEÑO - AMOCCIDENTE</v>
      </c>
      <c r="AD322" s="23"/>
    </row>
    <row r="323" spans="1:30" x14ac:dyDescent="0.25">
      <c r="A323" s="24">
        <v>2017</v>
      </c>
      <c r="B323" s="25" t="s">
        <v>36</v>
      </c>
      <c r="C323" s="25" t="s">
        <v>158</v>
      </c>
      <c r="D323" s="25" t="s">
        <v>163</v>
      </c>
      <c r="E323" s="25" t="s">
        <v>194</v>
      </c>
      <c r="F323" s="25" t="s">
        <v>161</v>
      </c>
      <c r="G323" s="25" t="s">
        <v>195</v>
      </c>
      <c r="H323" s="26">
        <v>22.889957475755502</v>
      </c>
      <c r="I323" s="26">
        <v>1.2354538433799667</v>
      </c>
      <c r="J323" s="27">
        <v>24.12541131913547</v>
      </c>
      <c r="K323" s="26">
        <v>6.5061452284160772</v>
      </c>
      <c r="L323" s="26">
        <v>18.192207435089735</v>
      </c>
      <c r="M323" s="27">
        <v>24.698352663505812</v>
      </c>
      <c r="N323" s="26">
        <v>14.205210806628219</v>
      </c>
      <c r="O323" s="26">
        <v>79.364804360813167</v>
      </c>
      <c r="P323" s="26">
        <v>6.8613213230291636</v>
      </c>
      <c r="Q323" s="26">
        <v>5.3253652139866521</v>
      </c>
      <c r="R323" s="26">
        <v>25.197126276077871</v>
      </c>
      <c r="S323" s="26">
        <v>27.275861040669941</v>
      </c>
      <c r="T323" s="26">
        <v>54.260686626616049</v>
      </c>
      <c r="U323" s="26">
        <v>8.5175913391329399</v>
      </c>
      <c r="V323" s="27">
        <v>221.00796698695399</v>
      </c>
      <c r="W323" s="27">
        <v>276.12461675922719</v>
      </c>
      <c r="X323" s="26">
        <v>26.908882034079927</v>
      </c>
      <c r="Y323" s="28">
        <v>303.04014988691387</v>
      </c>
      <c r="Z323" s="17" t="str">
        <f>SUBSTITUTE(SUBSTITUTE(SUBSTITUTE(SUBSTITUTE(IF(E323="","",VLOOKUP(E323,[1]Esquemas_NORM!$A$2:$H$126,8,FALSE)),"PROVINCIA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323" s="17" t="str">
        <f>IF($E323="","",INDEX([1]Esquemas_NORM!$H$2:$K$126,MATCH($E323,[1]Esquemas_NORM!$A$2:$A$126,0),MATCH(AA$4,[1]Esquemas_NORM!$H$1:$K$1,0)))</f>
        <v>A la fecha no ha conformado un EAT Región</v>
      </c>
      <c r="AB323" s="17" t="str">
        <f>IF($E323="","",INDEX([1]Esquemas_NORM!$H$2:$K$126,MATCH($E323,[1]Esquemas_NORM!$A$2:$A$126,0),MATCH(AB$4,[1]Esquemas_NORM!$H$1:$K$1,0)))</f>
        <v>A la fecha no ha conformado un EAT Área Metropolitana</v>
      </c>
      <c r="AC323" s="17" t="str">
        <f>IF($E323="","",INDEX([1]Esquemas_NORM!$H$2:$K$126,MATCH($E323,[1]Esquemas_NORM!$A$2:$A$126,0),MATCH(AC$4,[1]Esquemas_NORM!$H$1:$K$1,0)))</f>
        <v>ASOCIACION DE MUNICIPIOS DEL OCCIDENTE ANTIOQUEÑO - AMOCCIDENTE</v>
      </c>
      <c r="AD323" s="23"/>
    </row>
    <row r="324" spans="1:30" x14ac:dyDescent="0.25">
      <c r="A324" s="24">
        <v>2017</v>
      </c>
      <c r="B324" s="25" t="s">
        <v>36</v>
      </c>
      <c r="C324" s="25" t="s">
        <v>158</v>
      </c>
      <c r="D324" s="25" t="s">
        <v>163</v>
      </c>
      <c r="E324" s="25" t="s">
        <v>196</v>
      </c>
      <c r="F324" s="25" t="s">
        <v>161</v>
      </c>
      <c r="G324" s="25" t="s">
        <v>197</v>
      </c>
      <c r="H324" s="26">
        <v>16.352725005367049</v>
      </c>
      <c r="I324" s="26">
        <v>0.90810953558097229</v>
      </c>
      <c r="J324" s="27">
        <v>17.260834540948021</v>
      </c>
      <c r="K324" s="26">
        <v>3.7692757288230925</v>
      </c>
      <c r="L324" s="26">
        <v>8.8147719855927011</v>
      </c>
      <c r="M324" s="27">
        <v>12.584047714415794</v>
      </c>
      <c r="N324" s="26">
        <v>6.3702952977995446</v>
      </c>
      <c r="O324" s="26">
        <v>31.758897199058282</v>
      </c>
      <c r="P324" s="26">
        <v>7.7265268598963415</v>
      </c>
      <c r="Q324" s="26">
        <v>3.4378407283597232</v>
      </c>
      <c r="R324" s="26">
        <v>15.791836375596089</v>
      </c>
      <c r="S324" s="26">
        <v>13.062246765604906</v>
      </c>
      <c r="T324" s="26">
        <v>20.586285655900525</v>
      </c>
      <c r="U324" s="26">
        <v>3.8184445410549044</v>
      </c>
      <c r="V324" s="27">
        <v>102.55237342327031</v>
      </c>
      <c r="W324" s="27">
        <v>135.15840794149725</v>
      </c>
      <c r="X324" s="26">
        <v>13.171450260023164</v>
      </c>
      <c r="Y324" s="28">
        <v>148.333113801233</v>
      </c>
      <c r="Z324" s="17" t="str">
        <f>SUBSTITUTE(SUBSTITUTE(SUBSTITUTE(SUBSTITUTE(IF(E324="","",VLOOKUP(E324,[1]Esquemas_NORM!$A$2:$H$126,8,FALSE)),"PROVINCIA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24" s="17" t="str">
        <f>IF($E324="","",INDEX([1]Esquemas_NORM!$H$2:$K$126,MATCH($E324,[1]Esquemas_NORM!$A$2:$A$126,0),MATCH(AA$4,[1]Esquemas_NORM!$H$1:$K$1,0)))</f>
        <v>A la fecha no ha conformado un EAT Región</v>
      </c>
      <c r="AB324" s="17" t="str">
        <f>IF($E324="","",INDEX([1]Esquemas_NORM!$H$2:$K$126,MATCH($E324,[1]Esquemas_NORM!$A$2:$A$126,0),MATCH(AB$4,[1]Esquemas_NORM!$H$1:$K$1,0)))</f>
        <v>A la fecha no ha conformado un EAT Área Metropolitana</v>
      </c>
      <c r="AC324" s="17" t="str">
        <f>IF($E324="","",INDEX([1]Esquemas_NORM!$H$2:$K$126,MATCH($E324,[1]Esquemas_NORM!$A$2:$A$126,0),MATCH(AC$4,[1]Esquemas_NORM!$H$1:$K$1,0)))</f>
        <v>ASOCIACION DE MUNICIPIOS DEL OCCIDENTE ANTIOQUEÑO - AMOCCIDENTE</v>
      </c>
      <c r="AD324" s="23"/>
    </row>
    <row r="325" spans="1:30" x14ac:dyDescent="0.25">
      <c r="A325" s="24">
        <v>2017</v>
      </c>
      <c r="B325" s="25" t="s">
        <v>36</v>
      </c>
      <c r="C325" s="25" t="s">
        <v>158</v>
      </c>
      <c r="D325" s="25" t="s">
        <v>159</v>
      </c>
      <c r="E325" s="25" t="s">
        <v>198</v>
      </c>
      <c r="F325" s="25" t="s">
        <v>161</v>
      </c>
      <c r="G325" s="25" t="s">
        <v>199</v>
      </c>
      <c r="H325" s="26">
        <v>14.73275791409926</v>
      </c>
      <c r="I325" s="26">
        <v>0</v>
      </c>
      <c r="J325" s="27">
        <v>14.73275791409926</v>
      </c>
      <c r="K325" s="26">
        <v>1.5414400871705791</v>
      </c>
      <c r="L325" s="26">
        <v>4.0360406822795225</v>
      </c>
      <c r="M325" s="27">
        <v>5.5774807694501014</v>
      </c>
      <c r="N325" s="26">
        <v>2.165924921476813</v>
      </c>
      <c r="O325" s="26">
        <v>7.3499481308713746</v>
      </c>
      <c r="P325" s="26">
        <v>3.5438912704649663</v>
      </c>
      <c r="Q325" s="26">
        <v>1.4311630912901598</v>
      </c>
      <c r="R325" s="26">
        <v>3.8757379277701269</v>
      </c>
      <c r="S325" s="26">
        <v>5.0663407346031626</v>
      </c>
      <c r="T325" s="26">
        <v>10.782829355263612</v>
      </c>
      <c r="U325" s="26">
        <v>1.5123356006349455</v>
      </c>
      <c r="V325" s="27">
        <v>35.728171032375165</v>
      </c>
      <c r="W325" s="27">
        <v>57.198747798550627</v>
      </c>
      <c r="X325" s="26">
        <v>5.57412944587524</v>
      </c>
      <c r="Y325" s="28">
        <v>62.774255007228277</v>
      </c>
      <c r="Z325" s="17" t="str">
        <f>SUBSTITUTE(SUBSTITUTE(SUBSTITUTE(SUBSTITUTE(IF(E325="","",VLOOKUP(E325,[1]Esquemas_NORM!$A$2:$H$126,8,FALSE)),"PROVINCIA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325" s="17" t="str">
        <f>IF($E325="","",INDEX([1]Esquemas_NORM!$H$2:$K$126,MATCH($E325,[1]Esquemas_NORM!$A$2:$A$126,0),MATCH(AA$4,[1]Esquemas_NORM!$H$1:$K$1,0)))</f>
        <v>Región de Planeación y Gestión de Occidente</v>
      </c>
      <c r="AB325" s="17" t="str">
        <f>IF($E325="","",INDEX([1]Esquemas_NORM!$H$2:$K$126,MATCH($E325,[1]Esquemas_NORM!$A$2:$A$126,0),MATCH(AB$4,[1]Esquemas_NORM!$H$1:$K$1,0)))</f>
        <v>A la fecha no ha conformado un EAT Área Metropolitana</v>
      </c>
      <c r="AC325" s="17" t="str">
        <f>IF($E325="","",INDEX([1]Esquemas_NORM!$H$2:$K$126,MATCH($E325,[1]Esquemas_NORM!$A$2:$A$126,0),MATCH(AC$4,[1]Esquemas_NORM!$H$1:$K$1,0)))</f>
        <v>ASOCIACION DE MUNICIPIOS DEL OCCIDENTE ANTIOQUEÑO - AMOCCIDENTE</v>
      </c>
      <c r="AD325" s="23"/>
    </row>
    <row r="326" spans="1:30" x14ac:dyDescent="0.25">
      <c r="A326" s="24">
        <v>2017</v>
      </c>
      <c r="B326" s="25" t="s">
        <v>36</v>
      </c>
      <c r="C326" s="25" t="s">
        <v>200</v>
      </c>
      <c r="D326" s="25" t="s">
        <v>201</v>
      </c>
      <c r="E326" s="25" t="s">
        <v>202</v>
      </c>
      <c r="F326" s="25" t="s">
        <v>203</v>
      </c>
      <c r="G326" s="25" t="s">
        <v>204</v>
      </c>
      <c r="H326" s="26">
        <v>75.819436758301364</v>
      </c>
      <c r="I326" s="26">
        <v>2.0266529932749759</v>
      </c>
      <c r="J326" s="27">
        <v>77.846089751576343</v>
      </c>
      <c r="K326" s="26">
        <v>3.5162510336380017</v>
      </c>
      <c r="L326" s="26">
        <v>16.281541851908589</v>
      </c>
      <c r="M326" s="27">
        <v>19.797792885546592</v>
      </c>
      <c r="N326" s="26">
        <v>3.7941757306377846</v>
      </c>
      <c r="O326" s="26">
        <v>18.502261529558385</v>
      </c>
      <c r="P326" s="26">
        <v>7.281904681233474</v>
      </c>
      <c r="Q326" s="26">
        <v>6.0802919405920166</v>
      </c>
      <c r="R326" s="26">
        <v>22.435742539617095</v>
      </c>
      <c r="S326" s="26">
        <v>15.550399982711586</v>
      </c>
      <c r="T326" s="26">
        <v>34.198661080377832</v>
      </c>
      <c r="U326" s="26">
        <v>5.2487615804364491</v>
      </c>
      <c r="V326" s="27">
        <v>113.09219906516462</v>
      </c>
      <c r="W326" s="27">
        <v>214.87774077059893</v>
      </c>
      <c r="X326" s="26">
        <v>20.940254606814165</v>
      </c>
      <c r="Y326" s="28">
        <v>235.82317119978146</v>
      </c>
      <c r="Z326" s="17" t="str">
        <f>SUBSTITUTE(SUBSTITUTE(SUBSTITUTE(SUBSTITUTE(IF(E326="","",VLOOKUP(E326,[1]Esquemas_NORM!$A$2:$H$126,8,FALSE)),"PROVINCIA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326" s="17" t="str">
        <f>IF($E326="","",INDEX([1]Esquemas_NORM!$H$2:$K$126,MATCH($E326,[1]Esquemas_NORM!$A$2:$A$126,0),MATCH(AA$4,[1]Esquemas_NORM!$H$1:$K$1,0)))</f>
        <v>A la fecha no ha conformado un EAT Región</v>
      </c>
      <c r="AB326" s="17" t="str">
        <f>IF($E326="","",INDEX([1]Esquemas_NORM!$H$2:$K$126,MATCH($E326,[1]Esquemas_NORM!$A$2:$A$126,0),MATCH(AB$4,[1]Esquemas_NORM!$H$1:$K$1,0)))</f>
        <v>A la fecha no ha conformado un EAT Área Metropolitana</v>
      </c>
      <c r="AC326" s="17" t="str">
        <f>IF($E326="","",INDEX([1]Esquemas_NORM!$H$2:$K$126,MATCH($E326,[1]Esquemas_NORM!$A$2:$A$126,0),MATCH(AC$4,[1]Esquemas_NORM!$H$1:$K$1,0)))</f>
        <v>MUNICIPIOS UNIDOS DEL SUR DE ANTIOQUIA - MUSA</v>
      </c>
      <c r="AD326" s="23"/>
    </row>
    <row r="327" spans="1:30" x14ac:dyDescent="0.25">
      <c r="A327" s="24">
        <v>2017</v>
      </c>
      <c r="B327" s="25" t="s">
        <v>36</v>
      </c>
      <c r="C327" s="25" t="s">
        <v>200</v>
      </c>
      <c r="D327" s="25" t="s">
        <v>205</v>
      </c>
      <c r="E327" s="25" t="s">
        <v>206</v>
      </c>
      <c r="F327" s="25" t="s">
        <v>203</v>
      </c>
      <c r="G327" s="25" t="s">
        <v>207</v>
      </c>
      <c r="H327" s="26">
        <v>7.2397075037457492</v>
      </c>
      <c r="I327" s="26">
        <v>0</v>
      </c>
      <c r="J327" s="27">
        <v>7.2397075037457492</v>
      </c>
      <c r="K327" s="26">
        <v>0.6882765915625435</v>
      </c>
      <c r="L327" s="26">
        <v>3.8282568285221887</v>
      </c>
      <c r="M327" s="27">
        <v>4.5165334200847322</v>
      </c>
      <c r="N327" s="26">
        <v>7.3087359791719795</v>
      </c>
      <c r="O327" s="26">
        <v>4.3899936029724183</v>
      </c>
      <c r="P327" s="26">
        <v>1.5565921753547649</v>
      </c>
      <c r="Q327" s="26">
        <v>1.2012464159369667</v>
      </c>
      <c r="R327" s="26">
        <v>5.8717745946927948</v>
      </c>
      <c r="S327" s="26">
        <v>4.1864270904590661</v>
      </c>
      <c r="T327" s="26">
        <v>8.6056141452881931</v>
      </c>
      <c r="U327" s="26">
        <v>1.2075537864300772</v>
      </c>
      <c r="V327" s="27">
        <v>34.327937790306258</v>
      </c>
      <c r="W327" s="27">
        <v>46.916230185297444</v>
      </c>
      <c r="X327" s="26">
        <v>4.5720780651767967</v>
      </c>
      <c r="Y327" s="28">
        <v>51.48943833529718</v>
      </c>
      <c r="Z327" s="17" t="str">
        <f>SUBSTITUTE(SUBSTITUTE(SUBSTITUTE(SUBSTITUTE(IF(E327="","",VLOOKUP(E327,[1]Esquemas_NORM!$A$2:$H$126,8,FALSE)),"PROVINCIA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27" s="17" t="str">
        <f>IF($E327="","",INDEX([1]Esquemas_NORM!$H$2:$K$126,MATCH($E327,[1]Esquemas_NORM!$A$2:$A$126,0),MATCH(AA$4,[1]Esquemas_NORM!$H$1:$K$1,0)))</f>
        <v>A la fecha no ha conformado un EAT Región</v>
      </c>
      <c r="AB327" s="17" t="str">
        <f>IF($E327="","",INDEX([1]Esquemas_NORM!$H$2:$K$126,MATCH($E327,[1]Esquemas_NORM!$A$2:$A$126,0),MATCH(AB$4,[1]Esquemas_NORM!$H$1:$K$1,0)))</f>
        <v>A la fecha no ha conformado un EAT Área Metropolitana</v>
      </c>
      <c r="AC327" s="17" t="str">
        <f>IF($E327="","",INDEX([1]Esquemas_NORM!$H$2:$K$126,MATCH($E327,[1]Esquemas_NORM!$A$2:$A$126,0),MATCH(AC$4,[1]Esquemas_NORM!$H$1:$K$1,0)))</f>
        <v>A la fecha no ha conformado un EAT asociación - unión</v>
      </c>
      <c r="AD327" s="23"/>
    </row>
    <row r="328" spans="1:30" x14ac:dyDescent="0.25">
      <c r="A328" s="24">
        <v>2017</v>
      </c>
      <c r="B328" s="25" t="s">
        <v>36</v>
      </c>
      <c r="C328" s="25" t="s">
        <v>200</v>
      </c>
      <c r="D328" s="25" t="s">
        <v>201</v>
      </c>
      <c r="E328" s="25" t="s">
        <v>208</v>
      </c>
      <c r="F328" s="25" t="s">
        <v>203</v>
      </c>
      <c r="G328" s="25" t="s">
        <v>209</v>
      </c>
      <c r="H328" s="26">
        <v>19.637125242820737</v>
      </c>
      <c r="I328" s="26">
        <v>0</v>
      </c>
      <c r="J328" s="27">
        <v>19.637125242820737</v>
      </c>
      <c r="K328" s="26">
        <v>1.403645151274258</v>
      </c>
      <c r="L328" s="26">
        <v>4.7298438713326778</v>
      </c>
      <c r="M328" s="27">
        <v>6.1334890226069358</v>
      </c>
      <c r="N328" s="26">
        <v>1.3171585427038428</v>
      </c>
      <c r="O328" s="26">
        <v>3.9671855752401997</v>
      </c>
      <c r="P328" s="26">
        <v>2.5125561752531405</v>
      </c>
      <c r="Q328" s="26">
        <v>2.1376773342146644</v>
      </c>
      <c r="R328" s="26">
        <v>8.6161111640166723</v>
      </c>
      <c r="S328" s="26">
        <v>5.3004662148901112</v>
      </c>
      <c r="T328" s="26">
        <v>13.919028911656541</v>
      </c>
      <c r="U328" s="26">
        <v>1.8737394229526063</v>
      </c>
      <c r="V328" s="27">
        <v>39.643923340927778</v>
      </c>
      <c r="W328" s="27">
        <v>66.52639685878718</v>
      </c>
      <c r="X328" s="26">
        <v>6.4831270251658983</v>
      </c>
      <c r="Y328" s="28">
        <v>73.011126324539561</v>
      </c>
      <c r="Z328" s="17" t="str">
        <f>SUBSTITUTE(SUBSTITUTE(SUBSTITUTE(SUBSTITUTE(IF(E328="","",VLOOKUP(E328,[1]Esquemas_NORM!$A$2:$H$126,8,FALSE)),"PROVINCIA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328" s="17" t="str">
        <f>IF($E328="","",INDEX([1]Esquemas_NORM!$H$2:$K$126,MATCH($E328,[1]Esquemas_NORM!$A$2:$A$126,0),MATCH(AA$4,[1]Esquemas_NORM!$H$1:$K$1,0)))</f>
        <v>A la fecha no ha conformado un EAT Región</v>
      </c>
      <c r="AB328" s="17" t="str">
        <f>IF($E328="","",INDEX([1]Esquemas_NORM!$H$2:$K$126,MATCH($E328,[1]Esquemas_NORM!$A$2:$A$126,0),MATCH(AB$4,[1]Esquemas_NORM!$H$1:$K$1,0)))</f>
        <v>A la fecha no ha conformado un EAT Área Metropolitana</v>
      </c>
      <c r="AC328" s="17" t="str">
        <f>IF($E328="","",INDEX([1]Esquemas_NORM!$H$2:$K$126,MATCH($E328,[1]Esquemas_NORM!$A$2:$A$126,0),MATCH(AC$4,[1]Esquemas_NORM!$H$1:$K$1,0)))</f>
        <v>MUNICIPIOS UNIDOS DEL SUR DE ANTIOQUIA - MUSA</v>
      </c>
      <c r="AD328" s="23"/>
    </row>
    <row r="329" spans="1:30" x14ac:dyDescent="0.25">
      <c r="A329" s="24">
        <v>2017</v>
      </c>
      <c r="B329" s="25" t="s">
        <v>36</v>
      </c>
      <c r="C329" s="25" t="s">
        <v>200</v>
      </c>
      <c r="D329" s="25" t="s">
        <v>210</v>
      </c>
      <c r="E329" s="25" t="s">
        <v>211</v>
      </c>
      <c r="F329" s="25" t="s">
        <v>203</v>
      </c>
      <c r="G329" s="25" t="s">
        <v>212</v>
      </c>
      <c r="H329" s="26">
        <v>11.441872860682427</v>
      </c>
      <c r="I329" s="26">
        <v>0</v>
      </c>
      <c r="J329" s="27">
        <v>11.441872860682427</v>
      </c>
      <c r="K329" s="26">
        <v>6.1518845896175867</v>
      </c>
      <c r="L329" s="26">
        <v>10.269689281259403</v>
      </c>
      <c r="M329" s="27">
        <v>16.42157387087699</v>
      </c>
      <c r="N329" s="26">
        <v>41.175057326622536</v>
      </c>
      <c r="O329" s="26">
        <v>14.107434593211835</v>
      </c>
      <c r="P329" s="26">
        <v>4.3456182784120241</v>
      </c>
      <c r="Q329" s="26">
        <v>2.3133449337912322</v>
      </c>
      <c r="R329" s="26">
        <v>12.399053576409566</v>
      </c>
      <c r="S329" s="26">
        <v>8.4507747582147719</v>
      </c>
      <c r="T329" s="26">
        <v>14.407633697166769</v>
      </c>
      <c r="U329" s="26">
        <v>2.4557351606177127</v>
      </c>
      <c r="V329" s="27">
        <v>99.654652324446459</v>
      </c>
      <c r="W329" s="27">
        <v>129.94421945091497</v>
      </c>
      <c r="X329" s="26">
        <v>12.663317429839511</v>
      </c>
      <c r="Y329" s="28">
        <v>142.61066688479886</v>
      </c>
      <c r="Z329" s="17" t="str">
        <f>SUBSTITUTE(SUBSTITUTE(SUBSTITUTE(SUBSTITUTE(IF(E329="","",VLOOKUP(E329,[1]Esquemas_NORM!$A$2:$H$126,8,FALSE)),"PROVINCIA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29" s="17" t="str">
        <f>IF($E329="","",INDEX([1]Esquemas_NORM!$H$2:$K$126,MATCH($E329,[1]Esquemas_NORM!$A$2:$A$126,0),MATCH(AA$4,[1]Esquemas_NORM!$H$1:$K$1,0)))</f>
        <v>A la fecha no ha conformado un EAT Región</v>
      </c>
      <c r="AB329" s="17" t="str">
        <f>IF($E329="","",INDEX([1]Esquemas_NORM!$H$2:$K$126,MATCH($E329,[1]Esquemas_NORM!$A$2:$A$126,0),MATCH(AB$4,[1]Esquemas_NORM!$H$1:$K$1,0)))</f>
        <v>A la fecha no ha conformado un EAT Área Metropolitana</v>
      </c>
      <c r="AC329" s="17" t="str">
        <f>IF($E329="","",INDEX([1]Esquemas_NORM!$H$2:$K$126,MATCH($E329,[1]Esquemas_NORM!$A$2:$A$126,0),MATCH(AC$4,[1]Esquemas_NORM!$H$1:$K$1,0)))</f>
        <v>A la fecha no ha conformado un EAT asociación - unión</v>
      </c>
      <c r="AD329" s="23"/>
    </row>
    <row r="330" spans="1:30" x14ac:dyDescent="0.25">
      <c r="A330" s="24">
        <v>2017</v>
      </c>
      <c r="B330" s="25" t="s">
        <v>36</v>
      </c>
      <c r="C330" s="25" t="s">
        <v>200</v>
      </c>
      <c r="D330" s="25" t="s">
        <v>205</v>
      </c>
      <c r="E330" s="25" t="s">
        <v>213</v>
      </c>
      <c r="F330" s="25" t="s">
        <v>203</v>
      </c>
      <c r="G330" s="25" t="s">
        <v>214</v>
      </c>
      <c r="H330" s="26">
        <v>15.19002197962234</v>
      </c>
      <c r="I330" s="26">
        <v>0</v>
      </c>
      <c r="J330" s="27">
        <v>15.19002197962234</v>
      </c>
      <c r="K330" s="26">
        <v>1.1733512900732805</v>
      </c>
      <c r="L330" s="26">
        <v>3.8056634265550588</v>
      </c>
      <c r="M330" s="27">
        <v>4.9790147166283392</v>
      </c>
      <c r="N330" s="26">
        <v>1.0626433135516025</v>
      </c>
      <c r="O330" s="26">
        <v>3.2780264862755701</v>
      </c>
      <c r="P330" s="26">
        <v>1.3540791185690135</v>
      </c>
      <c r="Q330" s="26">
        <v>1.0060963995793244</v>
      </c>
      <c r="R330" s="26">
        <v>6.6554440236498085</v>
      </c>
      <c r="S330" s="26">
        <v>6.0559732804622204</v>
      </c>
      <c r="T330" s="26">
        <v>6.5128750397742667</v>
      </c>
      <c r="U330" s="26">
        <v>1.070532444102555</v>
      </c>
      <c r="V330" s="27">
        <v>26.995670105964358</v>
      </c>
      <c r="W330" s="27">
        <v>47.940790791282147</v>
      </c>
      <c r="X330" s="26">
        <v>4.671923492963904</v>
      </c>
      <c r="Y330" s="28">
        <v>52.613869047956996</v>
      </c>
      <c r="Z330" s="17" t="str">
        <f>SUBSTITUTE(SUBSTITUTE(SUBSTITUTE(SUBSTITUTE(IF(E330="","",VLOOKUP(E330,[1]Esquemas_NORM!$A$2:$H$126,8,FALSE)),"PROVINCIA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30" s="17" t="str">
        <f>IF($E330="","",INDEX([1]Esquemas_NORM!$H$2:$K$126,MATCH($E330,[1]Esquemas_NORM!$A$2:$A$126,0),MATCH(AA$4,[1]Esquemas_NORM!$H$1:$K$1,0)))</f>
        <v>A la fecha no ha conformado un EAT Región</v>
      </c>
      <c r="AB330" s="17" t="str">
        <f>IF($E330="","",INDEX([1]Esquemas_NORM!$H$2:$K$126,MATCH($E330,[1]Esquemas_NORM!$A$2:$A$126,0),MATCH(AB$4,[1]Esquemas_NORM!$H$1:$K$1,0)))</f>
        <v>A la fecha no ha conformado un EAT Área Metropolitana</v>
      </c>
      <c r="AC330" s="17" t="str">
        <f>IF($E330="","",INDEX([1]Esquemas_NORM!$H$2:$K$126,MATCH($E330,[1]Esquemas_NORM!$A$2:$A$126,0),MATCH(AC$4,[1]Esquemas_NORM!$H$1:$K$1,0)))</f>
        <v>A la fecha no ha conformado un EAT asociación - unión</v>
      </c>
      <c r="AD330" s="23"/>
    </row>
    <row r="331" spans="1:30" x14ac:dyDescent="0.25">
      <c r="A331" s="24">
        <v>2017</v>
      </c>
      <c r="B331" s="25" t="s">
        <v>36</v>
      </c>
      <c r="C331" s="25" t="s">
        <v>200</v>
      </c>
      <c r="D331" s="25" t="s">
        <v>215</v>
      </c>
      <c r="E331" s="25" t="s">
        <v>216</v>
      </c>
      <c r="F331" s="25" t="s">
        <v>203</v>
      </c>
      <c r="G331" s="25" t="s">
        <v>217</v>
      </c>
      <c r="H331" s="26">
        <v>41.973024180797374</v>
      </c>
      <c r="I331" s="26">
        <v>0</v>
      </c>
      <c r="J331" s="27">
        <v>41.973024180797374</v>
      </c>
      <c r="K331" s="26">
        <v>25.348886713853041</v>
      </c>
      <c r="L331" s="26">
        <v>25.953933759505585</v>
      </c>
      <c r="M331" s="27">
        <v>51.302820473358622</v>
      </c>
      <c r="N331" s="26">
        <v>21.652932687882362</v>
      </c>
      <c r="O331" s="26">
        <v>119.53371820154698</v>
      </c>
      <c r="P331" s="26">
        <v>15.125054382520638</v>
      </c>
      <c r="Q331" s="26">
        <v>20.900500825864405</v>
      </c>
      <c r="R331" s="26">
        <v>79.138318821652263</v>
      </c>
      <c r="S331" s="26">
        <v>49.506135018155511</v>
      </c>
      <c r="T331" s="26">
        <v>72.800312919208167</v>
      </c>
      <c r="U331" s="26">
        <v>21.215065907155779</v>
      </c>
      <c r="V331" s="27">
        <v>399.87203876398615</v>
      </c>
      <c r="W331" s="27">
        <v>501.32807401432734</v>
      </c>
      <c r="X331" s="26">
        <v>48.855397835780067</v>
      </c>
      <c r="Y331" s="28">
        <v>550.19554748460564</v>
      </c>
      <c r="Z331" s="17" t="str">
        <f>SUBSTITUTE(SUBSTITUTE(SUBSTITUTE(SUBSTITUTE(IF(E331="","",VLOOKUP(E331,[1]Esquemas_NORM!$A$2:$H$126,8,FALSE)),"PROVINCIA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31" s="17" t="str">
        <f>IF($E331="","",INDEX([1]Esquemas_NORM!$H$2:$K$126,MATCH($E331,[1]Esquemas_NORM!$A$2:$A$126,0),MATCH(AA$4,[1]Esquemas_NORM!$H$1:$K$1,0)))</f>
        <v>A la fecha no ha conformado un EAT Región</v>
      </c>
      <c r="AB331" s="17" t="str">
        <f>IF($E331="","",INDEX([1]Esquemas_NORM!$H$2:$K$126,MATCH($E331,[1]Esquemas_NORM!$A$2:$A$126,0),MATCH(AB$4,[1]Esquemas_NORM!$H$1:$K$1,0)))</f>
        <v>A la fecha no ha conformado un EAT Área Metropolitana</v>
      </c>
      <c r="AC331" s="17" t="str">
        <f>IF($E331="","",INDEX([1]Esquemas_NORM!$H$2:$K$126,MATCH($E331,[1]Esquemas_NORM!$A$2:$A$126,0),MATCH(AC$4,[1]Esquemas_NORM!$H$1:$K$1,0)))</f>
        <v>MUNICIPIOS ASOCIADOS DEL ALTIPLANO DEL ORIENTE ANTIOQUEÑO - MASORA</v>
      </c>
      <c r="AD331" s="23"/>
    </row>
    <row r="332" spans="1:30" x14ac:dyDescent="0.25">
      <c r="A332" s="24">
        <v>2017</v>
      </c>
      <c r="B332" s="25" t="s">
        <v>36</v>
      </c>
      <c r="C332" s="25" t="s">
        <v>200</v>
      </c>
      <c r="D332" s="25" t="s">
        <v>205</v>
      </c>
      <c r="E332" s="25" t="s">
        <v>218</v>
      </c>
      <c r="F332" s="25" t="s">
        <v>203</v>
      </c>
      <c r="G332" s="25" t="s">
        <v>219</v>
      </c>
      <c r="H332" s="26">
        <v>171.50473818215039</v>
      </c>
      <c r="I332" s="26">
        <v>0</v>
      </c>
      <c r="J332" s="27">
        <v>171.50473818215039</v>
      </c>
      <c r="K332" s="26">
        <v>3.8101574654854926</v>
      </c>
      <c r="L332" s="26">
        <v>27.823703500798793</v>
      </c>
      <c r="M332" s="27">
        <v>31.633860966284285</v>
      </c>
      <c r="N332" s="26">
        <v>5.0024763772138403</v>
      </c>
      <c r="O332" s="26">
        <v>27.284029210335941</v>
      </c>
      <c r="P332" s="26">
        <v>6.5290900345165053</v>
      </c>
      <c r="Q332" s="26">
        <v>2.7383749376639508</v>
      </c>
      <c r="R332" s="26">
        <v>26.730099353302148</v>
      </c>
      <c r="S332" s="26">
        <v>16.105022158216673</v>
      </c>
      <c r="T332" s="26">
        <v>25.701249978358216</v>
      </c>
      <c r="U332" s="26">
        <v>8.8636300733683644</v>
      </c>
      <c r="V332" s="27">
        <v>118.95397212297564</v>
      </c>
      <c r="W332" s="27">
        <v>329.81483305543713</v>
      </c>
      <c r="X332" s="26">
        <v>32.14109824739699</v>
      </c>
      <c r="Y332" s="28">
        <v>361.96387564822908</v>
      </c>
      <c r="Z332" s="17" t="str">
        <f>SUBSTITUTE(SUBSTITUTE(SUBSTITUTE(SUBSTITUTE(IF(E332="","",VLOOKUP(E332,[1]Esquemas_NORM!$A$2:$H$126,8,FALSE)),"PROVINCIA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32" s="17" t="str">
        <f>IF($E332="","",INDEX([1]Esquemas_NORM!$H$2:$K$126,MATCH($E332,[1]Esquemas_NORM!$A$2:$A$126,0),MATCH(AA$4,[1]Esquemas_NORM!$H$1:$K$1,0)))</f>
        <v>A la fecha no ha conformado un EAT Región</v>
      </c>
      <c r="AB332" s="17" t="str">
        <f>IF($E332="","",INDEX([1]Esquemas_NORM!$H$2:$K$126,MATCH($E332,[1]Esquemas_NORM!$A$2:$A$126,0),MATCH(AB$4,[1]Esquemas_NORM!$H$1:$K$1,0)))</f>
        <v>A la fecha no ha conformado un EAT Área Metropolitana</v>
      </c>
      <c r="AC332" s="17" t="str">
        <f>IF($E332="","",INDEX([1]Esquemas_NORM!$H$2:$K$126,MATCH($E332,[1]Esquemas_NORM!$A$2:$A$126,0),MATCH(AC$4,[1]Esquemas_NORM!$H$1:$K$1,0)))</f>
        <v>A la fecha no ha conformado un EAT asociación - unión</v>
      </c>
      <c r="AD332" s="23"/>
    </row>
    <row r="333" spans="1:30" x14ac:dyDescent="0.25">
      <c r="A333" s="24">
        <v>2017</v>
      </c>
      <c r="B333" s="25" t="s">
        <v>36</v>
      </c>
      <c r="C333" s="25" t="s">
        <v>200</v>
      </c>
      <c r="D333" s="25" t="s">
        <v>215</v>
      </c>
      <c r="E333" s="25" t="s">
        <v>220</v>
      </c>
      <c r="F333" s="25" t="s">
        <v>203</v>
      </c>
      <c r="G333" s="25" t="s">
        <v>221</v>
      </c>
      <c r="H333" s="26">
        <v>39.231720382910105</v>
      </c>
      <c r="I333" s="26">
        <v>5.6648859644609596E-3</v>
      </c>
      <c r="J333" s="27">
        <v>39.237385268874569</v>
      </c>
      <c r="K333" s="26">
        <v>24.158645010627477</v>
      </c>
      <c r="L333" s="26">
        <v>23.093639503001263</v>
      </c>
      <c r="M333" s="27">
        <v>47.252284513628737</v>
      </c>
      <c r="N333" s="26">
        <v>22.386170953415672</v>
      </c>
      <c r="O333" s="26">
        <v>80.25267094907673</v>
      </c>
      <c r="P333" s="26">
        <v>11.241821558486603</v>
      </c>
      <c r="Q333" s="26">
        <v>4.3631969779135584</v>
      </c>
      <c r="R333" s="26">
        <v>72.03518640221732</v>
      </c>
      <c r="S333" s="26">
        <v>42.647803232603437</v>
      </c>
      <c r="T333" s="26">
        <v>48.105815109356676</v>
      </c>
      <c r="U333" s="26">
        <v>13.553415789439489</v>
      </c>
      <c r="V333" s="27">
        <v>294.58608097250954</v>
      </c>
      <c r="W333" s="27">
        <v>387.0927544550575</v>
      </c>
      <c r="X333" s="26">
        <v>37.722943314979211</v>
      </c>
      <c r="Y333" s="28">
        <v>424.82502178531132</v>
      </c>
      <c r="Z333" s="17" t="str">
        <f>SUBSTITUTE(SUBSTITUTE(SUBSTITUTE(SUBSTITUTE(IF(E333="","",VLOOKUP(E333,[1]Esquemas_NORM!$A$2:$H$126,8,FALSE)),"PROVINCIA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33" s="17" t="str">
        <f>IF($E333="","",INDEX([1]Esquemas_NORM!$H$2:$K$126,MATCH($E333,[1]Esquemas_NORM!$A$2:$A$126,0),MATCH(AA$4,[1]Esquemas_NORM!$H$1:$K$1,0)))</f>
        <v>A la fecha no ha conformado un EAT Región</v>
      </c>
      <c r="AB333" s="17" t="str">
        <f>IF($E333="","",INDEX([1]Esquemas_NORM!$H$2:$K$126,MATCH($E333,[1]Esquemas_NORM!$A$2:$A$126,0),MATCH(AB$4,[1]Esquemas_NORM!$H$1:$K$1,0)))</f>
        <v>A la fecha no ha conformado un EAT Área Metropolitana</v>
      </c>
      <c r="AC333" s="17" t="str">
        <f>IF($E333="","",INDEX([1]Esquemas_NORM!$H$2:$K$126,MATCH($E333,[1]Esquemas_NORM!$A$2:$A$126,0),MATCH(AC$4,[1]Esquemas_NORM!$H$1:$K$1,0)))</f>
        <v>MUNICIPIOS ASOCIADOS DEL ALTIPLANO DEL ORIENTE ANTIOQUEÑO - MASORA</v>
      </c>
      <c r="AD333" s="23"/>
    </row>
    <row r="334" spans="1:30" x14ac:dyDescent="0.25">
      <c r="A334" s="24">
        <v>2017</v>
      </c>
      <c r="B334" s="25" t="s">
        <v>36</v>
      </c>
      <c r="C334" s="25" t="s">
        <v>200</v>
      </c>
      <c r="D334" s="25" t="s">
        <v>215</v>
      </c>
      <c r="E334" s="25" t="s">
        <v>222</v>
      </c>
      <c r="F334" s="25" t="s">
        <v>203</v>
      </c>
      <c r="G334" s="25" t="s">
        <v>223</v>
      </c>
      <c r="H334" s="26">
        <v>89.766352151409791</v>
      </c>
      <c r="I334" s="26">
        <v>0</v>
      </c>
      <c r="J334" s="27">
        <v>89.766352151409791</v>
      </c>
      <c r="K334" s="26">
        <v>22.770561135440115</v>
      </c>
      <c r="L334" s="26">
        <v>19.095252755645962</v>
      </c>
      <c r="M334" s="27">
        <v>41.865813891086077</v>
      </c>
      <c r="N334" s="26">
        <v>7.9517767108254045</v>
      </c>
      <c r="O334" s="26">
        <v>72.500247144279712</v>
      </c>
      <c r="P334" s="26">
        <v>7.4335217629808135</v>
      </c>
      <c r="Q334" s="26">
        <v>11.694250256052493</v>
      </c>
      <c r="R334" s="26">
        <v>40.541177932838174</v>
      </c>
      <c r="S334" s="26">
        <v>24.244523780869557</v>
      </c>
      <c r="T334" s="26">
        <v>31.528038049228471</v>
      </c>
      <c r="U334" s="26">
        <v>8.7641792112075745</v>
      </c>
      <c r="V334" s="27">
        <v>204.65771484828221</v>
      </c>
      <c r="W334" s="27">
        <v>342.5711808431596</v>
      </c>
      <c r="X334" s="26">
        <v>33.384229199761343</v>
      </c>
      <c r="Y334" s="28">
        <v>375.96366165415901</v>
      </c>
      <c r="Z334" s="17" t="str">
        <f>SUBSTITUTE(SUBSTITUTE(SUBSTITUTE(SUBSTITUTE(IF(E334="","",VLOOKUP(E334,[1]Esquemas_NORM!$A$2:$H$126,8,FALSE)),"PROVINCIA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34" s="17" t="str">
        <f>IF($E334="","",INDEX([1]Esquemas_NORM!$H$2:$K$126,MATCH($E334,[1]Esquemas_NORM!$A$2:$A$126,0),MATCH(AA$4,[1]Esquemas_NORM!$H$1:$K$1,0)))</f>
        <v>Región de Planeación y Gestión Aeroportuaria de Oriente</v>
      </c>
      <c r="AB334" s="17" t="str">
        <f>IF($E334="","",INDEX([1]Esquemas_NORM!$H$2:$K$126,MATCH($E334,[1]Esquemas_NORM!$A$2:$A$126,0),MATCH(AB$4,[1]Esquemas_NORM!$H$1:$K$1,0)))</f>
        <v>A la fecha no ha conformado un EAT Área Metropolitana</v>
      </c>
      <c r="AC334" s="17" t="str">
        <f>IF($E334="","",INDEX([1]Esquemas_NORM!$H$2:$K$126,MATCH($E334,[1]Esquemas_NORM!$A$2:$A$126,0),MATCH(AC$4,[1]Esquemas_NORM!$H$1:$K$1,0)))</f>
        <v>MUNICIPIOS ASOCIADOS DEL ALTIPLANO DEL ORIENTE ANTIOQUEÑO - MASORA</v>
      </c>
      <c r="AD334" s="23"/>
    </row>
    <row r="335" spans="1:30" x14ac:dyDescent="0.25">
      <c r="A335" s="24">
        <v>2017</v>
      </c>
      <c r="B335" s="25" t="s">
        <v>36</v>
      </c>
      <c r="C335" s="25" t="s">
        <v>200</v>
      </c>
      <c r="D335" s="25" t="s">
        <v>205</v>
      </c>
      <c r="E335" s="25" t="s">
        <v>224</v>
      </c>
      <c r="F335" s="25" t="s">
        <v>203</v>
      </c>
      <c r="G335" s="25" t="s">
        <v>225</v>
      </c>
      <c r="H335" s="26">
        <v>7.8130223005384689</v>
      </c>
      <c r="I335" s="26">
        <v>0</v>
      </c>
      <c r="J335" s="27">
        <v>7.8130223005384689</v>
      </c>
      <c r="K335" s="26">
        <v>1.6301910373802873</v>
      </c>
      <c r="L335" s="26">
        <v>4.4909584895618524</v>
      </c>
      <c r="M335" s="27">
        <v>6.1211495269421397</v>
      </c>
      <c r="N335" s="26">
        <v>3.7138414311889223</v>
      </c>
      <c r="O335" s="26">
        <v>6.671726280218226</v>
      </c>
      <c r="P335" s="26">
        <v>2.7754722712990878</v>
      </c>
      <c r="Q335" s="26">
        <v>2.2267312574487246</v>
      </c>
      <c r="R335" s="26">
        <v>14.620147588572749</v>
      </c>
      <c r="S335" s="26">
        <v>7.7824044063446252</v>
      </c>
      <c r="T335" s="26">
        <v>12.344026912905097</v>
      </c>
      <c r="U335" s="26">
        <v>1.8328028243903831</v>
      </c>
      <c r="V335" s="27">
        <v>51.967152972367813</v>
      </c>
      <c r="W335" s="27">
        <v>66.766310918012181</v>
      </c>
      <c r="X335" s="26">
        <v>6.5065071178000489</v>
      </c>
      <c r="Y335" s="28">
        <v>73.274426255278144</v>
      </c>
      <c r="Z335" s="17" t="str">
        <f>SUBSTITUTE(SUBSTITUTE(SUBSTITUTE(SUBSTITUTE(IF(E335="","",VLOOKUP(E335,[1]Esquemas_NORM!$A$2:$H$126,8,FALSE)),"PROVINCIA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35" s="17" t="str">
        <f>IF($E335="","",INDEX([1]Esquemas_NORM!$H$2:$K$126,MATCH($E335,[1]Esquemas_NORM!$A$2:$A$126,0),MATCH(AA$4,[1]Esquemas_NORM!$H$1:$K$1,0)))</f>
        <v>A la fecha no ha conformado un EAT Región</v>
      </c>
      <c r="AB335" s="17" t="str">
        <f>IF($E335="","",INDEX([1]Esquemas_NORM!$H$2:$K$126,MATCH($E335,[1]Esquemas_NORM!$A$2:$A$126,0),MATCH(AB$4,[1]Esquemas_NORM!$H$1:$K$1,0)))</f>
        <v>A la fecha no ha conformado un EAT Área Metropolitana</v>
      </c>
      <c r="AC335" s="17" t="str">
        <f>IF($E335="","",INDEX([1]Esquemas_NORM!$H$2:$K$126,MATCH($E335,[1]Esquemas_NORM!$A$2:$A$126,0),MATCH(AC$4,[1]Esquemas_NORM!$H$1:$K$1,0)))</f>
        <v>A la fecha no ha conformado un EAT asociación - unión</v>
      </c>
      <c r="AD335" s="23"/>
    </row>
    <row r="336" spans="1:30" x14ac:dyDescent="0.25">
      <c r="A336" s="24">
        <v>2017</v>
      </c>
      <c r="B336" s="25" t="s">
        <v>36</v>
      </c>
      <c r="C336" s="25" t="s">
        <v>200</v>
      </c>
      <c r="D336" s="25" t="s">
        <v>215</v>
      </c>
      <c r="E336" s="25" t="s">
        <v>226</v>
      </c>
      <c r="F336" s="25" t="s">
        <v>203</v>
      </c>
      <c r="G336" s="25" t="s">
        <v>227</v>
      </c>
      <c r="H336" s="26">
        <v>59.779904204272995</v>
      </c>
      <c r="I336" s="26">
        <v>0</v>
      </c>
      <c r="J336" s="27">
        <v>59.779904204272995</v>
      </c>
      <c r="K336" s="26">
        <v>543.49679237010832</v>
      </c>
      <c r="L336" s="26">
        <v>156.21145165432159</v>
      </c>
      <c r="M336" s="27">
        <v>699.70824402442986</v>
      </c>
      <c r="N336" s="26">
        <v>28.936250552810051</v>
      </c>
      <c r="O336" s="26">
        <v>130.43353044942543</v>
      </c>
      <c r="P336" s="26">
        <v>12.218708285502732</v>
      </c>
      <c r="Q336" s="26">
        <v>15.534456551093585</v>
      </c>
      <c r="R336" s="26">
        <v>81.450863598823645</v>
      </c>
      <c r="S336" s="26">
        <v>72.167581269571201</v>
      </c>
      <c r="T336" s="26">
        <v>42.089753462938518</v>
      </c>
      <c r="U336" s="26">
        <v>15.01582316435516</v>
      </c>
      <c r="V336" s="27">
        <v>397.84696733452029</v>
      </c>
      <c r="W336" s="27">
        <v>1123.4684366651318</v>
      </c>
      <c r="X336" s="26">
        <v>109.48418864658778</v>
      </c>
      <c r="Y336" s="28">
        <v>1232.9796866212982</v>
      </c>
      <c r="Z336" s="17" t="str">
        <f>SUBSTITUTE(SUBSTITUTE(SUBSTITUTE(SUBSTITUTE(IF(E336="","",VLOOKUP(E336,[1]Esquemas_NORM!$A$2:$H$126,8,FALSE)),"PROVINCIA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36" s="17" t="str">
        <f>IF($E336="","",INDEX([1]Esquemas_NORM!$H$2:$K$126,MATCH($E336,[1]Esquemas_NORM!$A$2:$A$126,0),MATCH(AA$4,[1]Esquemas_NORM!$H$1:$K$1,0)))</f>
        <v>A la fecha no ha conformado un EAT Región</v>
      </c>
      <c r="AB336" s="17" t="str">
        <f>IF($E336="","",INDEX([1]Esquemas_NORM!$H$2:$K$126,MATCH($E336,[1]Esquemas_NORM!$A$2:$A$126,0),MATCH(AB$4,[1]Esquemas_NORM!$H$1:$K$1,0)))</f>
        <v>A la fecha no ha conformado un EAT Área Metropolitana</v>
      </c>
      <c r="AC336" s="17" t="str">
        <f>IF($E336="","",INDEX([1]Esquemas_NORM!$H$2:$K$126,MATCH($E336,[1]Esquemas_NORM!$A$2:$A$126,0),MATCH(AC$4,[1]Esquemas_NORM!$H$1:$K$1,0)))</f>
        <v>MUNICIPIOS ASOCIADOS DEL ALTIPLANO DEL ORIENTE ANTIOQUEÑO - MASORA</v>
      </c>
      <c r="AD336" s="23"/>
    </row>
    <row r="337" spans="1:30" x14ac:dyDescent="0.25">
      <c r="A337" s="24">
        <v>2017</v>
      </c>
      <c r="B337" s="25" t="s">
        <v>36</v>
      </c>
      <c r="C337" s="25" t="s">
        <v>200</v>
      </c>
      <c r="D337" s="25" t="s">
        <v>205</v>
      </c>
      <c r="E337" s="25" t="s">
        <v>228</v>
      </c>
      <c r="F337" s="25" t="s">
        <v>203</v>
      </c>
      <c r="G337" s="25" t="s">
        <v>229</v>
      </c>
      <c r="H337" s="26">
        <v>5.1388048967393569</v>
      </c>
      <c r="I337" s="26">
        <v>0</v>
      </c>
      <c r="J337" s="27">
        <v>5.1388048967393569</v>
      </c>
      <c r="K337" s="26">
        <v>2.3200958529754763</v>
      </c>
      <c r="L337" s="26">
        <v>23.537863329029111</v>
      </c>
      <c r="M337" s="27">
        <v>25.857959182004588</v>
      </c>
      <c r="N337" s="26">
        <v>11.017139632146744</v>
      </c>
      <c r="O337" s="26">
        <v>80.703526288275597</v>
      </c>
      <c r="P337" s="26">
        <v>9.4092651606171209</v>
      </c>
      <c r="Q337" s="26">
        <v>5.9959803641754537</v>
      </c>
      <c r="R337" s="26">
        <v>52.560247378039399</v>
      </c>
      <c r="S337" s="26">
        <v>44.763283433008581</v>
      </c>
      <c r="T337" s="26">
        <v>34.606541521371497</v>
      </c>
      <c r="U337" s="26">
        <v>9.81705516202328</v>
      </c>
      <c r="V337" s="27">
        <v>248.87303893965768</v>
      </c>
      <c r="W337" s="27">
        <v>284.93628821583633</v>
      </c>
      <c r="X337" s="26">
        <v>27.767596590323389</v>
      </c>
      <c r="Y337" s="28">
        <v>312.71074814904853</v>
      </c>
      <c r="Z337" s="17" t="str">
        <f>SUBSTITUTE(SUBSTITUTE(SUBSTITUTE(SUBSTITUTE(IF(E337="","",VLOOKUP(E337,[1]Esquemas_NORM!$A$2:$H$126,8,FALSE)),"PROVINCIA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37" s="17" t="str">
        <f>IF($E337="","",INDEX([1]Esquemas_NORM!$H$2:$K$126,MATCH($E337,[1]Esquemas_NORM!$A$2:$A$126,0),MATCH(AA$4,[1]Esquemas_NORM!$H$1:$K$1,0)))</f>
        <v>A la fecha no ha conformado un EAT Región</v>
      </c>
      <c r="AB337" s="17" t="str">
        <f>IF($E337="","",INDEX([1]Esquemas_NORM!$H$2:$K$126,MATCH($E337,[1]Esquemas_NORM!$A$2:$A$126,0),MATCH(AB$4,[1]Esquemas_NORM!$H$1:$K$1,0)))</f>
        <v>A la fecha no ha conformado un EAT Área Metropolitana</v>
      </c>
      <c r="AC337" s="17" t="str">
        <f>IF($E337="","",INDEX([1]Esquemas_NORM!$H$2:$K$126,MATCH($E337,[1]Esquemas_NORM!$A$2:$A$126,0),MATCH(AC$4,[1]Esquemas_NORM!$H$1:$K$1,0)))</f>
        <v>A la fecha no ha conformado un EAT asociación - unión</v>
      </c>
      <c r="AD337" s="23"/>
    </row>
    <row r="338" spans="1:30" x14ac:dyDescent="0.25">
      <c r="A338" s="24">
        <v>2017</v>
      </c>
      <c r="B338" s="25" t="s">
        <v>36</v>
      </c>
      <c r="C338" s="25" t="s">
        <v>200</v>
      </c>
      <c r="D338" s="25" t="s">
        <v>215</v>
      </c>
      <c r="E338" s="25" t="s">
        <v>230</v>
      </c>
      <c r="F338" s="25" t="s">
        <v>203</v>
      </c>
      <c r="G338" s="25" t="s">
        <v>231</v>
      </c>
      <c r="H338" s="26">
        <v>35.411626715765756</v>
      </c>
      <c r="I338" s="26">
        <v>0</v>
      </c>
      <c r="J338" s="27">
        <v>35.411626715765756</v>
      </c>
      <c r="K338" s="26">
        <v>51.559719644425691</v>
      </c>
      <c r="L338" s="26">
        <v>39.082569509829355</v>
      </c>
      <c r="M338" s="27">
        <v>90.642289154255053</v>
      </c>
      <c r="N338" s="26">
        <v>34.125355265045968</v>
      </c>
      <c r="O338" s="26">
        <v>175.31304014369297</v>
      </c>
      <c r="P338" s="26">
        <v>18.007036968885355</v>
      </c>
      <c r="Q338" s="26">
        <v>26.993396658481942</v>
      </c>
      <c r="R338" s="26">
        <v>124.45183565733005</v>
      </c>
      <c r="S338" s="26">
        <v>64.471742933160442</v>
      </c>
      <c r="T338" s="26">
        <v>70.760442022970352</v>
      </c>
      <c r="U338" s="26">
        <v>24.141769853292669</v>
      </c>
      <c r="V338" s="27">
        <v>538.26461950285977</v>
      </c>
      <c r="W338" s="27">
        <v>673.22238401112793</v>
      </c>
      <c r="X338" s="26">
        <v>65.606833344574198</v>
      </c>
      <c r="Y338" s="28">
        <v>738.84543345822397</v>
      </c>
      <c r="Z338" s="17" t="str">
        <f>SUBSTITUTE(SUBSTITUTE(SUBSTITUTE(SUBSTITUTE(IF(E338="","",VLOOKUP(E338,[1]Esquemas_NORM!$A$2:$H$126,8,FALSE)),"PROVINCIA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38" s="17" t="str">
        <f>IF($E338="","",INDEX([1]Esquemas_NORM!$H$2:$K$126,MATCH($E338,[1]Esquemas_NORM!$A$2:$A$126,0),MATCH(AA$4,[1]Esquemas_NORM!$H$1:$K$1,0)))</f>
        <v>Región de Planeación y Gestión Aeroportuaria de Oriente</v>
      </c>
      <c r="AB338" s="17" t="str">
        <f>IF($E338="","",INDEX([1]Esquemas_NORM!$H$2:$K$126,MATCH($E338,[1]Esquemas_NORM!$A$2:$A$126,0),MATCH(AB$4,[1]Esquemas_NORM!$H$1:$K$1,0)))</f>
        <v>A la fecha no ha conformado un EAT Área Metropolitana</v>
      </c>
      <c r="AC338" s="17" t="str">
        <f>IF($E338="","",INDEX([1]Esquemas_NORM!$H$2:$K$126,MATCH($E338,[1]Esquemas_NORM!$A$2:$A$126,0),MATCH(AC$4,[1]Esquemas_NORM!$H$1:$K$1,0)))</f>
        <v>MUNICIPIOS ASOCIADOS DEL ALTIPLANO DEL ORIENTE ANTIOQUEÑO - MASORA</v>
      </c>
      <c r="AD338" s="23"/>
    </row>
    <row r="339" spans="1:30" x14ac:dyDescent="0.25">
      <c r="A339" s="24">
        <v>2017</v>
      </c>
      <c r="B339" s="25" t="s">
        <v>36</v>
      </c>
      <c r="C339" s="25" t="s">
        <v>200</v>
      </c>
      <c r="D339" s="25" t="s">
        <v>215</v>
      </c>
      <c r="E339" s="25" t="s">
        <v>232</v>
      </c>
      <c r="F339" s="25" t="s">
        <v>203</v>
      </c>
      <c r="G339" s="25" t="s">
        <v>233</v>
      </c>
      <c r="H339" s="26">
        <v>18.037688197029052</v>
      </c>
      <c r="I339" s="26">
        <v>0.16537721685593523</v>
      </c>
      <c r="J339" s="27">
        <v>18.203065413884985</v>
      </c>
      <c r="K339" s="26">
        <v>22.112075002875308</v>
      </c>
      <c r="L339" s="26">
        <v>7.5673879250005811</v>
      </c>
      <c r="M339" s="27">
        <v>29.679462927875889</v>
      </c>
      <c r="N339" s="26">
        <v>8.8826696131179652</v>
      </c>
      <c r="O339" s="26">
        <v>51.646378275164558</v>
      </c>
      <c r="P339" s="26">
        <v>6.469827753853802</v>
      </c>
      <c r="Q339" s="26">
        <v>9.4486159096633351</v>
      </c>
      <c r="R339" s="26">
        <v>24.623359291182886</v>
      </c>
      <c r="S339" s="26">
        <v>19.16880920229157</v>
      </c>
      <c r="T339" s="26">
        <v>25.558357934151783</v>
      </c>
      <c r="U339" s="26">
        <v>8.3883586449897116</v>
      </c>
      <c r="V339" s="27">
        <v>154.1863766244156</v>
      </c>
      <c r="W339" s="27">
        <v>204.89848164620005</v>
      </c>
      <c r="X339" s="26">
        <v>19.967756356861777</v>
      </c>
      <c r="Y339" s="28">
        <v>224.8711734521257</v>
      </c>
      <c r="Z339" s="17" t="str">
        <f>SUBSTITUTE(SUBSTITUTE(SUBSTITUTE(SUBSTITUTE(IF(E339="","",VLOOKUP(E339,[1]Esquemas_NORM!$A$2:$H$126,8,FALSE)),"PROVINCIA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339" s="17" t="str">
        <f>IF($E339="","",INDEX([1]Esquemas_NORM!$H$2:$K$126,MATCH($E339,[1]Esquemas_NORM!$A$2:$A$126,0),MATCH(AA$4,[1]Esquemas_NORM!$H$1:$K$1,0)))</f>
        <v>Región de Planeación y Gestión Aeroportuaria de Oriente</v>
      </c>
      <c r="AB339" s="17" t="str">
        <f>IF($E339="","",INDEX([1]Esquemas_NORM!$H$2:$K$126,MATCH($E339,[1]Esquemas_NORM!$A$2:$A$126,0),MATCH(AB$4,[1]Esquemas_NORM!$H$1:$K$1,0)))</f>
        <v>A la fecha no ha conformado un EAT Área Metropolitana</v>
      </c>
      <c r="AC339" s="17" t="str">
        <f>IF($E339="","",INDEX([1]Esquemas_NORM!$H$2:$K$126,MATCH($E339,[1]Esquemas_NORM!$A$2:$A$126,0),MATCH(AC$4,[1]Esquemas_NORM!$H$1:$K$1,0)))</f>
        <v>MUNICIPIOS ASOCIADOS DEL ALTIPLANO DEL ORIENTE ANTIOQUEÑO - MASORA</v>
      </c>
      <c r="AD339" s="23"/>
    </row>
    <row r="340" spans="1:30" x14ac:dyDescent="0.25">
      <c r="A340" s="24">
        <v>2017</v>
      </c>
      <c r="B340" s="25" t="s">
        <v>36</v>
      </c>
      <c r="C340" s="25" t="s">
        <v>200</v>
      </c>
      <c r="D340" s="25" t="s">
        <v>215</v>
      </c>
      <c r="E340" s="25" t="s">
        <v>234</v>
      </c>
      <c r="F340" s="25" t="s">
        <v>203</v>
      </c>
      <c r="G340" s="25" t="s">
        <v>235</v>
      </c>
      <c r="H340" s="26">
        <v>131.72117159236902</v>
      </c>
      <c r="I340" s="26">
        <v>0</v>
      </c>
      <c r="J340" s="27">
        <v>131.72117159236902</v>
      </c>
      <c r="K340" s="26">
        <v>209.88046609675939</v>
      </c>
      <c r="L340" s="26">
        <v>60.480782887048619</v>
      </c>
      <c r="M340" s="27">
        <v>270.36124898380803</v>
      </c>
      <c r="N340" s="26">
        <v>27.508950481333432</v>
      </c>
      <c r="O340" s="26">
        <v>141.65551279568754</v>
      </c>
      <c r="P340" s="26">
        <v>21.927747297804405</v>
      </c>
      <c r="Q340" s="26">
        <v>27.986341708464575</v>
      </c>
      <c r="R340" s="26">
        <v>85.841025990079984</v>
      </c>
      <c r="S340" s="26">
        <v>62.413691833345013</v>
      </c>
      <c r="T340" s="26">
        <v>57.074430892838734</v>
      </c>
      <c r="U340" s="26">
        <v>19.208503649101303</v>
      </c>
      <c r="V340" s="27">
        <v>443.61620464865501</v>
      </c>
      <c r="W340" s="27">
        <v>844.18064227181912</v>
      </c>
      <c r="X340" s="26">
        <v>82.267048787455977</v>
      </c>
      <c r="Y340" s="28">
        <v>926.46802508287169</v>
      </c>
      <c r="Z340" s="17" t="str">
        <f>SUBSTITUTE(SUBSTITUTE(SUBSTITUTE(SUBSTITUTE(IF(E340="","",VLOOKUP(E340,[1]Esquemas_NORM!$A$2:$H$126,8,FALSE)),"PROVINCIA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40" s="17" t="str">
        <f>IF($E340="","",INDEX([1]Esquemas_NORM!$H$2:$K$126,MATCH($E340,[1]Esquemas_NORM!$A$2:$A$126,0),MATCH(AA$4,[1]Esquemas_NORM!$H$1:$K$1,0)))</f>
        <v>A la fecha no ha conformado un EAT Región</v>
      </c>
      <c r="AB340" s="17" t="str">
        <f>IF($E340="","",INDEX([1]Esquemas_NORM!$H$2:$K$126,MATCH($E340,[1]Esquemas_NORM!$A$2:$A$126,0),MATCH(AB$4,[1]Esquemas_NORM!$H$1:$K$1,0)))</f>
        <v>A la fecha no ha conformado un EAT Área Metropolitana</v>
      </c>
      <c r="AC340" s="17" t="str">
        <f>IF($E340="","",INDEX([1]Esquemas_NORM!$H$2:$K$126,MATCH($E340,[1]Esquemas_NORM!$A$2:$A$126,0),MATCH(AC$4,[1]Esquemas_NORM!$H$1:$K$1,0)))</f>
        <v>MUNICIPIOS ASOCIADOS DEL ALTIPLANO DEL ORIENTE ANTIOQUEÑO - MASORA</v>
      </c>
      <c r="AD340" s="23"/>
    </row>
    <row r="341" spans="1:30" x14ac:dyDescent="0.25">
      <c r="A341" s="24">
        <v>2017</v>
      </c>
      <c r="B341" s="25" t="s">
        <v>36</v>
      </c>
      <c r="C341" s="25" t="s">
        <v>200</v>
      </c>
      <c r="D341" s="25" t="s">
        <v>201</v>
      </c>
      <c r="E341" s="25" t="s">
        <v>236</v>
      </c>
      <c r="F341" s="25" t="s">
        <v>203</v>
      </c>
      <c r="G341" s="25" t="s">
        <v>237</v>
      </c>
      <c r="H341" s="26">
        <v>19.962591815476529</v>
      </c>
      <c r="I341" s="26">
        <v>0</v>
      </c>
      <c r="J341" s="27">
        <v>19.962591815476529</v>
      </c>
      <c r="K341" s="26">
        <v>0.76313467783932931</v>
      </c>
      <c r="L341" s="26">
        <v>11.907789404306239</v>
      </c>
      <c r="M341" s="27">
        <v>12.670924082145568</v>
      </c>
      <c r="N341" s="26">
        <v>0.84870500776426616</v>
      </c>
      <c r="O341" s="26">
        <v>9.8508582487742196</v>
      </c>
      <c r="P341" s="26">
        <v>7.6905583955613324</v>
      </c>
      <c r="Q341" s="26">
        <v>1.7749704086705544</v>
      </c>
      <c r="R341" s="26">
        <v>7.0210864738290191</v>
      </c>
      <c r="S341" s="26">
        <v>13.397201028937568</v>
      </c>
      <c r="T341" s="26">
        <v>15.102329845791283</v>
      </c>
      <c r="U341" s="26">
        <v>1.6258492864186385</v>
      </c>
      <c r="V341" s="27">
        <v>57.311558695746875</v>
      </c>
      <c r="W341" s="27">
        <v>91.255502964047466</v>
      </c>
      <c r="X341" s="26">
        <v>8.8930266089303434</v>
      </c>
      <c r="Y341" s="28">
        <v>100.15072767070436</v>
      </c>
      <c r="Z341" s="17" t="str">
        <f>SUBSTITUTE(SUBSTITUTE(SUBSTITUTE(SUBSTITUTE(IF(E341="","",VLOOKUP(E341,[1]Esquemas_NORM!$A$2:$H$126,8,FALSE)),"PROVINCIA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341" s="17" t="str">
        <f>IF($E341="","",INDEX([1]Esquemas_NORM!$H$2:$K$126,MATCH($E341,[1]Esquemas_NORM!$A$2:$A$126,0),MATCH(AA$4,[1]Esquemas_NORM!$H$1:$K$1,0)))</f>
        <v>A la fecha no ha conformado un EAT Región</v>
      </c>
      <c r="AB341" s="17" t="str">
        <f>IF($E341="","",INDEX([1]Esquemas_NORM!$H$2:$K$126,MATCH($E341,[1]Esquemas_NORM!$A$2:$A$126,0),MATCH(AB$4,[1]Esquemas_NORM!$H$1:$K$1,0)))</f>
        <v>A la fecha no ha conformado un EAT Área Metropolitana</v>
      </c>
      <c r="AC341" s="17" t="str">
        <f>IF($E341="","",INDEX([1]Esquemas_NORM!$H$2:$K$126,MATCH($E341,[1]Esquemas_NORM!$A$2:$A$126,0),MATCH(AC$4,[1]Esquemas_NORM!$H$1:$K$1,0)))</f>
        <v>MUNICIPIOS UNIDOS DEL SUR DE ANTIOQUIA - MUSA</v>
      </c>
      <c r="AD341" s="23"/>
    </row>
    <row r="342" spans="1:30" x14ac:dyDescent="0.25">
      <c r="A342" s="24">
        <v>2017</v>
      </c>
      <c r="B342" s="25" t="s">
        <v>36</v>
      </c>
      <c r="C342" s="25" t="s">
        <v>200</v>
      </c>
      <c r="D342" s="25" t="s">
        <v>215</v>
      </c>
      <c r="E342" s="25" t="s">
        <v>238</v>
      </c>
      <c r="F342" s="25" t="s">
        <v>203</v>
      </c>
      <c r="G342" s="25" t="s">
        <v>239</v>
      </c>
      <c r="H342" s="26">
        <v>45.374101413941055</v>
      </c>
      <c r="I342" s="26">
        <v>0.16392377526610485</v>
      </c>
      <c r="J342" s="27">
        <v>45.538025189207161</v>
      </c>
      <c r="K342" s="26">
        <v>1387.5797408935789</v>
      </c>
      <c r="L342" s="26">
        <v>221.38964598885408</v>
      </c>
      <c r="M342" s="27">
        <v>1608.9693868824329</v>
      </c>
      <c r="N342" s="26">
        <v>86.093408027493481</v>
      </c>
      <c r="O342" s="26">
        <v>447.23027502034068</v>
      </c>
      <c r="P342" s="26">
        <v>25.287029927356379</v>
      </c>
      <c r="Q342" s="26">
        <v>67.486556260925695</v>
      </c>
      <c r="R342" s="26">
        <v>205.99810636874221</v>
      </c>
      <c r="S342" s="26">
        <v>227.06415566051911</v>
      </c>
      <c r="T342" s="26">
        <v>225.10360736687957</v>
      </c>
      <c r="U342" s="26">
        <v>38.385451095754497</v>
      </c>
      <c r="V342" s="27">
        <v>1322.6485897280115</v>
      </c>
      <c r="W342" s="27">
        <v>2908.4017623796362</v>
      </c>
      <c r="X342" s="26">
        <v>283.42941983989442</v>
      </c>
      <c r="Y342" s="28">
        <v>3191.9012377350236</v>
      </c>
      <c r="Z342" s="17" t="str">
        <f>SUBSTITUTE(SUBSTITUTE(SUBSTITUTE(SUBSTITUTE(IF(E342="","",VLOOKUP(E342,[1]Esquemas_NORM!$A$2:$H$126,8,FALSE)),"PROVINCIA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42" s="17" t="str">
        <f>IF($E342="","",INDEX([1]Esquemas_NORM!$H$2:$K$126,MATCH($E342,[1]Esquemas_NORM!$A$2:$A$126,0),MATCH(AA$4,[1]Esquemas_NORM!$H$1:$K$1,0)))</f>
        <v>Región de Planeación y Gestión Aeroportuaria de Oriente</v>
      </c>
      <c r="AB342" s="17" t="str">
        <f>IF($E342="","",INDEX([1]Esquemas_NORM!$H$2:$K$126,MATCH($E342,[1]Esquemas_NORM!$A$2:$A$126,0),MATCH(AB$4,[1]Esquemas_NORM!$H$1:$K$1,0)))</f>
        <v>A la fecha no ha conformado un EAT Área Metropolitana</v>
      </c>
      <c r="AC342" s="17" t="str">
        <f>IF($E342="","",INDEX([1]Esquemas_NORM!$H$2:$K$126,MATCH($E342,[1]Esquemas_NORM!$A$2:$A$126,0),MATCH(AC$4,[1]Esquemas_NORM!$H$1:$K$1,0)))</f>
        <v>MUNICIPIOS ASOCIADOS DEL ALTIPLANO DEL ORIENTE ANTIOQUEÑO - MASORA</v>
      </c>
      <c r="AD342" s="23"/>
    </row>
    <row r="343" spans="1:30" x14ac:dyDescent="0.25">
      <c r="A343" s="24">
        <v>2017</v>
      </c>
      <c r="B343" s="25" t="s">
        <v>36</v>
      </c>
      <c r="C343" s="25" t="s">
        <v>200</v>
      </c>
      <c r="D343" s="25" t="s">
        <v>205</v>
      </c>
      <c r="E343" s="25" t="s">
        <v>240</v>
      </c>
      <c r="F343" s="25" t="s">
        <v>203</v>
      </c>
      <c r="G343" s="25" t="s">
        <v>241</v>
      </c>
      <c r="H343" s="26">
        <v>16.204975340507399</v>
      </c>
      <c r="I343" s="26">
        <v>0.3927443627364301</v>
      </c>
      <c r="J343" s="27">
        <v>16.597719703243829</v>
      </c>
      <c r="K343" s="26">
        <v>26.160630025540222</v>
      </c>
      <c r="L343" s="26">
        <v>30.709354937396764</v>
      </c>
      <c r="M343" s="27">
        <v>56.869984962936982</v>
      </c>
      <c r="N343" s="26">
        <v>467.14806015705221</v>
      </c>
      <c r="O343" s="26">
        <v>16.009335483103914</v>
      </c>
      <c r="P343" s="26">
        <v>9.1647168046254226</v>
      </c>
      <c r="Q343" s="26">
        <v>2.420756866372562</v>
      </c>
      <c r="R343" s="26">
        <v>11.984755625069146</v>
      </c>
      <c r="S343" s="26">
        <v>13.484782329878783</v>
      </c>
      <c r="T343" s="26">
        <v>15.130549937358676</v>
      </c>
      <c r="U343" s="26">
        <v>2.6192329559735259</v>
      </c>
      <c r="V343" s="27">
        <v>537.96219015943427</v>
      </c>
      <c r="W343" s="27">
        <v>629.51337891716355</v>
      </c>
      <c r="X343" s="26">
        <v>61.34730561501015</v>
      </c>
      <c r="Y343" s="28">
        <v>690.87584780323209</v>
      </c>
      <c r="Z343" s="17" t="str">
        <f>SUBSTITUTE(SUBSTITUTE(SUBSTITUTE(SUBSTITUTE(IF(E343="","",VLOOKUP(E343,[1]Esquemas_NORM!$A$2:$H$126,8,FALSE)),"PROVINCIA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43" s="17" t="str">
        <f>IF($E343="","",INDEX([1]Esquemas_NORM!$H$2:$K$126,MATCH($E343,[1]Esquemas_NORM!$A$2:$A$126,0),MATCH(AA$4,[1]Esquemas_NORM!$H$1:$K$1,0)))</f>
        <v>A la fecha no ha conformado un EAT Región</v>
      </c>
      <c r="AB343" s="17" t="str">
        <f>IF($E343="","",INDEX([1]Esquemas_NORM!$H$2:$K$126,MATCH($E343,[1]Esquemas_NORM!$A$2:$A$126,0),MATCH(AB$4,[1]Esquemas_NORM!$H$1:$K$1,0)))</f>
        <v>A la fecha no ha conformado un EAT Área Metropolitana</v>
      </c>
      <c r="AC343" s="17" t="str">
        <f>IF($E343="","",INDEX([1]Esquemas_NORM!$H$2:$K$126,MATCH($E343,[1]Esquemas_NORM!$A$2:$A$126,0),MATCH(AC$4,[1]Esquemas_NORM!$H$1:$K$1,0)))</f>
        <v>A la fecha no ha conformado un EAT asociación - unión</v>
      </c>
      <c r="AD343" s="23"/>
    </row>
    <row r="344" spans="1:30" x14ac:dyDescent="0.25">
      <c r="A344" s="24">
        <v>2017</v>
      </c>
      <c r="B344" s="25" t="s">
        <v>36</v>
      </c>
      <c r="C344" s="25" t="s">
        <v>200</v>
      </c>
      <c r="D344" s="25" t="s">
        <v>210</v>
      </c>
      <c r="E344" s="25" t="s">
        <v>242</v>
      </c>
      <c r="F344" s="25" t="s">
        <v>203</v>
      </c>
      <c r="G344" s="25" t="s">
        <v>243</v>
      </c>
      <c r="H344" s="26">
        <v>4.4118292513415858</v>
      </c>
      <c r="I344" s="26">
        <v>9.3618099238862523E-2</v>
      </c>
      <c r="J344" s="27">
        <v>4.5054473505804484</v>
      </c>
      <c r="K344" s="26">
        <v>1.1628846022009536</v>
      </c>
      <c r="L344" s="26">
        <v>4.7411614632157244</v>
      </c>
      <c r="M344" s="27">
        <v>5.9040460654166775</v>
      </c>
      <c r="N344" s="26">
        <v>0.77235368805804849</v>
      </c>
      <c r="O344" s="26">
        <v>5.7700552499093938</v>
      </c>
      <c r="P344" s="26">
        <v>21.137149693264927</v>
      </c>
      <c r="Q344" s="26">
        <v>1.3052030207720846</v>
      </c>
      <c r="R344" s="26">
        <v>6.3066803733046237</v>
      </c>
      <c r="S344" s="26">
        <v>4.9246828687097528</v>
      </c>
      <c r="T344" s="26">
        <v>11.225680755648039</v>
      </c>
      <c r="U344" s="26">
        <v>1.3845858821151722</v>
      </c>
      <c r="V344" s="27">
        <v>52.826391531782036</v>
      </c>
      <c r="W344" s="27">
        <v>64.390945230214385</v>
      </c>
      <c r="X344" s="26">
        <v>6.2750231022454228</v>
      </c>
      <c r="Y344" s="28">
        <v>70.667519335804514</v>
      </c>
      <c r="Z344" s="17" t="str">
        <f>SUBSTITUTE(SUBSTITUTE(SUBSTITUTE(SUBSTITUTE(IF(E344="","",VLOOKUP(E344,[1]Esquemas_NORM!$A$2:$H$126,8,FALSE)),"PROVINCIA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44" s="17" t="str">
        <f>IF($E344="","",INDEX([1]Esquemas_NORM!$H$2:$K$126,MATCH($E344,[1]Esquemas_NORM!$A$2:$A$126,0),MATCH(AA$4,[1]Esquemas_NORM!$H$1:$K$1,0)))</f>
        <v>A la fecha no ha conformado un EAT Región</v>
      </c>
      <c r="AB344" s="17" t="str">
        <f>IF($E344="","",INDEX([1]Esquemas_NORM!$H$2:$K$126,MATCH($E344,[1]Esquemas_NORM!$A$2:$A$126,0),MATCH(AB$4,[1]Esquemas_NORM!$H$1:$K$1,0)))</f>
        <v>A la fecha no ha conformado un EAT Área Metropolitana</v>
      </c>
      <c r="AC344" s="17" t="str">
        <f>IF($E344="","",INDEX([1]Esquemas_NORM!$H$2:$K$126,MATCH($E344,[1]Esquemas_NORM!$A$2:$A$126,0),MATCH(AC$4,[1]Esquemas_NORM!$H$1:$K$1,0)))</f>
        <v>A la fecha no ha conformado un EAT asociación - unión</v>
      </c>
      <c r="AD344" s="23"/>
    </row>
    <row r="345" spans="1:30" x14ac:dyDescent="0.25">
      <c r="A345" s="24">
        <v>2017</v>
      </c>
      <c r="B345" s="25" t="s">
        <v>36</v>
      </c>
      <c r="C345" s="25" t="s">
        <v>200</v>
      </c>
      <c r="D345" s="25" t="s">
        <v>210</v>
      </c>
      <c r="E345" s="25" t="s">
        <v>244</v>
      </c>
      <c r="F345" s="25" t="s">
        <v>203</v>
      </c>
      <c r="G345" s="25" t="s">
        <v>245</v>
      </c>
      <c r="H345" s="26">
        <v>6.2208808781086784</v>
      </c>
      <c r="I345" s="26">
        <v>0.68270665607724546</v>
      </c>
      <c r="J345" s="27">
        <v>6.9035875341859239</v>
      </c>
      <c r="K345" s="26">
        <v>2.548846721429765</v>
      </c>
      <c r="L345" s="26">
        <v>8.1005480348435697</v>
      </c>
      <c r="M345" s="27">
        <v>10.649394756273335</v>
      </c>
      <c r="N345" s="26">
        <v>2.6905369416723937</v>
      </c>
      <c r="O345" s="26">
        <v>16.089083687228023</v>
      </c>
      <c r="P345" s="26">
        <v>5.5207805183588654</v>
      </c>
      <c r="Q345" s="26">
        <v>2.8006312417920691</v>
      </c>
      <c r="R345" s="26">
        <v>9.371199345498102</v>
      </c>
      <c r="S345" s="26">
        <v>23.95689351584026</v>
      </c>
      <c r="T345" s="26">
        <v>17.735780247793247</v>
      </c>
      <c r="U345" s="26">
        <v>3.3111817023964321</v>
      </c>
      <c r="V345" s="27">
        <v>81.4760872005794</v>
      </c>
      <c r="W345" s="27">
        <v>100.4573820887442</v>
      </c>
      <c r="X345" s="26">
        <v>9.7897676628932793</v>
      </c>
      <c r="Y345" s="28">
        <v>110.24956949769124</v>
      </c>
      <c r="Z345" s="17" t="str">
        <f>SUBSTITUTE(SUBSTITUTE(SUBSTITUTE(SUBSTITUTE(IF(E345="","",VLOOKUP(E345,[1]Esquemas_NORM!$A$2:$H$126,8,FALSE)),"PROVINCIA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45" s="17" t="str">
        <f>IF($E345="","",INDEX([1]Esquemas_NORM!$H$2:$K$126,MATCH($E345,[1]Esquemas_NORM!$A$2:$A$126,0),MATCH(AA$4,[1]Esquemas_NORM!$H$1:$K$1,0)))</f>
        <v>A la fecha no ha conformado un EAT Región</v>
      </c>
      <c r="AB345" s="17" t="str">
        <f>IF($E345="","",INDEX([1]Esquemas_NORM!$H$2:$K$126,MATCH($E345,[1]Esquemas_NORM!$A$2:$A$126,0),MATCH(AB$4,[1]Esquemas_NORM!$H$1:$K$1,0)))</f>
        <v>A la fecha no ha conformado un EAT Área Metropolitana</v>
      </c>
      <c r="AC345" s="17" t="str">
        <f>IF($E345="","",INDEX([1]Esquemas_NORM!$H$2:$K$126,MATCH($E345,[1]Esquemas_NORM!$A$2:$A$126,0),MATCH(AC$4,[1]Esquemas_NORM!$H$1:$K$1,0)))</f>
        <v>A la fecha no ha conformado un EAT asociación - unión</v>
      </c>
      <c r="AD345" s="23"/>
    </row>
    <row r="346" spans="1:30" x14ac:dyDescent="0.25">
      <c r="A346" s="24">
        <v>2017</v>
      </c>
      <c r="B346" s="25" t="s">
        <v>36</v>
      </c>
      <c r="C346" s="25" t="s">
        <v>200</v>
      </c>
      <c r="D346" s="25" t="s">
        <v>205</v>
      </c>
      <c r="E346" s="25" t="s">
        <v>246</v>
      </c>
      <c r="F346" s="25" t="s">
        <v>203</v>
      </c>
      <c r="G346" s="25" t="s">
        <v>247</v>
      </c>
      <c r="H346" s="26">
        <v>7.4473097680907676</v>
      </c>
      <c r="I346" s="26">
        <v>0</v>
      </c>
      <c r="J346" s="27">
        <v>7.4473097680907676</v>
      </c>
      <c r="K346" s="26">
        <v>1.2772644497931103</v>
      </c>
      <c r="L346" s="26">
        <v>15.539961353670423</v>
      </c>
      <c r="M346" s="27">
        <v>16.817225803463533</v>
      </c>
      <c r="N346" s="26">
        <v>111.13363529374658</v>
      </c>
      <c r="O346" s="26">
        <v>6.4425692900404306</v>
      </c>
      <c r="P346" s="26">
        <v>4.8217580611075768</v>
      </c>
      <c r="Q346" s="26">
        <v>1.1670889264267617</v>
      </c>
      <c r="R346" s="26">
        <v>6.222879993818097</v>
      </c>
      <c r="S346" s="26">
        <v>3.6425607644863258</v>
      </c>
      <c r="T346" s="26">
        <v>6.3553763779722212</v>
      </c>
      <c r="U346" s="26">
        <v>1.2119693975461885</v>
      </c>
      <c r="V346" s="27">
        <v>140.99783810514418</v>
      </c>
      <c r="W346" s="27">
        <v>169.74098354947935</v>
      </c>
      <c r="X346" s="26">
        <v>16.541589649952385</v>
      </c>
      <c r="Y346" s="28">
        <v>186.28666179965774</v>
      </c>
      <c r="Z346" s="17" t="str">
        <f>SUBSTITUTE(SUBSTITUTE(SUBSTITUTE(SUBSTITUTE(IF(E346="","",VLOOKUP(E346,[1]Esquemas_NORM!$A$2:$H$126,8,FALSE)),"PROVINCIA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46" s="17" t="str">
        <f>IF($E346="","",INDEX([1]Esquemas_NORM!$H$2:$K$126,MATCH($E346,[1]Esquemas_NORM!$A$2:$A$126,0),MATCH(AA$4,[1]Esquemas_NORM!$H$1:$K$1,0)))</f>
        <v>A la fecha no ha conformado un EAT Región</v>
      </c>
      <c r="AB346" s="17" t="str">
        <f>IF($E346="","",INDEX([1]Esquemas_NORM!$H$2:$K$126,MATCH($E346,[1]Esquemas_NORM!$A$2:$A$126,0),MATCH(AB$4,[1]Esquemas_NORM!$H$1:$K$1,0)))</f>
        <v>A la fecha no ha conformado un EAT Área Metropolitana</v>
      </c>
      <c r="AC346" s="17" t="str">
        <f>IF($E346="","",INDEX([1]Esquemas_NORM!$H$2:$K$126,MATCH($E346,[1]Esquemas_NORM!$A$2:$A$126,0),MATCH(AC$4,[1]Esquemas_NORM!$H$1:$K$1,0)))</f>
        <v>A la fecha no ha conformado un EAT asociación - unión</v>
      </c>
      <c r="AD346" s="23"/>
    </row>
    <row r="347" spans="1:30" x14ac:dyDescent="0.25">
      <c r="A347" s="24">
        <v>2017</v>
      </c>
      <c r="B347" s="25" t="s">
        <v>36</v>
      </c>
      <c r="C347" s="25" t="s">
        <v>200</v>
      </c>
      <c r="D347" s="25" t="s">
        <v>215</v>
      </c>
      <c r="E347" s="25" t="s">
        <v>248</v>
      </c>
      <c r="F347" s="25" t="s">
        <v>203</v>
      </c>
      <c r="G347" s="25" t="s">
        <v>249</v>
      </c>
      <c r="H347" s="26">
        <v>59.319917250800863</v>
      </c>
      <c r="I347" s="26">
        <v>0</v>
      </c>
      <c r="J347" s="27">
        <v>59.319917250800863</v>
      </c>
      <c r="K347" s="26">
        <v>4.1977025739879892</v>
      </c>
      <c r="L347" s="26">
        <v>13.843520740908803</v>
      </c>
      <c r="M347" s="27">
        <v>18.04122331489679</v>
      </c>
      <c r="N347" s="26">
        <v>2.5371679533016067</v>
      </c>
      <c r="O347" s="26">
        <v>16.584278300464437</v>
      </c>
      <c r="P347" s="26">
        <v>39.457441837107858</v>
      </c>
      <c r="Q347" s="26">
        <v>1.8075634142687091</v>
      </c>
      <c r="R347" s="26">
        <v>20.351800283854114</v>
      </c>
      <c r="S347" s="26">
        <v>10.621175746451742</v>
      </c>
      <c r="T347" s="26">
        <v>20.567703305976853</v>
      </c>
      <c r="U347" s="26">
        <v>5.4855185021514075</v>
      </c>
      <c r="V347" s="27">
        <v>117.41264934357672</v>
      </c>
      <c r="W347" s="27">
        <v>198.98438408481812</v>
      </c>
      <c r="X347" s="26">
        <v>19.391416023702874</v>
      </c>
      <c r="Y347" s="28">
        <v>218.38059310300429</v>
      </c>
      <c r="Z347" s="17" t="str">
        <f>SUBSTITUTE(SUBSTITUTE(SUBSTITUTE(SUBSTITUTE(IF(E347="","",VLOOKUP(E347,[1]Esquemas_NORM!$A$2:$H$126,8,FALSE)),"PROVINCIA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347" s="17" t="str">
        <f>IF($E347="","",INDEX([1]Esquemas_NORM!$H$2:$K$126,MATCH($E347,[1]Esquemas_NORM!$A$2:$A$126,0),MATCH(AA$4,[1]Esquemas_NORM!$H$1:$K$1,0)))</f>
        <v>A la fecha no ha conformado un EAT Región</v>
      </c>
      <c r="AB347" s="17" t="str">
        <f>IF($E347="","",INDEX([1]Esquemas_NORM!$H$2:$K$126,MATCH($E347,[1]Esquemas_NORM!$A$2:$A$126,0),MATCH(AB$4,[1]Esquemas_NORM!$H$1:$K$1,0)))</f>
        <v>A la fecha no ha conformado un EAT Área Metropolitana</v>
      </c>
      <c r="AC347" s="17" t="str">
        <f>IF($E347="","",INDEX([1]Esquemas_NORM!$H$2:$K$126,MATCH($E347,[1]Esquemas_NORM!$A$2:$A$126,0),MATCH(AC$4,[1]Esquemas_NORM!$H$1:$K$1,0)))</f>
        <v>MUNICIPIOS ASOCIADOS DEL ALTIPLANO DEL ORIENTE ANTIOQUEÑO - MASORA</v>
      </c>
      <c r="AD347" s="23"/>
    </row>
    <row r="348" spans="1:30" x14ac:dyDescent="0.25">
      <c r="A348" s="24">
        <v>2017</v>
      </c>
      <c r="B348" s="25" t="s">
        <v>36</v>
      </c>
      <c r="C348" s="25" t="s">
        <v>200</v>
      </c>
      <c r="D348" s="25" t="s">
        <v>201</v>
      </c>
      <c r="E348" s="25" t="s">
        <v>250</v>
      </c>
      <c r="F348" s="25" t="s">
        <v>203</v>
      </c>
      <c r="G348" s="25" t="s">
        <v>251</v>
      </c>
      <c r="H348" s="26">
        <v>127.05872611644044</v>
      </c>
      <c r="I348" s="26">
        <v>8.7504705230071522</v>
      </c>
      <c r="J348" s="27">
        <v>135.80919663944758</v>
      </c>
      <c r="K348" s="26">
        <v>287.81093692699136</v>
      </c>
      <c r="L348" s="26">
        <v>13.176970656111726</v>
      </c>
      <c r="M348" s="27">
        <v>300.98790758310309</v>
      </c>
      <c r="N348" s="26">
        <v>28.23222576425086</v>
      </c>
      <c r="O348" s="26">
        <v>52.309524625567192</v>
      </c>
      <c r="P348" s="26">
        <v>9.1274622203154241</v>
      </c>
      <c r="Q348" s="26">
        <v>10.603980587821555</v>
      </c>
      <c r="R348" s="26">
        <v>36.156277761237966</v>
      </c>
      <c r="S348" s="26">
        <v>49.36819209208813</v>
      </c>
      <c r="T348" s="26">
        <v>56.11361858556932</v>
      </c>
      <c r="U348" s="26">
        <v>7.8061748343155735</v>
      </c>
      <c r="V348" s="27">
        <v>249.71745647116603</v>
      </c>
      <c r="W348" s="27">
        <v>678.35650447931971</v>
      </c>
      <c r="X348" s="26">
        <v>66.107163389940069</v>
      </c>
      <c r="Y348" s="28">
        <v>744.48000763882817</v>
      </c>
      <c r="Z348" s="17" t="str">
        <f>SUBSTITUTE(SUBSTITUTE(SUBSTITUTE(SUBSTITUTE(IF(E348="","",VLOOKUP(E348,[1]Esquemas_NORM!$A$2:$H$126,8,FALSE)),"PROVINCIA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348" s="17" t="str">
        <f>IF($E348="","",INDEX([1]Esquemas_NORM!$H$2:$K$126,MATCH($E348,[1]Esquemas_NORM!$A$2:$A$126,0),MATCH(AA$4,[1]Esquemas_NORM!$H$1:$K$1,0)))</f>
        <v>A la fecha no ha conformado un EAT Región</v>
      </c>
      <c r="AB348" s="17" t="str">
        <f>IF($E348="","",INDEX([1]Esquemas_NORM!$H$2:$K$126,MATCH($E348,[1]Esquemas_NORM!$A$2:$A$126,0),MATCH(AB$4,[1]Esquemas_NORM!$H$1:$K$1,0)))</f>
        <v>A la fecha no ha conformado un EAT Área Metropolitana</v>
      </c>
      <c r="AC348" s="17" t="str">
        <f>IF($E348="","",INDEX([1]Esquemas_NORM!$H$2:$K$126,MATCH($E348,[1]Esquemas_NORM!$A$2:$A$126,0),MATCH(AC$4,[1]Esquemas_NORM!$H$1:$K$1,0)))</f>
        <v>A la fecha no ha conformado un EAT asociación - unión</v>
      </c>
      <c r="AD348" s="23"/>
    </row>
    <row r="349" spans="1:30" x14ac:dyDescent="0.25">
      <c r="A349" s="24">
        <v>2017</v>
      </c>
      <c r="B349" s="25" t="s">
        <v>36</v>
      </c>
      <c r="C349" s="25" t="s">
        <v>252</v>
      </c>
      <c r="D349" s="25" t="s">
        <v>253</v>
      </c>
      <c r="E349" s="25" t="s">
        <v>254</v>
      </c>
      <c r="F349" s="25" t="s">
        <v>255</v>
      </c>
      <c r="G349" s="25" t="s">
        <v>256</v>
      </c>
      <c r="H349" s="26">
        <v>43.866669619681197</v>
      </c>
      <c r="I349" s="26">
        <v>0.659820453139768</v>
      </c>
      <c r="J349" s="27">
        <v>44.526490072820962</v>
      </c>
      <c r="K349" s="26">
        <v>141.66580654193396</v>
      </c>
      <c r="L349" s="26">
        <v>46.372047668482423</v>
      </c>
      <c r="M349" s="27">
        <v>188.03785421041638</v>
      </c>
      <c r="N349" s="26">
        <v>20.09256565850211</v>
      </c>
      <c r="O349" s="26">
        <v>47.387542619044126</v>
      </c>
      <c r="P349" s="26">
        <v>11.335498150540527</v>
      </c>
      <c r="Q349" s="26">
        <v>9.4379510487204623</v>
      </c>
      <c r="R349" s="26">
        <v>29.77156483466532</v>
      </c>
      <c r="S349" s="26">
        <v>34.310567553479345</v>
      </c>
      <c r="T349" s="26">
        <v>39.813007882994178</v>
      </c>
      <c r="U349" s="26">
        <v>9.739713421027961</v>
      </c>
      <c r="V349" s="27">
        <v>201.88841116897407</v>
      </c>
      <c r="W349" s="27">
        <v>428.73296936679913</v>
      </c>
      <c r="X349" s="26">
        <v>41.780863409482407</v>
      </c>
      <c r="Y349" s="28">
        <v>470.52415979147133</v>
      </c>
      <c r="Z349" s="17" t="str">
        <f>SUBSTITUTE(SUBSTITUTE(SUBSTITUTE(SUBSTITUTE(IF(E349="","",VLOOKUP(E349,[1]Esquemas_NORM!$A$2:$H$126,8,FALSE)),"PROVINCIA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349" s="17" t="str">
        <f>IF($E349="","",INDEX([1]Esquemas_NORM!$H$2:$K$126,MATCH($E349,[1]Esquemas_NORM!$A$2:$A$126,0),MATCH(AA$4,[1]Esquemas_NORM!$H$1:$K$1,0)))</f>
        <v>A la fecha no ha conformado un EAT Región</v>
      </c>
      <c r="AB349" s="17" t="str">
        <f>IF($E349="","",INDEX([1]Esquemas_NORM!$H$2:$K$126,MATCH($E349,[1]Esquemas_NORM!$A$2:$A$126,0),MATCH(AB$4,[1]Esquemas_NORM!$H$1:$K$1,0)))</f>
        <v>A la fecha no ha conformado un EAT Área Metropolitana</v>
      </c>
      <c r="AC349" s="17" t="str">
        <f>IF($E349="","",INDEX([1]Esquemas_NORM!$H$2:$K$126,MATCH($E349,[1]Esquemas_NORM!$A$2:$A$126,0),MATCH(AC$4,[1]Esquemas_NORM!$H$1:$K$1,0)))</f>
        <v>A la fecha no ha conformado un EAT asociación - unión</v>
      </c>
      <c r="AD349" s="23"/>
    </row>
    <row r="350" spans="1:30" x14ac:dyDescent="0.25">
      <c r="A350" s="24">
        <v>2017</v>
      </c>
      <c r="B350" s="25" t="s">
        <v>36</v>
      </c>
      <c r="C350" s="25" t="s">
        <v>252</v>
      </c>
      <c r="D350" s="25" t="s">
        <v>257</v>
      </c>
      <c r="E350" s="25" t="s">
        <v>258</v>
      </c>
      <c r="F350" s="25" t="s">
        <v>255</v>
      </c>
      <c r="G350" s="25" t="s">
        <v>259</v>
      </c>
      <c r="H350" s="26">
        <v>133.66776359423932</v>
      </c>
      <c r="I350" s="26">
        <v>0.11999506874078732</v>
      </c>
      <c r="J350" s="27">
        <v>133.78775866298011</v>
      </c>
      <c r="K350" s="26">
        <v>84.998962913082792</v>
      </c>
      <c r="L350" s="26">
        <v>120.55984691757351</v>
      </c>
      <c r="M350" s="27">
        <v>205.55880983065629</v>
      </c>
      <c r="N350" s="26">
        <v>10.388874456142252</v>
      </c>
      <c r="O350" s="26">
        <v>94.114702957289111</v>
      </c>
      <c r="P350" s="26">
        <v>9.6465927911854976</v>
      </c>
      <c r="Q350" s="26">
        <v>20.782561262153664</v>
      </c>
      <c r="R350" s="26">
        <v>28.365189957813978</v>
      </c>
      <c r="S350" s="26">
        <v>43.806915300930491</v>
      </c>
      <c r="T350" s="26">
        <v>63.266012418982186</v>
      </c>
      <c r="U350" s="26">
        <v>11.174338015343631</v>
      </c>
      <c r="V350" s="27">
        <v>281.54518715984079</v>
      </c>
      <c r="W350" s="27">
        <v>619.81937749573456</v>
      </c>
      <c r="X350" s="26">
        <v>60.402606284159873</v>
      </c>
      <c r="Y350" s="28">
        <v>680.23691354873347</v>
      </c>
      <c r="Z350" s="17" t="str">
        <f>SUBSTITUTE(SUBSTITUTE(SUBSTITUTE(SUBSTITUTE(IF(E350="","",VLOOKUP(E350,[1]Esquemas_NORM!$A$2:$H$126,8,FALSE)),"PROVINCIA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350" s="17" t="str">
        <f>IF($E350="","",INDEX([1]Esquemas_NORM!$H$2:$K$126,MATCH($E350,[1]Esquemas_NORM!$A$2:$A$126,0),MATCH(AA$4,[1]Esquemas_NORM!$H$1:$K$1,0)))</f>
        <v>A la fecha no ha conformado un EAT Región</v>
      </c>
      <c r="AB350" s="17" t="str">
        <f>IF($E350="","",INDEX([1]Esquemas_NORM!$H$2:$K$126,MATCH($E350,[1]Esquemas_NORM!$A$2:$A$126,0),MATCH(AB$4,[1]Esquemas_NORM!$H$1:$K$1,0)))</f>
        <v>A la fecha no ha conformado un EAT Área Metropolitana</v>
      </c>
      <c r="AC350" s="17" t="str">
        <f>IF($E350="","",INDEX([1]Esquemas_NORM!$H$2:$K$126,MATCH($E350,[1]Esquemas_NORM!$A$2:$A$126,0),MATCH(AC$4,[1]Esquemas_NORM!$H$1:$K$1,0)))</f>
        <v>A la fecha no ha conformado un EAT asociación - unión</v>
      </c>
      <c r="AD350" s="23"/>
    </row>
    <row r="351" spans="1:30" x14ac:dyDescent="0.25">
      <c r="A351" s="24">
        <v>2017</v>
      </c>
      <c r="B351" s="25" t="s">
        <v>36</v>
      </c>
      <c r="C351" s="25" t="s">
        <v>252</v>
      </c>
      <c r="D351" s="25" t="s">
        <v>253</v>
      </c>
      <c r="E351" s="25" t="s">
        <v>260</v>
      </c>
      <c r="F351" s="25" t="s">
        <v>255</v>
      </c>
      <c r="G351" s="25" t="s">
        <v>261</v>
      </c>
      <c r="H351" s="26">
        <v>27.947934721420634</v>
      </c>
      <c r="I351" s="26">
        <v>0.68627709522466396</v>
      </c>
      <c r="J351" s="27">
        <v>28.634211816645298</v>
      </c>
      <c r="K351" s="26">
        <v>5.5274984644636147</v>
      </c>
      <c r="L351" s="26">
        <v>1.3700627691955645</v>
      </c>
      <c r="M351" s="27">
        <v>6.8975612336591787</v>
      </c>
      <c r="N351" s="26">
        <v>2.4625202787813509</v>
      </c>
      <c r="O351" s="26">
        <v>10.243001506537919</v>
      </c>
      <c r="P351" s="26">
        <v>3.2813268004504632</v>
      </c>
      <c r="Q351" s="26">
        <v>1.0874070381508127</v>
      </c>
      <c r="R351" s="26">
        <v>3.3396733405736319</v>
      </c>
      <c r="S351" s="26">
        <v>5.2705646421406769</v>
      </c>
      <c r="T351" s="26">
        <v>9.6054126883259734</v>
      </c>
      <c r="U351" s="26">
        <v>1.6540688188785684</v>
      </c>
      <c r="V351" s="27">
        <v>36.9439751138394</v>
      </c>
      <c r="W351" s="27">
        <v>74.28792806315947</v>
      </c>
      <c r="X351" s="26">
        <v>7.2395033672471758</v>
      </c>
      <c r="Y351" s="28">
        <v>81.52922082524293</v>
      </c>
      <c r="Z351" s="17" t="str">
        <f>SUBSTITUTE(SUBSTITUTE(SUBSTITUTE(SUBSTITUTE(IF(E351="","",VLOOKUP(E351,[1]Esquemas_NORM!$A$2:$H$126,8,FALSE)),"PROVINCIA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351" s="17" t="str">
        <f>IF($E351="","",INDEX([1]Esquemas_NORM!$H$2:$K$126,MATCH($E351,[1]Esquemas_NORM!$A$2:$A$126,0),MATCH(AA$4,[1]Esquemas_NORM!$H$1:$K$1,0)))</f>
        <v>A la fecha no ha conformado un EAT Región</v>
      </c>
      <c r="AB351" s="17" t="str">
        <f>IF($E351="","",INDEX([1]Esquemas_NORM!$H$2:$K$126,MATCH($E351,[1]Esquemas_NORM!$A$2:$A$126,0),MATCH(AB$4,[1]Esquemas_NORM!$H$1:$K$1,0)))</f>
        <v>A la fecha no ha conformado un EAT Área Metropolitana</v>
      </c>
      <c r="AC351" s="17" t="str">
        <f>IF($E351="","",INDEX([1]Esquemas_NORM!$H$2:$K$126,MATCH($E351,[1]Esquemas_NORM!$A$2:$A$126,0),MATCH(AC$4,[1]Esquemas_NORM!$H$1:$K$1,0)))</f>
        <v>A la fecha no ha conformado un EAT asociación - unión</v>
      </c>
      <c r="AD351" s="23"/>
    </row>
    <row r="352" spans="1:30" x14ac:dyDescent="0.25">
      <c r="A352" s="24">
        <v>2017</v>
      </c>
      <c r="B352" s="25" t="s">
        <v>36</v>
      </c>
      <c r="C352" s="25" t="s">
        <v>252</v>
      </c>
      <c r="D352" s="25" t="s">
        <v>257</v>
      </c>
      <c r="E352" s="25" t="s">
        <v>262</v>
      </c>
      <c r="F352" s="25" t="s">
        <v>255</v>
      </c>
      <c r="G352" s="25" t="s">
        <v>263</v>
      </c>
      <c r="H352" s="26">
        <v>64.880682947276171</v>
      </c>
      <c r="I352" s="26">
        <v>0</v>
      </c>
      <c r="J352" s="27">
        <v>64.880682947276171</v>
      </c>
      <c r="K352" s="26">
        <v>5.6315556247122904</v>
      </c>
      <c r="L352" s="26">
        <v>7.8712929905809874</v>
      </c>
      <c r="M352" s="27">
        <v>13.502848615293278</v>
      </c>
      <c r="N352" s="26">
        <v>2.1459542745133153</v>
      </c>
      <c r="O352" s="26">
        <v>16.829440532190311</v>
      </c>
      <c r="P352" s="26">
        <v>5.1885146122905796</v>
      </c>
      <c r="Q352" s="26">
        <v>3.1216128203436946</v>
      </c>
      <c r="R352" s="26">
        <v>8.0228464106352479</v>
      </c>
      <c r="S352" s="26">
        <v>9.559301353811712</v>
      </c>
      <c r="T352" s="26">
        <v>16.308648667884096</v>
      </c>
      <c r="U352" s="26">
        <v>3.1209500367372645</v>
      </c>
      <c r="V352" s="27">
        <v>64.297268708406222</v>
      </c>
      <c r="W352" s="27">
        <v>146.1292512432087</v>
      </c>
      <c r="X352" s="26">
        <v>14.240580320523888</v>
      </c>
      <c r="Y352" s="28">
        <v>160.37335142132488</v>
      </c>
      <c r="Z352" s="17" t="str">
        <f>SUBSTITUTE(SUBSTITUTE(SUBSTITUTE(SUBSTITUTE(IF(E352="","",VLOOKUP(E352,[1]Esquemas_NORM!$A$2:$H$126,8,FALSE)),"PROVINCIA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352" s="17" t="str">
        <f>IF($E352="","",INDEX([1]Esquemas_NORM!$H$2:$K$126,MATCH($E352,[1]Esquemas_NORM!$A$2:$A$126,0),MATCH(AA$4,[1]Esquemas_NORM!$H$1:$K$1,0)))</f>
        <v>A la fecha no ha conformado un EAT Región</v>
      </c>
      <c r="AB352" s="17" t="str">
        <f>IF($E352="","",INDEX([1]Esquemas_NORM!$H$2:$K$126,MATCH($E352,[1]Esquemas_NORM!$A$2:$A$126,0),MATCH(AB$4,[1]Esquemas_NORM!$H$1:$K$1,0)))</f>
        <v>A la fecha no ha conformado un EAT Área Metropolitana</v>
      </c>
      <c r="AC352" s="17" t="str">
        <f>IF($E352="","",INDEX([1]Esquemas_NORM!$H$2:$K$126,MATCH($E352,[1]Esquemas_NORM!$A$2:$A$126,0),MATCH(AC$4,[1]Esquemas_NORM!$H$1:$K$1,0)))</f>
        <v>A la fecha no ha conformado un EAT asociación - unión</v>
      </c>
      <c r="AD352" s="23"/>
    </row>
    <row r="353" spans="1:30" x14ac:dyDescent="0.25">
      <c r="A353" s="24">
        <v>2017</v>
      </c>
      <c r="B353" s="25" t="s">
        <v>36</v>
      </c>
      <c r="C353" s="25" t="s">
        <v>252</v>
      </c>
      <c r="D353" s="25" t="s">
        <v>264</v>
      </c>
      <c r="E353" s="25" t="s">
        <v>265</v>
      </c>
      <c r="F353" s="25" t="s">
        <v>255</v>
      </c>
      <c r="G353" s="25" t="s">
        <v>266</v>
      </c>
      <c r="H353" s="26">
        <v>86.972955979068118</v>
      </c>
      <c r="I353" s="26">
        <v>0</v>
      </c>
      <c r="J353" s="27">
        <v>86.972955979068118</v>
      </c>
      <c r="K353" s="26">
        <v>8.0298344290738761</v>
      </c>
      <c r="L353" s="26">
        <v>10.317428233146224</v>
      </c>
      <c r="M353" s="27">
        <v>18.3472626622201</v>
      </c>
      <c r="N353" s="26">
        <v>3.9924420921158403</v>
      </c>
      <c r="O353" s="26">
        <v>16.299862888813333</v>
      </c>
      <c r="P353" s="26">
        <v>5.5683682085263584</v>
      </c>
      <c r="Q353" s="26">
        <v>5.0884463018468473</v>
      </c>
      <c r="R353" s="26">
        <v>13.222558295984925</v>
      </c>
      <c r="S353" s="26">
        <v>13.348844287182178</v>
      </c>
      <c r="T353" s="26">
        <v>29.70787020017822</v>
      </c>
      <c r="U353" s="26">
        <v>4.6005287506049095</v>
      </c>
      <c r="V353" s="27">
        <v>91.828921025252612</v>
      </c>
      <c r="W353" s="27">
        <v>201.57731611262417</v>
      </c>
      <c r="X353" s="26">
        <v>19.644102303103573</v>
      </c>
      <c r="Y353" s="28">
        <v>221.22627386691576</v>
      </c>
      <c r="Z353" s="17" t="str">
        <f>SUBSTITUTE(SUBSTITUTE(SUBSTITUTE(SUBSTITUTE(IF(E353="","",VLOOKUP(E353,[1]Esquemas_NORM!$A$2:$H$126,8,FALSE)),"PROVINCIA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353" s="17" t="str">
        <f>IF($E353="","",INDEX([1]Esquemas_NORM!$H$2:$K$126,MATCH($E353,[1]Esquemas_NORM!$A$2:$A$126,0),MATCH(AA$4,[1]Esquemas_NORM!$H$1:$K$1,0)))</f>
        <v>A la fecha no ha conformado un EAT Región</v>
      </c>
      <c r="AB353" s="17" t="str">
        <f>IF($E353="","",INDEX([1]Esquemas_NORM!$H$2:$K$126,MATCH($E353,[1]Esquemas_NORM!$A$2:$A$126,0),MATCH(AB$4,[1]Esquemas_NORM!$H$1:$K$1,0)))</f>
        <v>A la fecha no ha conformado un EAT Área Metropolitana</v>
      </c>
      <c r="AC353" s="17" t="str">
        <f>IF($E353="","",INDEX([1]Esquemas_NORM!$H$2:$K$126,MATCH($E353,[1]Esquemas_NORM!$A$2:$A$126,0),MATCH(AC$4,[1]Esquemas_NORM!$H$1:$K$1,0)))</f>
        <v>A la fecha no ha conformado un EAT asociación - unión</v>
      </c>
      <c r="AD353" s="23"/>
    </row>
    <row r="354" spans="1:30" x14ac:dyDescent="0.25">
      <c r="A354" s="24">
        <v>2017</v>
      </c>
      <c r="B354" s="25" t="s">
        <v>36</v>
      </c>
      <c r="C354" s="25" t="s">
        <v>252</v>
      </c>
      <c r="D354" s="25" t="s">
        <v>267</v>
      </c>
      <c r="E354" s="25" t="s">
        <v>268</v>
      </c>
      <c r="F354" s="25" t="s">
        <v>255</v>
      </c>
      <c r="G354" s="25" t="s">
        <v>269</v>
      </c>
      <c r="H354" s="26">
        <v>15.745409069126461</v>
      </c>
      <c r="I354" s="26">
        <v>0</v>
      </c>
      <c r="J354" s="27">
        <v>15.745409069126461</v>
      </c>
      <c r="K354" s="26">
        <v>0.56854049001576412</v>
      </c>
      <c r="L354" s="26">
        <v>4.8380608159504916</v>
      </c>
      <c r="M354" s="27">
        <v>5.4066013059662561</v>
      </c>
      <c r="N354" s="26">
        <v>1.4859711391385566</v>
      </c>
      <c r="O354" s="26">
        <v>6.1058224332233753</v>
      </c>
      <c r="P354" s="26">
        <v>5.6228503108376007</v>
      </c>
      <c r="Q354" s="26">
        <v>1.4764581354959687</v>
      </c>
      <c r="R354" s="26">
        <v>3.1606462326267457</v>
      </c>
      <c r="S354" s="26">
        <v>4.950141254991598</v>
      </c>
      <c r="T354" s="26">
        <v>9.8509451713835183</v>
      </c>
      <c r="U354" s="26">
        <v>1.2063911349909893</v>
      </c>
      <c r="V354" s="27">
        <v>33.859225812688344</v>
      </c>
      <c r="W354" s="27">
        <v>56.159866244827242</v>
      </c>
      <c r="X354" s="26">
        <v>5.4728884138206144</v>
      </c>
      <c r="Y354" s="28">
        <v>61.634107397609434</v>
      </c>
      <c r="Z354" s="17" t="str">
        <f>SUBSTITUTE(SUBSTITUTE(SUBSTITUTE(SUBSTITUTE(IF(E354="","",VLOOKUP(E354,[1]Esquemas_NORM!$A$2:$H$126,8,FALSE)),"PROVINCIA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54" s="17" t="str">
        <f>IF($E354="","",INDEX([1]Esquemas_NORM!$H$2:$K$126,MATCH($E354,[1]Esquemas_NORM!$A$2:$A$126,0),MATCH(AA$4,[1]Esquemas_NORM!$H$1:$K$1,0)))</f>
        <v>A la fecha no ha conformado un EAT Región</v>
      </c>
      <c r="AB354" s="17" t="str">
        <f>IF($E354="","",INDEX([1]Esquemas_NORM!$H$2:$K$126,MATCH($E354,[1]Esquemas_NORM!$A$2:$A$126,0),MATCH(AB$4,[1]Esquemas_NORM!$H$1:$K$1,0)))</f>
        <v>A la fecha no ha conformado un EAT Área Metropolitana</v>
      </c>
      <c r="AC354" s="17" t="str">
        <f>IF($E354="","",INDEX([1]Esquemas_NORM!$H$2:$K$126,MATCH($E354,[1]Esquemas_NORM!$A$2:$A$126,0),MATCH(AC$4,[1]Esquemas_NORM!$H$1:$K$1,0)))</f>
        <v>A la fecha no ha conformado un EAT asociación - unión</v>
      </c>
      <c r="AD354" s="23"/>
    </row>
    <row r="355" spans="1:30" x14ac:dyDescent="0.25">
      <c r="A355" s="24">
        <v>2017</v>
      </c>
      <c r="B355" s="25" t="s">
        <v>36</v>
      </c>
      <c r="C355" s="25" t="s">
        <v>252</v>
      </c>
      <c r="D355" s="25" t="s">
        <v>257</v>
      </c>
      <c r="E355" s="25" t="s">
        <v>270</v>
      </c>
      <c r="F355" s="25" t="s">
        <v>255</v>
      </c>
      <c r="G355" s="25" t="s">
        <v>271</v>
      </c>
      <c r="H355" s="26">
        <v>92.293932397415105</v>
      </c>
      <c r="I355" s="26">
        <v>0</v>
      </c>
      <c r="J355" s="27">
        <v>92.293932397415105</v>
      </c>
      <c r="K355" s="26">
        <v>10.118862736282296</v>
      </c>
      <c r="L355" s="26">
        <v>17.810181780686936</v>
      </c>
      <c r="M355" s="27">
        <v>27.929044516969231</v>
      </c>
      <c r="N355" s="26">
        <v>7.3839529606747609</v>
      </c>
      <c r="O355" s="26">
        <v>56.888185252013571</v>
      </c>
      <c r="P355" s="26">
        <v>6.4848201017464211</v>
      </c>
      <c r="Q355" s="26">
        <v>11.496519911509132</v>
      </c>
      <c r="R355" s="26">
        <v>21.121404568688675</v>
      </c>
      <c r="S355" s="26">
        <v>23.015843039197918</v>
      </c>
      <c r="T355" s="26">
        <v>48.147281140675716</v>
      </c>
      <c r="U355" s="26">
        <v>6.7162985706566252</v>
      </c>
      <c r="V355" s="27">
        <v>181.25430554516282</v>
      </c>
      <c r="W355" s="27">
        <v>308.31218876500702</v>
      </c>
      <c r="X355" s="26">
        <v>30.0456236554346</v>
      </c>
      <c r="Y355" s="28">
        <v>338.36523882541655</v>
      </c>
      <c r="Z355" s="17" t="str">
        <f>SUBSTITUTE(SUBSTITUTE(SUBSTITUTE(SUBSTITUTE(IF(E355="","",VLOOKUP(E355,[1]Esquemas_NORM!$A$2:$H$126,8,FALSE)),"PROVINCIA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355" s="17" t="str">
        <f>IF($E355="","",INDEX([1]Esquemas_NORM!$H$2:$K$126,MATCH($E355,[1]Esquemas_NORM!$A$2:$A$126,0),MATCH(AA$4,[1]Esquemas_NORM!$H$1:$K$1,0)))</f>
        <v>A la fecha no ha conformado un EAT Región</v>
      </c>
      <c r="AB355" s="17" t="str">
        <f>IF($E355="","",INDEX([1]Esquemas_NORM!$H$2:$K$126,MATCH($E355,[1]Esquemas_NORM!$A$2:$A$126,0),MATCH(AB$4,[1]Esquemas_NORM!$H$1:$K$1,0)))</f>
        <v>A la fecha no ha conformado un EAT Área Metropolitana</v>
      </c>
      <c r="AC355" s="17" t="str">
        <f>IF($E355="","",INDEX([1]Esquemas_NORM!$H$2:$K$126,MATCH($E355,[1]Esquemas_NORM!$A$2:$A$126,0),MATCH(AC$4,[1]Esquemas_NORM!$H$1:$K$1,0)))</f>
        <v>A la fecha no ha conformado un EAT asociación - unión</v>
      </c>
      <c r="AD355" s="23"/>
    </row>
    <row r="356" spans="1:30" x14ac:dyDescent="0.25">
      <c r="A356" s="24">
        <v>2017</v>
      </c>
      <c r="B356" s="25" t="s">
        <v>36</v>
      </c>
      <c r="C356" s="25" t="s">
        <v>252</v>
      </c>
      <c r="D356" s="25" t="s">
        <v>264</v>
      </c>
      <c r="E356" s="25" t="s">
        <v>272</v>
      </c>
      <c r="F356" s="25" t="s">
        <v>255</v>
      </c>
      <c r="G356" s="25" t="s">
        <v>273</v>
      </c>
      <c r="H356" s="26">
        <v>108.12496026552142</v>
      </c>
      <c r="I356" s="26">
        <v>0</v>
      </c>
      <c r="J356" s="27">
        <v>108.12496026552142</v>
      </c>
      <c r="K356" s="26">
        <v>10.491058682394154</v>
      </c>
      <c r="L356" s="26">
        <v>13.126583372798894</v>
      </c>
      <c r="M356" s="27">
        <v>23.617642055193048</v>
      </c>
      <c r="N356" s="26">
        <v>7.676029875407429</v>
      </c>
      <c r="O356" s="26">
        <v>25.375333191131663</v>
      </c>
      <c r="P356" s="26">
        <v>9.4351110897330646</v>
      </c>
      <c r="Q356" s="26">
        <v>6.5366620330246041</v>
      </c>
      <c r="R356" s="26">
        <v>14.307631646579155</v>
      </c>
      <c r="S356" s="26">
        <v>15.829585308378446</v>
      </c>
      <c r="T356" s="26">
        <v>28.527371921355183</v>
      </c>
      <c r="U356" s="26">
        <v>5.9887600058028676</v>
      </c>
      <c r="V356" s="27">
        <v>113.67648507141242</v>
      </c>
      <c r="W356" s="27">
        <v>251.10400609825103</v>
      </c>
      <c r="X356" s="26">
        <v>24.470574763268065</v>
      </c>
      <c r="Y356" s="28">
        <v>275.58062927643124</v>
      </c>
      <c r="Z356" s="17" t="str">
        <f>SUBSTITUTE(SUBSTITUTE(SUBSTITUTE(SUBSTITUTE(IF(E356="","",VLOOKUP(E356,[1]Esquemas_NORM!$A$2:$H$126,8,FALSE)),"PROVINCIA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356" s="17" t="str">
        <f>IF($E356="","",INDEX([1]Esquemas_NORM!$H$2:$K$126,MATCH($E356,[1]Esquemas_NORM!$A$2:$A$126,0),MATCH(AA$4,[1]Esquemas_NORM!$H$1:$K$1,0)))</f>
        <v>A la fecha no ha conformado un EAT Región</v>
      </c>
      <c r="AB356" s="17" t="str">
        <f>IF($E356="","",INDEX([1]Esquemas_NORM!$H$2:$K$126,MATCH($E356,[1]Esquemas_NORM!$A$2:$A$126,0),MATCH(AB$4,[1]Esquemas_NORM!$H$1:$K$1,0)))</f>
        <v>A la fecha no ha conformado un EAT Área Metropolitana</v>
      </c>
      <c r="AC356" s="17" t="str">
        <f>IF($E356="","",INDEX([1]Esquemas_NORM!$H$2:$K$126,MATCH($E356,[1]Esquemas_NORM!$A$2:$A$126,0),MATCH(AC$4,[1]Esquemas_NORM!$H$1:$K$1,0)))</f>
        <v>A la fecha no ha conformado un EAT asociación - unión</v>
      </c>
      <c r="AD356" s="23"/>
    </row>
    <row r="357" spans="1:30" x14ac:dyDescent="0.25">
      <c r="A357" s="24">
        <v>2017</v>
      </c>
      <c r="B357" s="25" t="s">
        <v>36</v>
      </c>
      <c r="C357" s="25" t="s">
        <v>252</v>
      </c>
      <c r="D357" s="25" t="s">
        <v>253</v>
      </c>
      <c r="E357" s="25" t="s">
        <v>274</v>
      </c>
      <c r="F357" s="25" t="s">
        <v>255</v>
      </c>
      <c r="G357" s="25" t="s">
        <v>275</v>
      </c>
      <c r="H357" s="26">
        <v>100.92164366490826</v>
      </c>
      <c r="I357" s="26">
        <v>0.64727508155275149</v>
      </c>
      <c r="J357" s="27">
        <v>101.56891874646101</v>
      </c>
      <c r="K357" s="26">
        <v>8.8752554294857262</v>
      </c>
      <c r="L357" s="26">
        <v>19.457169802381159</v>
      </c>
      <c r="M357" s="27">
        <v>28.332425231866885</v>
      </c>
      <c r="N357" s="26">
        <v>7.2711092751199917</v>
      </c>
      <c r="O357" s="26">
        <v>40.00354708512932</v>
      </c>
      <c r="P357" s="26">
        <v>6.9512287191038471</v>
      </c>
      <c r="Q357" s="26">
        <v>8.3157121152826434</v>
      </c>
      <c r="R357" s="26">
        <v>21.759961740377467</v>
      </c>
      <c r="S357" s="26">
        <v>22.153585684664527</v>
      </c>
      <c r="T357" s="26">
        <v>33.850475523214804</v>
      </c>
      <c r="U357" s="26">
        <v>8.8347518155214182</v>
      </c>
      <c r="V357" s="27">
        <v>149.14037195841402</v>
      </c>
      <c r="W357" s="27">
        <v>284.97428588065486</v>
      </c>
      <c r="X357" s="26">
        <v>27.771299536823943</v>
      </c>
      <c r="Y357" s="28">
        <v>312.7524496756285</v>
      </c>
      <c r="Z357" s="17" t="str">
        <f>SUBSTITUTE(SUBSTITUTE(SUBSTITUTE(SUBSTITUTE(IF(E357="","",VLOOKUP(E357,[1]Esquemas_NORM!$A$2:$H$126,8,FALSE)),"PROVINCIA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57" s="17" t="str">
        <f>IF($E357="","",INDEX([1]Esquemas_NORM!$H$2:$K$126,MATCH($E357,[1]Esquemas_NORM!$A$2:$A$126,0),MATCH(AA$4,[1]Esquemas_NORM!$H$1:$K$1,0)))</f>
        <v>A la fecha no ha conformado un EAT Región</v>
      </c>
      <c r="AB357" s="17" t="str">
        <f>IF($E357="","",INDEX([1]Esquemas_NORM!$H$2:$K$126,MATCH($E357,[1]Esquemas_NORM!$A$2:$A$126,0),MATCH(AB$4,[1]Esquemas_NORM!$H$1:$K$1,0)))</f>
        <v>A la fecha no ha conformado un EAT Área Metropolitana</v>
      </c>
      <c r="AC357" s="17" t="str">
        <f>IF($E357="","",INDEX([1]Esquemas_NORM!$H$2:$K$126,MATCH($E357,[1]Esquemas_NORM!$A$2:$A$126,0),MATCH(AC$4,[1]Esquemas_NORM!$H$1:$K$1,0)))</f>
        <v>A la fecha no ha conformado un EAT asociación - unión</v>
      </c>
      <c r="AD357" s="23"/>
    </row>
    <row r="358" spans="1:30" x14ac:dyDescent="0.25">
      <c r="A358" s="24">
        <v>2017</v>
      </c>
      <c r="B358" s="25" t="s">
        <v>36</v>
      </c>
      <c r="C358" s="25" t="s">
        <v>252</v>
      </c>
      <c r="D358" s="25" t="s">
        <v>257</v>
      </c>
      <c r="E358" s="25" t="s">
        <v>276</v>
      </c>
      <c r="F358" s="25" t="s">
        <v>255</v>
      </c>
      <c r="G358" s="25" t="s">
        <v>277</v>
      </c>
      <c r="H358" s="26">
        <v>14.899882799029093</v>
      </c>
      <c r="I358" s="26">
        <v>0</v>
      </c>
      <c r="J358" s="27">
        <v>14.899882799029093</v>
      </c>
      <c r="K358" s="26">
        <v>2.3691247325987028</v>
      </c>
      <c r="L358" s="26">
        <v>3.1374310227960103</v>
      </c>
      <c r="M358" s="27">
        <v>5.5065557553947126</v>
      </c>
      <c r="N358" s="26">
        <v>1.7160806310614323</v>
      </c>
      <c r="O358" s="26">
        <v>9.7414825603627406</v>
      </c>
      <c r="P358" s="26">
        <v>2.8105459479839712</v>
      </c>
      <c r="Q358" s="26">
        <v>1.16653393090636</v>
      </c>
      <c r="R358" s="26">
        <v>4.8826763265314614</v>
      </c>
      <c r="S358" s="26">
        <v>4.6496260685079553</v>
      </c>
      <c r="T358" s="26">
        <v>8.5899879454740429</v>
      </c>
      <c r="U358" s="26">
        <v>1.480349716262471</v>
      </c>
      <c r="V358" s="27">
        <v>35.03728312709044</v>
      </c>
      <c r="W358" s="27">
        <v>56.660949493413185</v>
      </c>
      <c r="X358" s="26">
        <v>5.5217199529410852</v>
      </c>
      <c r="Y358" s="28">
        <v>62.184034255053149</v>
      </c>
      <c r="Z358" s="17" t="str">
        <f>SUBSTITUTE(SUBSTITUTE(SUBSTITUTE(SUBSTITUTE(IF(E358="","",VLOOKUP(E358,[1]Esquemas_NORM!$A$2:$H$126,8,FALSE)),"PROVINCIA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358" s="17" t="str">
        <f>IF($E358="","",INDEX([1]Esquemas_NORM!$H$2:$K$126,MATCH($E358,[1]Esquemas_NORM!$A$2:$A$126,0),MATCH(AA$4,[1]Esquemas_NORM!$H$1:$K$1,0)))</f>
        <v>A la fecha no ha conformado un EAT Región</v>
      </c>
      <c r="AB358" s="17" t="str">
        <f>IF($E358="","",INDEX([1]Esquemas_NORM!$H$2:$K$126,MATCH($E358,[1]Esquemas_NORM!$A$2:$A$126,0),MATCH(AB$4,[1]Esquemas_NORM!$H$1:$K$1,0)))</f>
        <v>A la fecha no ha conformado un EAT Área Metropolitana</v>
      </c>
      <c r="AC358" s="17" t="str">
        <f>IF($E358="","",INDEX([1]Esquemas_NORM!$H$2:$K$126,MATCH($E358,[1]Esquemas_NORM!$A$2:$A$126,0),MATCH(AC$4,[1]Esquemas_NORM!$H$1:$K$1,0)))</f>
        <v>A la fecha no ha conformado un EAT asociación - unión</v>
      </c>
      <c r="AD358" s="23"/>
    </row>
    <row r="359" spans="1:30" x14ac:dyDescent="0.25">
      <c r="A359" s="24">
        <v>2017</v>
      </c>
      <c r="B359" s="25" t="s">
        <v>36</v>
      </c>
      <c r="C359" s="25" t="s">
        <v>252</v>
      </c>
      <c r="D359" s="25" t="s">
        <v>257</v>
      </c>
      <c r="E359" s="25" t="s">
        <v>278</v>
      </c>
      <c r="F359" s="25" t="s">
        <v>255</v>
      </c>
      <c r="G359" s="25" t="s">
        <v>279</v>
      </c>
      <c r="H359" s="26">
        <v>41.746980180639561</v>
      </c>
      <c r="I359" s="26">
        <v>0.12068853614848901</v>
      </c>
      <c r="J359" s="27">
        <v>41.867668716788053</v>
      </c>
      <c r="K359" s="26">
        <v>5.9887187479618751</v>
      </c>
      <c r="L359" s="26">
        <v>10.217460561544458</v>
      </c>
      <c r="M359" s="27">
        <v>16.206179309506332</v>
      </c>
      <c r="N359" s="26">
        <v>4.1699388369023014</v>
      </c>
      <c r="O359" s="26">
        <v>29.802998945172479</v>
      </c>
      <c r="P359" s="26">
        <v>4.7108771931192708</v>
      </c>
      <c r="Q359" s="26">
        <v>5.4745244430410747</v>
      </c>
      <c r="R359" s="26">
        <v>16.844109982363534</v>
      </c>
      <c r="S359" s="26">
        <v>14.15810393491989</v>
      </c>
      <c r="T359" s="26">
        <v>26.818666711387436</v>
      </c>
      <c r="U359" s="26">
        <v>4.102355674037991</v>
      </c>
      <c r="V359" s="27">
        <v>106.08157572094399</v>
      </c>
      <c r="W359" s="27">
        <v>167.50434080830556</v>
      </c>
      <c r="X359" s="26">
        <v>16.32362445590487</v>
      </c>
      <c r="Y359" s="28">
        <v>183.83199998977503</v>
      </c>
      <c r="Z359" s="17" t="str">
        <f>SUBSTITUTE(SUBSTITUTE(SUBSTITUTE(SUBSTITUTE(IF(E359="","",VLOOKUP(E359,[1]Esquemas_NORM!$A$2:$H$126,8,FALSE)),"PROVINCIA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359" s="17" t="str">
        <f>IF($E359="","",INDEX([1]Esquemas_NORM!$H$2:$K$126,MATCH($E359,[1]Esquemas_NORM!$A$2:$A$126,0),MATCH(AA$4,[1]Esquemas_NORM!$H$1:$K$1,0)))</f>
        <v>A la fecha no ha conformado un EAT Región</v>
      </c>
      <c r="AB359" s="17" t="str">
        <f>IF($E359="","",INDEX([1]Esquemas_NORM!$H$2:$K$126,MATCH($E359,[1]Esquemas_NORM!$A$2:$A$126,0),MATCH(AB$4,[1]Esquemas_NORM!$H$1:$K$1,0)))</f>
        <v>A la fecha no ha conformado un EAT Área Metropolitana</v>
      </c>
      <c r="AC359" s="17" t="str">
        <f>IF($E359="","",INDEX([1]Esquemas_NORM!$H$2:$K$126,MATCH($E359,[1]Esquemas_NORM!$A$2:$A$126,0),MATCH(AC$4,[1]Esquemas_NORM!$H$1:$K$1,0)))</f>
        <v>A la fecha no ha conformado un EAT asociación - unión</v>
      </c>
      <c r="AD359" s="23"/>
    </row>
    <row r="360" spans="1:30" x14ac:dyDescent="0.25">
      <c r="A360" s="24">
        <v>2017</v>
      </c>
      <c r="B360" s="25" t="s">
        <v>36</v>
      </c>
      <c r="C360" s="25" t="s">
        <v>252</v>
      </c>
      <c r="D360" s="25" t="s">
        <v>267</v>
      </c>
      <c r="E360" s="25" t="s">
        <v>280</v>
      </c>
      <c r="F360" s="25" t="s">
        <v>255</v>
      </c>
      <c r="G360" s="25" t="s">
        <v>281</v>
      </c>
      <c r="H360" s="26">
        <v>51.935207138321111</v>
      </c>
      <c r="I360" s="26">
        <v>0</v>
      </c>
      <c r="J360" s="27">
        <v>51.935207138321111</v>
      </c>
      <c r="K360" s="26">
        <v>1.8056912772426901</v>
      </c>
      <c r="L360" s="26">
        <v>13.64939295921549</v>
      </c>
      <c r="M360" s="27">
        <v>15.45508423645818</v>
      </c>
      <c r="N360" s="26">
        <v>20.847423651555825</v>
      </c>
      <c r="O360" s="26">
        <v>21.311166250083655</v>
      </c>
      <c r="P360" s="26">
        <v>3.9528637160839515</v>
      </c>
      <c r="Q360" s="26">
        <v>3.7144421884255387</v>
      </c>
      <c r="R360" s="26">
        <v>11.635387367979085</v>
      </c>
      <c r="S360" s="26">
        <v>10.897324546188768</v>
      </c>
      <c r="T360" s="26">
        <v>16.530195400606441</v>
      </c>
      <c r="U360" s="26">
        <v>3.0706270888921821</v>
      </c>
      <c r="V360" s="27">
        <v>91.959430209815451</v>
      </c>
      <c r="W360" s="27">
        <v>163.09027485503566</v>
      </c>
      <c r="X360" s="26">
        <v>15.893465126317984</v>
      </c>
      <c r="Y360" s="28">
        <v>178.98766838403336</v>
      </c>
      <c r="Z360" s="17" t="str">
        <f>SUBSTITUTE(SUBSTITUTE(SUBSTITUTE(SUBSTITUTE(IF(E360="","",VLOOKUP(E360,[1]Esquemas_NORM!$A$2:$H$126,8,FALSE)),"PROVINCIA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60" s="17" t="str">
        <f>IF($E360="","",INDEX([1]Esquemas_NORM!$H$2:$K$126,MATCH($E360,[1]Esquemas_NORM!$A$2:$A$126,0),MATCH(AA$4,[1]Esquemas_NORM!$H$1:$K$1,0)))</f>
        <v>A la fecha no ha conformado un EAT Región</v>
      </c>
      <c r="AB360" s="17" t="str">
        <f>IF($E360="","",INDEX([1]Esquemas_NORM!$H$2:$K$126,MATCH($E360,[1]Esquemas_NORM!$A$2:$A$126,0),MATCH(AB$4,[1]Esquemas_NORM!$H$1:$K$1,0)))</f>
        <v>A la fecha no ha conformado un EAT Área Metropolitana</v>
      </c>
      <c r="AC360" s="17" t="str">
        <f>IF($E360="","",INDEX([1]Esquemas_NORM!$H$2:$K$126,MATCH($E360,[1]Esquemas_NORM!$A$2:$A$126,0),MATCH(AC$4,[1]Esquemas_NORM!$H$1:$K$1,0)))</f>
        <v>A la fecha no ha conformado un EAT asociación - unión</v>
      </c>
      <c r="AD360" s="23"/>
    </row>
    <row r="361" spans="1:30" x14ac:dyDescent="0.25">
      <c r="A361" s="24">
        <v>2017</v>
      </c>
      <c r="B361" s="25" t="s">
        <v>36</v>
      </c>
      <c r="C361" s="25" t="s">
        <v>252</v>
      </c>
      <c r="D361" s="25" t="s">
        <v>267</v>
      </c>
      <c r="E361" s="25" t="s">
        <v>282</v>
      </c>
      <c r="F361" s="25" t="s">
        <v>255</v>
      </c>
      <c r="G361" s="25" t="s">
        <v>283</v>
      </c>
      <c r="H361" s="26">
        <v>3.6705705593038651</v>
      </c>
      <c r="I361" s="26">
        <v>0.73435131013461119</v>
      </c>
      <c r="J361" s="27">
        <v>4.4049218694384766</v>
      </c>
      <c r="K361" s="26">
        <v>8.4770955367357477</v>
      </c>
      <c r="L361" s="26">
        <v>40.139064233238443</v>
      </c>
      <c r="M361" s="27">
        <v>48.616159769974189</v>
      </c>
      <c r="N361" s="26">
        <v>5.9566201119039732</v>
      </c>
      <c r="O361" s="26">
        <v>42.496818170996342</v>
      </c>
      <c r="P361" s="26">
        <v>3.2654595107398028</v>
      </c>
      <c r="Q361" s="26">
        <v>2.2077215387621472</v>
      </c>
      <c r="R361" s="26">
        <v>7.667720905386906</v>
      </c>
      <c r="S361" s="26">
        <v>12.241172889461973</v>
      </c>
      <c r="T361" s="26">
        <v>16.76620736966159</v>
      </c>
      <c r="U361" s="26">
        <v>2.6638099008648894</v>
      </c>
      <c r="V361" s="27">
        <v>93.265530397777624</v>
      </c>
      <c r="W361" s="27">
        <v>146.37167000258563</v>
      </c>
      <c r="X361" s="26">
        <v>14.264204501060284</v>
      </c>
      <c r="Y361" s="28">
        <v>160.63940020044899</v>
      </c>
      <c r="Z361" s="17" t="str">
        <f>SUBSTITUTE(SUBSTITUTE(SUBSTITUTE(SUBSTITUTE(IF(E361="","",VLOOKUP(E361,[1]Esquemas_NORM!$A$2:$H$126,8,FALSE)),"PROVINCIA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61" s="17" t="str">
        <f>IF($E361="","",INDEX([1]Esquemas_NORM!$H$2:$K$126,MATCH($E361,[1]Esquemas_NORM!$A$2:$A$126,0),MATCH(AA$4,[1]Esquemas_NORM!$H$1:$K$1,0)))</f>
        <v>A la fecha no ha conformado un EAT Región</v>
      </c>
      <c r="AB361" s="17" t="str">
        <f>IF($E361="","",INDEX([1]Esquemas_NORM!$H$2:$K$126,MATCH($E361,[1]Esquemas_NORM!$A$2:$A$126,0),MATCH(AB$4,[1]Esquemas_NORM!$H$1:$K$1,0)))</f>
        <v>A la fecha no ha conformado un EAT Área Metropolitana</v>
      </c>
      <c r="AC361" s="17" t="str">
        <f>IF($E361="","",INDEX([1]Esquemas_NORM!$H$2:$K$126,MATCH($E361,[1]Esquemas_NORM!$A$2:$A$126,0),MATCH(AC$4,[1]Esquemas_NORM!$H$1:$K$1,0)))</f>
        <v>A la fecha no ha conformado un EAT asociación - unión</v>
      </c>
      <c r="AD361" s="23"/>
    </row>
    <row r="362" spans="1:30" x14ac:dyDescent="0.25">
      <c r="A362" s="24">
        <v>2017</v>
      </c>
      <c r="B362" s="25" t="s">
        <v>36</v>
      </c>
      <c r="C362" s="25" t="s">
        <v>252</v>
      </c>
      <c r="D362" s="25" t="s">
        <v>267</v>
      </c>
      <c r="E362" s="25" t="s">
        <v>284</v>
      </c>
      <c r="F362" s="25" t="s">
        <v>255</v>
      </c>
      <c r="G362" s="25" t="s">
        <v>285</v>
      </c>
      <c r="H362" s="26">
        <v>13.471247788849913</v>
      </c>
      <c r="I362" s="26">
        <v>0</v>
      </c>
      <c r="J362" s="27">
        <v>13.471247788849913</v>
      </c>
      <c r="K362" s="26">
        <v>12.906607797686283</v>
      </c>
      <c r="L362" s="26">
        <v>27.321743215561334</v>
      </c>
      <c r="M362" s="27">
        <v>40.228351013247618</v>
      </c>
      <c r="N362" s="26">
        <v>1.0205059468868225</v>
      </c>
      <c r="O362" s="26">
        <v>7.7304001207460855</v>
      </c>
      <c r="P362" s="26">
        <v>4.0481415001261327</v>
      </c>
      <c r="Q362" s="26">
        <v>1.6607003767392008</v>
      </c>
      <c r="R362" s="26">
        <v>5.6772007121163179</v>
      </c>
      <c r="S362" s="26">
        <v>6.3946328109719772</v>
      </c>
      <c r="T362" s="26">
        <v>12.111773061264515</v>
      </c>
      <c r="U362" s="26">
        <v>2.0346902768194242</v>
      </c>
      <c r="V362" s="27">
        <v>40.678044805670474</v>
      </c>
      <c r="W362" s="27">
        <v>93.10539794470975</v>
      </c>
      <c r="X362" s="26">
        <v>9.0733024799989366</v>
      </c>
      <c r="Y362" s="28">
        <v>102.18094308139132</v>
      </c>
      <c r="Z362" s="17" t="str">
        <f>SUBSTITUTE(SUBSTITUTE(SUBSTITUTE(SUBSTITUTE(IF(E362="","",VLOOKUP(E362,[1]Esquemas_NORM!$A$2:$H$126,8,FALSE)),"PROVINCIA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62" s="17" t="str">
        <f>IF($E362="","",INDEX([1]Esquemas_NORM!$H$2:$K$126,MATCH($E362,[1]Esquemas_NORM!$A$2:$A$126,0),MATCH(AA$4,[1]Esquemas_NORM!$H$1:$K$1,0)))</f>
        <v>A la fecha no ha conformado un EAT Región</v>
      </c>
      <c r="AB362" s="17" t="str">
        <f>IF($E362="","",INDEX([1]Esquemas_NORM!$H$2:$K$126,MATCH($E362,[1]Esquemas_NORM!$A$2:$A$126,0),MATCH(AB$4,[1]Esquemas_NORM!$H$1:$K$1,0)))</f>
        <v>A la fecha no ha conformado un EAT Área Metropolitana</v>
      </c>
      <c r="AC362" s="17" t="str">
        <f>IF($E362="","",INDEX([1]Esquemas_NORM!$H$2:$K$126,MATCH($E362,[1]Esquemas_NORM!$A$2:$A$126,0),MATCH(AC$4,[1]Esquemas_NORM!$H$1:$K$1,0)))</f>
        <v>A la fecha no ha conformado un EAT asociación - unión</v>
      </c>
      <c r="AD362" s="23"/>
    </row>
    <row r="363" spans="1:30" x14ac:dyDescent="0.25">
      <c r="A363" s="24">
        <v>2017</v>
      </c>
      <c r="B363" s="25" t="s">
        <v>36</v>
      </c>
      <c r="C363" s="25" t="s">
        <v>252</v>
      </c>
      <c r="D363" s="25" t="s">
        <v>267</v>
      </c>
      <c r="E363" s="25" t="s">
        <v>286</v>
      </c>
      <c r="F363" s="25" t="s">
        <v>255</v>
      </c>
      <c r="G363" s="25" t="s">
        <v>287</v>
      </c>
      <c r="H363" s="26">
        <v>17.030982915219592</v>
      </c>
      <c r="I363" s="26">
        <v>0</v>
      </c>
      <c r="J363" s="27">
        <v>17.030982915219592</v>
      </c>
      <c r="K363" s="26">
        <v>1.3027765079419213</v>
      </c>
      <c r="L363" s="26">
        <v>6.75106013789099</v>
      </c>
      <c r="M363" s="27">
        <v>8.0538366458329111</v>
      </c>
      <c r="N363" s="26">
        <v>2.2043634280830311</v>
      </c>
      <c r="O363" s="26">
        <v>8.7550786170442443</v>
      </c>
      <c r="P363" s="26">
        <v>3.2853203985702732</v>
      </c>
      <c r="Q363" s="26">
        <v>2.6711282082530658</v>
      </c>
      <c r="R363" s="26">
        <v>6.9487207328900018</v>
      </c>
      <c r="S363" s="26">
        <v>6.8648103475783442</v>
      </c>
      <c r="T363" s="26">
        <v>16.330475647817927</v>
      </c>
      <c r="U363" s="26">
        <v>1.9257002360733668</v>
      </c>
      <c r="V363" s="27">
        <v>48.985597616310258</v>
      </c>
      <c r="W363" s="27">
        <v>75.340637899829844</v>
      </c>
      <c r="X363" s="26">
        <v>7.3420919924246633</v>
      </c>
      <c r="Y363" s="28">
        <v>82.684544644017492</v>
      </c>
      <c r="Z363" s="17" t="str">
        <f>SUBSTITUTE(SUBSTITUTE(SUBSTITUTE(SUBSTITUTE(IF(E363="","",VLOOKUP(E363,[1]Esquemas_NORM!$A$2:$H$126,8,FALSE)),"PROVINCIA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63" s="17" t="str">
        <f>IF($E363="","",INDEX([1]Esquemas_NORM!$H$2:$K$126,MATCH($E363,[1]Esquemas_NORM!$A$2:$A$126,0),MATCH(AA$4,[1]Esquemas_NORM!$H$1:$K$1,0)))</f>
        <v>A la fecha no ha conformado un EAT Región</v>
      </c>
      <c r="AB363" s="17" t="str">
        <f>IF($E363="","",INDEX([1]Esquemas_NORM!$H$2:$K$126,MATCH($E363,[1]Esquemas_NORM!$A$2:$A$126,0),MATCH(AB$4,[1]Esquemas_NORM!$H$1:$K$1,0)))</f>
        <v>A la fecha no ha conformado un EAT Área Metropolitana</v>
      </c>
      <c r="AC363" s="17" t="str">
        <f>IF($E363="","",INDEX([1]Esquemas_NORM!$H$2:$K$126,MATCH($E363,[1]Esquemas_NORM!$A$2:$A$126,0),MATCH(AC$4,[1]Esquemas_NORM!$H$1:$K$1,0)))</f>
        <v>A la fecha no ha conformado un EAT asociación - unión</v>
      </c>
      <c r="AD363" s="23"/>
    </row>
    <row r="364" spans="1:30" x14ac:dyDescent="0.25">
      <c r="A364" s="24">
        <v>2017</v>
      </c>
      <c r="B364" s="25" t="s">
        <v>36</v>
      </c>
      <c r="C364" s="25" t="s">
        <v>252</v>
      </c>
      <c r="D364" s="25" t="s">
        <v>264</v>
      </c>
      <c r="E364" s="25" t="s">
        <v>288</v>
      </c>
      <c r="F364" s="25" t="s">
        <v>255</v>
      </c>
      <c r="G364" s="25" t="s">
        <v>289</v>
      </c>
      <c r="H364" s="26">
        <v>94.507180117908561</v>
      </c>
      <c r="I364" s="26">
        <v>7.2833270773577487E-3</v>
      </c>
      <c r="J364" s="27">
        <v>94.514463444985921</v>
      </c>
      <c r="K364" s="26">
        <v>3.7604497780916546</v>
      </c>
      <c r="L364" s="26">
        <v>17.000705058349379</v>
      </c>
      <c r="M364" s="27">
        <v>20.761154836441033</v>
      </c>
      <c r="N364" s="26">
        <v>17.997807422903879</v>
      </c>
      <c r="O364" s="26">
        <v>28.379917557475906</v>
      </c>
      <c r="P364" s="26">
        <v>5.602108537915492</v>
      </c>
      <c r="Q364" s="26">
        <v>4.5554332211151181</v>
      </c>
      <c r="R364" s="26">
        <v>10.054152611664625</v>
      </c>
      <c r="S364" s="26">
        <v>13.474756358891627</v>
      </c>
      <c r="T364" s="26">
        <v>21.477968148577119</v>
      </c>
      <c r="U364" s="26">
        <v>4.797257738941533</v>
      </c>
      <c r="V364" s="27">
        <v>106.33940159748529</v>
      </c>
      <c r="W364" s="27">
        <v>227.24656137365088</v>
      </c>
      <c r="X364" s="26">
        <v>22.145620279802952</v>
      </c>
      <c r="Y364" s="28">
        <v>249.39765540718602</v>
      </c>
      <c r="Z364" s="17" t="str">
        <f>SUBSTITUTE(SUBSTITUTE(SUBSTITUTE(SUBSTITUTE(IF(E364="","",VLOOKUP(E364,[1]Esquemas_NORM!$A$2:$H$126,8,FALSE)),"PROVINCIA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364" s="17" t="str">
        <f>IF($E364="","",INDEX([1]Esquemas_NORM!$H$2:$K$126,MATCH($E364,[1]Esquemas_NORM!$A$2:$A$126,0),MATCH(AA$4,[1]Esquemas_NORM!$H$1:$K$1,0)))</f>
        <v>A la fecha no ha conformado un EAT Región</v>
      </c>
      <c r="AB364" s="17" t="str">
        <f>IF($E364="","",INDEX([1]Esquemas_NORM!$H$2:$K$126,MATCH($E364,[1]Esquemas_NORM!$A$2:$A$126,0),MATCH(AB$4,[1]Esquemas_NORM!$H$1:$K$1,0)))</f>
        <v>A la fecha no ha conformado un EAT Área Metropolitana</v>
      </c>
      <c r="AC364" s="17" t="str">
        <f>IF($E364="","",INDEX([1]Esquemas_NORM!$H$2:$K$126,MATCH($E364,[1]Esquemas_NORM!$A$2:$A$126,0),MATCH(AC$4,[1]Esquemas_NORM!$H$1:$K$1,0)))</f>
        <v>A la fecha no ha conformado un EAT asociación - unión</v>
      </c>
      <c r="AD364" s="23"/>
    </row>
    <row r="365" spans="1:30" x14ac:dyDescent="0.25">
      <c r="A365" s="24">
        <v>2017</v>
      </c>
      <c r="B365" s="25" t="s">
        <v>36</v>
      </c>
      <c r="C365" s="25" t="s">
        <v>252</v>
      </c>
      <c r="D365" s="25" t="s">
        <v>267</v>
      </c>
      <c r="E365" s="25" t="s">
        <v>290</v>
      </c>
      <c r="F365" s="25" t="s">
        <v>255</v>
      </c>
      <c r="G365" s="25" t="s">
        <v>291</v>
      </c>
      <c r="H365" s="26">
        <v>66.74093484673773</v>
      </c>
      <c r="I365" s="26">
        <v>9.3520591351840423</v>
      </c>
      <c r="J365" s="27">
        <v>76.092993981921779</v>
      </c>
      <c r="K365" s="26">
        <v>10.56789550120858</v>
      </c>
      <c r="L365" s="26">
        <v>12.881365874790767</v>
      </c>
      <c r="M365" s="27">
        <v>23.449261375999349</v>
      </c>
      <c r="N365" s="26">
        <v>6.7992678927510433</v>
      </c>
      <c r="O365" s="26">
        <v>37.391572629654853</v>
      </c>
      <c r="P365" s="26">
        <v>7.6317903496534303</v>
      </c>
      <c r="Q365" s="26">
        <v>8.424607755315682</v>
      </c>
      <c r="R365" s="26">
        <v>27.483858206801177</v>
      </c>
      <c r="S365" s="26">
        <v>21.321473237634464</v>
      </c>
      <c r="T365" s="26">
        <v>36.557034209456283</v>
      </c>
      <c r="U365" s="26">
        <v>8.3654965348503065</v>
      </c>
      <c r="V365" s="27">
        <v>153.97510081611725</v>
      </c>
      <c r="W365" s="27">
        <v>258.43366694674751</v>
      </c>
      <c r="X365" s="26">
        <v>25.184864497501163</v>
      </c>
      <c r="Y365" s="28">
        <v>283.62475641082415</v>
      </c>
      <c r="Z365" s="17" t="str">
        <f>SUBSTITUTE(SUBSTITUTE(SUBSTITUTE(SUBSTITUTE(IF(E365="","",VLOOKUP(E365,[1]Esquemas_NORM!$A$2:$H$126,8,FALSE)),"PROVINCIA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65" s="17" t="str">
        <f>IF($E365="","",INDEX([1]Esquemas_NORM!$H$2:$K$126,MATCH($E365,[1]Esquemas_NORM!$A$2:$A$126,0),MATCH(AA$4,[1]Esquemas_NORM!$H$1:$K$1,0)))</f>
        <v>A la fecha no ha conformado un EAT Región</v>
      </c>
      <c r="AB365" s="17" t="str">
        <f>IF($E365="","",INDEX([1]Esquemas_NORM!$H$2:$K$126,MATCH($E365,[1]Esquemas_NORM!$A$2:$A$126,0),MATCH(AB$4,[1]Esquemas_NORM!$H$1:$K$1,0)))</f>
        <v>A la fecha no ha conformado un EAT Área Metropolitana</v>
      </c>
      <c r="AC365" s="17" t="str">
        <f>IF($E365="","",INDEX([1]Esquemas_NORM!$H$2:$K$126,MATCH($E365,[1]Esquemas_NORM!$A$2:$A$126,0),MATCH(AC$4,[1]Esquemas_NORM!$H$1:$K$1,0)))</f>
        <v>A la fecha no ha conformado un EAT asociación - unión</v>
      </c>
      <c r="AD365" s="23"/>
    </row>
    <row r="366" spans="1:30" x14ac:dyDescent="0.25">
      <c r="A366" s="24">
        <v>2017</v>
      </c>
      <c r="B366" s="25" t="s">
        <v>36</v>
      </c>
      <c r="C366" s="25" t="s">
        <v>252</v>
      </c>
      <c r="D366" s="25" t="s">
        <v>267</v>
      </c>
      <c r="E366" s="25" t="s">
        <v>292</v>
      </c>
      <c r="F366" s="25" t="s">
        <v>255</v>
      </c>
      <c r="G366" s="25" t="s">
        <v>293</v>
      </c>
      <c r="H366" s="26">
        <v>61.226690414138204</v>
      </c>
      <c r="I366" s="26">
        <v>0</v>
      </c>
      <c r="J366" s="27">
        <v>61.226690414138204</v>
      </c>
      <c r="K366" s="26">
        <v>5.8247806929596866</v>
      </c>
      <c r="L366" s="26">
        <v>12.211894492302022</v>
      </c>
      <c r="M366" s="27">
        <v>18.036675185261707</v>
      </c>
      <c r="N366" s="26">
        <v>5.2654537830864152</v>
      </c>
      <c r="O366" s="26">
        <v>23.710131253967067</v>
      </c>
      <c r="P366" s="26">
        <v>4.8688235253851442</v>
      </c>
      <c r="Q366" s="26">
        <v>5.784339501480277</v>
      </c>
      <c r="R366" s="26">
        <v>15.756138127085968</v>
      </c>
      <c r="S366" s="26">
        <v>15.267880565976116</v>
      </c>
      <c r="T366" s="26">
        <v>30.623996642788157</v>
      </c>
      <c r="U366" s="26">
        <v>5.2677027297259702</v>
      </c>
      <c r="V366" s="27">
        <v>106.54446612949511</v>
      </c>
      <c r="W366" s="27">
        <v>189.64142098159536</v>
      </c>
      <c r="X366" s="26">
        <v>18.480926061078943</v>
      </c>
      <c r="Y366" s="28">
        <v>208.12691499049978</v>
      </c>
      <c r="Z366" s="17" t="str">
        <f>SUBSTITUTE(SUBSTITUTE(SUBSTITUTE(SUBSTITUTE(IF(E366="","",VLOOKUP(E366,[1]Esquemas_NORM!$A$2:$H$126,8,FALSE)),"PROVINCIA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66" s="17" t="str">
        <f>IF($E366="","",INDEX([1]Esquemas_NORM!$H$2:$K$126,MATCH($E366,[1]Esquemas_NORM!$A$2:$A$126,0),MATCH(AA$4,[1]Esquemas_NORM!$H$1:$K$1,0)))</f>
        <v>A la fecha no ha conformado un EAT Región</v>
      </c>
      <c r="AB366" s="17" t="str">
        <f>IF($E366="","",INDEX([1]Esquemas_NORM!$H$2:$K$126,MATCH($E366,[1]Esquemas_NORM!$A$2:$A$126,0),MATCH(AB$4,[1]Esquemas_NORM!$H$1:$K$1,0)))</f>
        <v>A la fecha no ha conformado un EAT Área Metropolitana</v>
      </c>
      <c r="AC366" s="17" t="str">
        <f>IF($E366="","",INDEX([1]Esquemas_NORM!$H$2:$K$126,MATCH($E366,[1]Esquemas_NORM!$A$2:$A$126,0),MATCH(AC$4,[1]Esquemas_NORM!$H$1:$K$1,0)))</f>
        <v>A la fecha no ha conformado un EAT asociación - unión</v>
      </c>
      <c r="AD366" s="23"/>
    </row>
    <row r="367" spans="1:30" x14ac:dyDescent="0.25">
      <c r="A367" s="24">
        <v>2017</v>
      </c>
      <c r="B367" s="25" t="s">
        <v>36</v>
      </c>
      <c r="C367" s="25" t="s">
        <v>252</v>
      </c>
      <c r="D367" s="25" t="s">
        <v>267</v>
      </c>
      <c r="E367" s="25" t="s">
        <v>294</v>
      </c>
      <c r="F367" s="25" t="s">
        <v>255</v>
      </c>
      <c r="G367" s="25" t="s">
        <v>295</v>
      </c>
      <c r="H367" s="26">
        <v>34.962302892793645</v>
      </c>
      <c r="I367" s="26">
        <v>0</v>
      </c>
      <c r="J367" s="27">
        <v>34.962302892793645</v>
      </c>
      <c r="K367" s="26">
        <v>1.1968078669622213</v>
      </c>
      <c r="L367" s="26">
        <v>7.9893146703553866</v>
      </c>
      <c r="M367" s="27">
        <v>9.1861225373176083</v>
      </c>
      <c r="N367" s="26">
        <v>2.8396544100827743</v>
      </c>
      <c r="O367" s="26">
        <v>14.217042753869821</v>
      </c>
      <c r="P367" s="26">
        <v>2.693146510584004</v>
      </c>
      <c r="Q367" s="26">
        <v>2.4196442691752211</v>
      </c>
      <c r="R367" s="26">
        <v>6.2191938883139022</v>
      </c>
      <c r="S367" s="26">
        <v>8.4659376290821893</v>
      </c>
      <c r="T367" s="26">
        <v>14.976045459021206</v>
      </c>
      <c r="U367" s="26">
        <v>2.1246035459436015</v>
      </c>
      <c r="V367" s="27">
        <v>53.955268466072724</v>
      </c>
      <c r="W367" s="27">
        <v>100.36258703955333</v>
      </c>
      <c r="X367" s="26">
        <v>9.7805297006111314</v>
      </c>
      <c r="Y367" s="28">
        <v>110.14553420286249</v>
      </c>
      <c r="Z367" s="17" t="str">
        <f>SUBSTITUTE(SUBSTITUTE(SUBSTITUTE(SUBSTITUTE(IF(E367="","",VLOOKUP(E367,[1]Esquemas_NORM!$A$2:$H$126,8,FALSE)),"PROVINCIA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67" s="17" t="str">
        <f>IF($E367="","",INDEX([1]Esquemas_NORM!$H$2:$K$126,MATCH($E367,[1]Esquemas_NORM!$A$2:$A$126,0),MATCH(AA$4,[1]Esquemas_NORM!$H$1:$K$1,0)))</f>
        <v>A la fecha no ha conformado un EAT Región</v>
      </c>
      <c r="AB367" s="17" t="str">
        <f>IF($E367="","",INDEX([1]Esquemas_NORM!$H$2:$K$126,MATCH($E367,[1]Esquemas_NORM!$A$2:$A$126,0),MATCH(AB$4,[1]Esquemas_NORM!$H$1:$K$1,0)))</f>
        <v>A la fecha no ha conformado un EAT Área Metropolitana</v>
      </c>
      <c r="AC367" s="17" t="str">
        <f>IF($E367="","",INDEX([1]Esquemas_NORM!$H$2:$K$126,MATCH($E367,[1]Esquemas_NORM!$A$2:$A$126,0),MATCH(AC$4,[1]Esquemas_NORM!$H$1:$K$1,0)))</f>
        <v>A la fecha no ha conformado un EAT asociación - unión</v>
      </c>
      <c r="AD367" s="23"/>
    </row>
    <row r="368" spans="1:30" x14ac:dyDescent="0.25">
      <c r="A368" s="24">
        <v>2017</v>
      </c>
      <c r="B368" s="25" t="s">
        <v>36</v>
      </c>
      <c r="C368" s="25" t="s">
        <v>252</v>
      </c>
      <c r="D368" s="25" t="s">
        <v>253</v>
      </c>
      <c r="E368" s="25" t="s">
        <v>296</v>
      </c>
      <c r="F368" s="25" t="s">
        <v>255</v>
      </c>
      <c r="G368" s="25" t="s">
        <v>297</v>
      </c>
      <c r="H368" s="26">
        <v>28.916376716416075</v>
      </c>
      <c r="I368" s="26">
        <v>1.3242756253383667</v>
      </c>
      <c r="J368" s="27">
        <v>30.240652341754441</v>
      </c>
      <c r="K368" s="26">
        <v>3.9974682482401134</v>
      </c>
      <c r="L368" s="26">
        <v>5.4251291714463115</v>
      </c>
      <c r="M368" s="27">
        <v>9.4225974196864257</v>
      </c>
      <c r="N368" s="26">
        <v>3.2250251378431427</v>
      </c>
      <c r="O368" s="26">
        <v>20.373619755135937</v>
      </c>
      <c r="P368" s="26">
        <v>5.0878958280309918</v>
      </c>
      <c r="Q368" s="26">
        <v>2.2115013058684858</v>
      </c>
      <c r="R368" s="26">
        <v>8.2330226939515381</v>
      </c>
      <c r="S368" s="26">
        <v>9.9617305386548995</v>
      </c>
      <c r="T368" s="26">
        <v>19.082142762696854</v>
      </c>
      <c r="U368" s="26">
        <v>3.2955021319503812</v>
      </c>
      <c r="V368" s="27">
        <v>71.470440154132234</v>
      </c>
      <c r="W368" s="27">
        <v>113.75755540958117</v>
      </c>
      <c r="X368" s="26">
        <v>11.085895473316151</v>
      </c>
      <c r="Y368" s="28">
        <v>124.84619099407749</v>
      </c>
      <c r="Z368" s="17" t="str">
        <f>SUBSTITUTE(SUBSTITUTE(SUBSTITUTE(SUBSTITUTE(IF(E368="","",VLOOKUP(E368,[1]Esquemas_NORM!$A$2:$H$126,8,FALSE)),"PROVINCIA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368" s="17" t="str">
        <f>IF($E368="","",INDEX([1]Esquemas_NORM!$H$2:$K$126,MATCH($E368,[1]Esquemas_NORM!$A$2:$A$126,0),MATCH(AA$4,[1]Esquemas_NORM!$H$1:$K$1,0)))</f>
        <v>A la fecha no ha conformado un EAT Región</v>
      </c>
      <c r="AB368" s="17" t="str">
        <f>IF($E368="","",INDEX([1]Esquemas_NORM!$H$2:$K$126,MATCH($E368,[1]Esquemas_NORM!$A$2:$A$126,0),MATCH(AB$4,[1]Esquemas_NORM!$H$1:$K$1,0)))</f>
        <v>A la fecha no ha conformado un EAT Área Metropolitana</v>
      </c>
      <c r="AC368" s="17" t="str">
        <f>IF($E368="","",INDEX([1]Esquemas_NORM!$H$2:$K$126,MATCH($E368,[1]Esquemas_NORM!$A$2:$A$126,0),MATCH(AC$4,[1]Esquemas_NORM!$H$1:$K$1,0)))</f>
        <v>A la fecha no ha conformado un EAT asociación - unión</v>
      </c>
      <c r="AD368" s="23"/>
    </row>
    <row r="369" spans="1:30" x14ac:dyDescent="0.25">
      <c r="A369" s="24">
        <v>2017</v>
      </c>
      <c r="B369" s="25" t="s">
        <v>36</v>
      </c>
      <c r="C369" s="25" t="s">
        <v>252</v>
      </c>
      <c r="D369" s="25" t="s">
        <v>264</v>
      </c>
      <c r="E369" s="25" t="s">
        <v>298</v>
      </c>
      <c r="F369" s="25" t="s">
        <v>255</v>
      </c>
      <c r="G369" s="25" t="s">
        <v>299</v>
      </c>
      <c r="H369" s="26">
        <v>199.50244279956172</v>
      </c>
      <c r="I369" s="26">
        <v>0.36473482395851781</v>
      </c>
      <c r="J369" s="27">
        <v>199.86717762352023</v>
      </c>
      <c r="K369" s="26">
        <v>27.283589056929337</v>
      </c>
      <c r="L369" s="26">
        <v>20.443446150605045</v>
      </c>
      <c r="M369" s="27">
        <v>47.727035207534385</v>
      </c>
      <c r="N369" s="26">
        <v>10.764586035603017</v>
      </c>
      <c r="O369" s="26">
        <v>42.77499324629332</v>
      </c>
      <c r="P369" s="26">
        <v>10.119203015518391</v>
      </c>
      <c r="Q369" s="26">
        <v>11.021207733470538</v>
      </c>
      <c r="R369" s="26">
        <v>21.6243599584154</v>
      </c>
      <c r="S369" s="26">
        <v>29.483107584682152</v>
      </c>
      <c r="T369" s="26">
        <v>56.698952724850507</v>
      </c>
      <c r="U369" s="26">
        <v>9.5268151148687412</v>
      </c>
      <c r="V369" s="27">
        <v>192.01322541370206</v>
      </c>
      <c r="W369" s="27">
        <v>449.41115315099768</v>
      </c>
      <c r="X369" s="26">
        <v>43.795992718353318</v>
      </c>
      <c r="Y369" s="28">
        <v>493.21797096594202</v>
      </c>
      <c r="Z369" s="17" t="str">
        <f>SUBSTITUTE(SUBSTITUTE(SUBSTITUTE(SUBSTITUTE(IF(E369="","",VLOOKUP(E369,[1]Esquemas_NORM!$A$2:$H$126,8,FALSE)),"PROVINCIA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369" s="17" t="str">
        <f>IF($E369="","",INDEX([1]Esquemas_NORM!$H$2:$K$126,MATCH($E369,[1]Esquemas_NORM!$A$2:$A$126,0),MATCH(AA$4,[1]Esquemas_NORM!$H$1:$K$1,0)))</f>
        <v>A la fecha no ha conformado un EAT Región</v>
      </c>
      <c r="AB369" s="17" t="str">
        <f>IF($E369="","",INDEX([1]Esquemas_NORM!$H$2:$K$126,MATCH($E369,[1]Esquemas_NORM!$A$2:$A$126,0),MATCH(AB$4,[1]Esquemas_NORM!$H$1:$K$1,0)))</f>
        <v>A la fecha no ha conformado un EAT Área Metropolitana</v>
      </c>
      <c r="AC369" s="17" t="str">
        <f>IF($E369="","",INDEX([1]Esquemas_NORM!$H$2:$K$126,MATCH($E369,[1]Esquemas_NORM!$A$2:$A$126,0),MATCH(AC$4,[1]Esquemas_NORM!$H$1:$K$1,0)))</f>
        <v>A la fecha no ha conformado un EAT asociación - unión</v>
      </c>
      <c r="AD369" s="23"/>
    </row>
    <row r="370" spans="1:30" x14ac:dyDescent="0.25">
      <c r="A370" s="24">
        <v>2017</v>
      </c>
      <c r="B370" s="25" t="s">
        <v>36</v>
      </c>
      <c r="C370" s="25" t="s">
        <v>252</v>
      </c>
      <c r="D370" s="25" t="s">
        <v>267</v>
      </c>
      <c r="E370" s="25" t="s">
        <v>300</v>
      </c>
      <c r="F370" s="25" t="s">
        <v>255</v>
      </c>
      <c r="G370" s="25" t="s">
        <v>301</v>
      </c>
      <c r="H370" s="26">
        <v>42.266798753255728</v>
      </c>
      <c r="I370" s="26">
        <v>2.1223799452059571</v>
      </c>
      <c r="J370" s="27">
        <v>44.389178698461684</v>
      </c>
      <c r="K370" s="26">
        <v>1.981094613211942</v>
      </c>
      <c r="L370" s="26">
        <v>7.6547825401561633</v>
      </c>
      <c r="M370" s="27">
        <v>9.6358771533681047</v>
      </c>
      <c r="N370" s="26">
        <v>1.9980688616335498</v>
      </c>
      <c r="O370" s="26">
        <v>9.7970071443977531</v>
      </c>
      <c r="P370" s="26">
        <v>2.769191624516937</v>
      </c>
      <c r="Q370" s="26">
        <v>2.0987080649570293</v>
      </c>
      <c r="R370" s="26">
        <v>8.2357815674414585</v>
      </c>
      <c r="S370" s="26">
        <v>7.9097790815762066</v>
      </c>
      <c r="T370" s="26">
        <v>13.840333645954347</v>
      </c>
      <c r="U370" s="26">
        <v>2.7063986395956325</v>
      </c>
      <c r="V370" s="27">
        <v>49.355268630072914</v>
      </c>
      <c r="W370" s="27">
        <v>105.63672508546372</v>
      </c>
      <c r="X370" s="26">
        <v>10.294504731791275</v>
      </c>
      <c r="Y370" s="28">
        <v>115.93377431964346</v>
      </c>
      <c r="Z370" s="17" t="str">
        <f>SUBSTITUTE(SUBSTITUTE(SUBSTITUTE(SUBSTITUTE(IF(E370="","",VLOOKUP(E370,[1]Esquemas_NORM!$A$2:$H$126,8,FALSE)),"PROVINCIA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70" s="17" t="str">
        <f>IF($E370="","",INDEX([1]Esquemas_NORM!$H$2:$K$126,MATCH($E370,[1]Esquemas_NORM!$A$2:$A$126,0),MATCH(AA$4,[1]Esquemas_NORM!$H$1:$K$1,0)))</f>
        <v>A la fecha no ha conformado un EAT Región</v>
      </c>
      <c r="AB370" s="17" t="str">
        <f>IF($E370="","",INDEX([1]Esquemas_NORM!$H$2:$K$126,MATCH($E370,[1]Esquemas_NORM!$A$2:$A$126,0),MATCH(AB$4,[1]Esquemas_NORM!$H$1:$K$1,0)))</f>
        <v>A la fecha no ha conformado un EAT Área Metropolitana</v>
      </c>
      <c r="AC370" s="17" t="str">
        <f>IF($E370="","",INDEX([1]Esquemas_NORM!$H$2:$K$126,MATCH($E370,[1]Esquemas_NORM!$A$2:$A$126,0),MATCH(AC$4,[1]Esquemas_NORM!$H$1:$K$1,0)))</f>
        <v>A la fecha no ha conformado un EAT asociación - unión</v>
      </c>
      <c r="AD370" s="23"/>
    </row>
    <row r="371" spans="1:30" x14ac:dyDescent="0.25">
      <c r="A371" s="24">
        <v>2017</v>
      </c>
      <c r="B371" s="25" t="s">
        <v>36</v>
      </c>
      <c r="C371" s="25" t="s">
        <v>252</v>
      </c>
      <c r="D371" s="25" t="s">
        <v>253</v>
      </c>
      <c r="E371" s="25" t="s">
        <v>302</v>
      </c>
      <c r="F371" s="25" t="s">
        <v>255</v>
      </c>
      <c r="G371" s="25" t="s">
        <v>303</v>
      </c>
      <c r="H371" s="26">
        <v>41.457700074539652</v>
      </c>
      <c r="I371" s="26">
        <v>1.2991729464339767</v>
      </c>
      <c r="J371" s="27">
        <v>42.756873020973629</v>
      </c>
      <c r="K371" s="26">
        <v>5.457842250243564</v>
      </c>
      <c r="L371" s="26">
        <v>9.5342362841671893</v>
      </c>
      <c r="M371" s="27">
        <v>14.992078534410753</v>
      </c>
      <c r="N371" s="26">
        <v>5.8639425643370853</v>
      </c>
      <c r="O371" s="26">
        <v>25.777743474900248</v>
      </c>
      <c r="P371" s="26">
        <v>3.8651311411942921</v>
      </c>
      <c r="Q371" s="26">
        <v>3.960103116824317</v>
      </c>
      <c r="R371" s="26">
        <v>14.586250741439342</v>
      </c>
      <c r="S371" s="26">
        <v>14.052309813146005</v>
      </c>
      <c r="T371" s="26">
        <v>23.744838438812671</v>
      </c>
      <c r="U371" s="26">
        <v>4.290548745310935</v>
      </c>
      <c r="V371" s="27">
        <v>96.1408680359649</v>
      </c>
      <c r="W371" s="27">
        <v>157.12632146016779</v>
      </c>
      <c r="X371" s="26">
        <v>15.312266245020094</v>
      </c>
      <c r="Y371" s="28">
        <v>172.44237245239506</v>
      </c>
      <c r="Z371" s="17" t="str">
        <f>SUBSTITUTE(SUBSTITUTE(SUBSTITUTE(SUBSTITUTE(IF(E371="","",VLOOKUP(E371,[1]Esquemas_NORM!$A$2:$H$126,8,FALSE)),"PROVINCIA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371" s="17" t="str">
        <f>IF($E371="","",INDEX([1]Esquemas_NORM!$H$2:$K$126,MATCH($E371,[1]Esquemas_NORM!$A$2:$A$126,0),MATCH(AA$4,[1]Esquemas_NORM!$H$1:$K$1,0)))</f>
        <v>A la fecha no ha conformado un EAT Región</v>
      </c>
      <c r="AB371" s="17" t="str">
        <f>IF($E371="","",INDEX([1]Esquemas_NORM!$H$2:$K$126,MATCH($E371,[1]Esquemas_NORM!$A$2:$A$126,0),MATCH(AB$4,[1]Esquemas_NORM!$H$1:$K$1,0)))</f>
        <v>A la fecha no ha conformado un EAT Área Metropolitana</v>
      </c>
      <c r="AC371" s="17" t="str">
        <f>IF($E371="","",INDEX([1]Esquemas_NORM!$H$2:$K$126,MATCH($E371,[1]Esquemas_NORM!$A$2:$A$126,0),MATCH(AC$4,[1]Esquemas_NORM!$H$1:$K$1,0)))</f>
        <v>A la fecha no ha conformado un EAT asociación - unión</v>
      </c>
      <c r="AD371" s="23"/>
    </row>
    <row r="372" spans="1:30" x14ac:dyDescent="0.25">
      <c r="A372" s="24">
        <v>2017</v>
      </c>
      <c r="B372" s="25" t="s">
        <v>36</v>
      </c>
      <c r="C372" s="25" t="s">
        <v>304</v>
      </c>
      <c r="D372" s="25" t="s">
        <v>305</v>
      </c>
      <c r="E372" s="25" t="s">
        <v>306</v>
      </c>
      <c r="F372" s="25" t="s">
        <v>307</v>
      </c>
      <c r="G372" s="25" t="s">
        <v>308</v>
      </c>
      <c r="H372" s="26">
        <v>491.23169026865179</v>
      </c>
      <c r="I372" s="26">
        <v>0.8906325741969302</v>
      </c>
      <c r="J372" s="27">
        <v>492.12232284284875</v>
      </c>
      <c r="K372" s="26">
        <v>80.297547975576137</v>
      </c>
      <c r="L372" s="26">
        <v>172.00312219086189</v>
      </c>
      <c r="M372" s="27">
        <v>252.30067016643801</v>
      </c>
      <c r="N372" s="26">
        <v>64.863765527989358</v>
      </c>
      <c r="O372" s="26">
        <v>485.48296565618256</v>
      </c>
      <c r="P372" s="26">
        <v>51.78992835383832</v>
      </c>
      <c r="Q372" s="26">
        <v>62.010770386086591</v>
      </c>
      <c r="R372" s="26">
        <v>112.72390190527426</v>
      </c>
      <c r="S372" s="26">
        <v>168.37436237120968</v>
      </c>
      <c r="T372" s="26">
        <v>250.83222655281057</v>
      </c>
      <c r="U372" s="26">
        <v>34.751322750526938</v>
      </c>
      <c r="V372" s="27">
        <v>1230.8292435039184</v>
      </c>
      <c r="W372" s="27">
        <v>2017.0673802988715</v>
      </c>
      <c r="X372" s="26">
        <v>196.56714721162331</v>
      </c>
      <c r="Y372" s="28">
        <v>2213.6831131966064</v>
      </c>
      <c r="Z372" s="17" t="str">
        <f>SUBSTITUTE(SUBSTITUTE(SUBSTITUTE(SUBSTITUTE(IF(E372="","",VLOOKUP(E372,[1]Esquemas_NORM!$A$2:$H$126,8,FALSE)),"PROVINCIA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72" s="17" t="str">
        <f>IF($E372="","",INDEX([1]Esquemas_NORM!$H$2:$K$126,MATCH($E372,[1]Esquemas_NORM!$A$2:$A$126,0),MATCH(AA$4,[1]Esquemas_NORM!$H$1:$K$1,0)))</f>
        <v>Región de Planeación y Gestión de Urabá - RPG (Acuerdo de Voluntades)</v>
      </c>
      <c r="AB372" s="17" t="str">
        <f>IF($E372="","",INDEX([1]Esquemas_NORM!$H$2:$K$126,MATCH($E372,[1]Esquemas_NORM!$A$2:$A$126,0),MATCH(AB$4,[1]Esquemas_NORM!$H$1:$K$1,0)))</f>
        <v>A la fecha no ha conformado un EAT Área Metropolitana</v>
      </c>
      <c r="AC372" s="17" t="str">
        <f>IF($E372="","",INDEX([1]Esquemas_NORM!$H$2:$K$126,MATCH($E372,[1]Esquemas_NORM!$A$2:$A$126,0),MATCH(AC$4,[1]Esquemas_NORM!$H$1:$K$1,0)))</f>
        <v>ASOCIACIÓN DE MUNICIPIOS DEL URABÁ ANTIOQUEÑO - ASOMURA</v>
      </c>
      <c r="AD372" s="23"/>
    </row>
    <row r="373" spans="1:30" x14ac:dyDescent="0.25">
      <c r="A373" s="24">
        <v>2017</v>
      </c>
      <c r="B373" s="25" t="s">
        <v>36</v>
      </c>
      <c r="C373" s="25" t="s">
        <v>304</v>
      </c>
      <c r="D373" s="25" t="s">
        <v>309</v>
      </c>
      <c r="E373" s="25" t="s">
        <v>310</v>
      </c>
      <c r="F373" s="25" t="s">
        <v>307</v>
      </c>
      <c r="G373" s="25" t="s">
        <v>311</v>
      </c>
      <c r="H373" s="26">
        <v>46.867766152554815</v>
      </c>
      <c r="I373" s="26">
        <v>0</v>
      </c>
      <c r="J373" s="27">
        <v>46.867766152554815</v>
      </c>
      <c r="K373" s="26">
        <v>1.4482737253721456</v>
      </c>
      <c r="L373" s="26">
        <v>22.090567018781762</v>
      </c>
      <c r="M373" s="27">
        <v>23.538840744153909</v>
      </c>
      <c r="N373" s="26">
        <v>7.9934533849447238</v>
      </c>
      <c r="O373" s="26">
        <v>25.802086118470569</v>
      </c>
      <c r="P373" s="26">
        <v>16.081443849454629</v>
      </c>
      <c r="Q373" s="26">
        <v>8.6823929783015483</v>
      </c>
      <c r="R373" s="26">
        <v>15.858910176533513</v>
      </c>
      <c r="S373" s="26">
        <v>24.642238933932479</v>
      </c>
      <c r="T373" s="26">
        <v>69.73429636378485</v>
      </c>
      <c r="U373" s="26">
        <v>9.4301175190964273</v>
      </c>
      <c r="V373" s="27">
        <v>178.22493932451874</v>
      </c>
      <c r="W373" s="27">
        <v>253.13996323018128</v>
      </c>
      <c r="X373" s="26">
        <v>24.668982753582572</v>
      </c>
      <c r="Y373" s="28">
        <v>277.8150434393649</v>
      </c>
      <c r="Z373" s="17" t="str">
        <f>SUBSTITUTE(SUBSTITUTE(SUBSTITUTE(SUBSTITUTE(IF(E373="","",VLOOKUP(E373,[1]Esquemas_NORM!$A$2:$H$126,8,FALSE)),"PROVINCIA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73" s="17" t="str">
        <f>IF($E373="","",INDEX([1]Esquemas_NORM!$H$2:$K$126,MATCH($E373,[1]Esquemas_NORM!$A$2:$A$126,0),MATCH(AA$4,[1]Esquemas_NORM!$H$1:$K$1,0)))</f>
        <v>Región de Planeación y Gestión de Urabá - RPG (Acuerdo de Voluntades)</v>
      </c>
      <c r="AB373" s="17" t="str">
        <f>IF($E373="","",INDEX([1]Esquemas_NORM!$H$2:$K$126,MATCH($E373,[1]Esquemas_NORM!$A$2:$A$126,0),MATCH(AB$4,[1]Esquemas_NORM!$H$1:$K$1,0)))</f>
        <v>A la fecha no ha conformado un EAT Área Metropolitana</v>
      </c>
      <c r="AC373" s="17" t="str">
        <f>IF($E373="","",INDEX([1]Esquemas_NORM!$H$2:$K$126,MATCH($E373,[1]Esquemas_NORM!$A$2:$A$126,0),MATCH(AC$4,[1]Esquemas_NORM!$H$1:$K$1,0)))</f>
        <v>ASOCIACIÓN DE MUNICIPIOS DEL URABÁ ANTIOQUEÑO - ASOMURA /ASOCIACIÓN DE MUNICIPIOS DEL URABÁ NORTE-ASOURANOR</v>
      </c>
      <c r="AD373" s="23"/>
    </row>
    <row r="374" spans="1:30" x14ac:dyDescent="0.25">
      <c r="A374" s="24">
        <v>2017</v>
      </c>
      <c r="B374" s="25" t="s">
        <v>36</v>
      </c>
      <c r="C374" s="25" t="s">
        <v>304</v>
      </c>
      <c r="D374" s="25" t="s">
        <v>305</v>
      </c>
      <c r="E374" s="25" t="s">
        <v>312</v>
      </c>
      <c r="F374" s="25" t="s">
        <v>307</v>
      </c>
      <c r="G374" s="25" t="s">
        <v>313</v>
      </c>
      <c r="H374" s="26">
        <v>487.55037451922595</v>
      </c>
      <c r="I374" s="26">
        <v>0.41383500347937746</v>
      </c>
      <c r="J374" s="27">
        <v>487.96420952270535</v>
      </c>
      <c r="K374" s="26">
        <v>22.507799872113701</v>
      </c>
      <c r="L374" s="26">
        <v>61.514670742135706</v>
      </c>
      <c r="M374" s="27">
        <v>84.022470614249414</v>
      </c>
      <c r="N374" s="26">
        <v>18.722374099289951</v>
      </c>
      <c r="O374" s="26">
        <v>121.73885414450038</v>
      </c>
      <c r="P374" s="26">
        <v>16.75523441785214</v>
      </c>
      <c r="Q374" s="26">
        <v>12.31948947612608</v>
      </c>
      <c r="R374" s="26">
        <v>26.050337218749274</v>
      </c>
      <c r="S374" s="26">
        <v>48.553066440702672</v>
      </c>
      <c r="T374" s="26">
        <v>66.758960102747665</v>
      </c>
      <c r="U374" s="26">
        <v>12.217157663527171</v>
      </c>
      <c r="V374" s="27">
        <v>323.11547356349536</v>
      </c>
      <c r="W374" s="27">
        <v>919.9528926326725</v>
      </c>
      <c r="X374" s="26">
        <v>89.651202255401031</v>
      </c>
      <c r="Y374" s="28">
        <v>1009.6262540598078</v>
      </c>
      <c r="Z374" s="17" t="str">
        <f>SUBSTITUTE(SUBSTITUTE(SUBSTITUTE(SUBSTITUTE(IF(E374="","",VLOOKUP(E374,[1]Esquemas_NORM!$A$2:$H$126,8,FALSE)),"PROVINCIA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74" s="17" t="str">
        <f>IF($E374="","",INDEX([1]Esquemas_NORM!$H$2:$K$126,MATCH($E374,[1]Esquemas_NORM!$A$2:$A$126,0),MATCH(AA$4,[1]Esquemas_NORM!$H$1:$K$1,0)))</f>
        <v>Región de Planeación y Gestión de Urabá - RPG (Acuerdo de Voluntades)</v>
      </c>
      <c r="AB374" s="17" t="str">
        <f>IF($E374="","",INDEX([1]Esquemas_NORM!$H$2:$K$126,MATCH($E374,[1]Esquemas_NORM!$A$2:$A$126,0),MATCH(AB$4,[1]Esquemas_NORM!$H$1:$K$1,0)))</f>
        <v>A la fecha no ha conformado un EAT Área Metropolitana</v>
      </c>
      <c r="AC374" s="17" t="str">
        <f>IF($E374="","",INDEX([1]Esquemas_NORM!$H$2:$K$126,MATCH($E374,[1]Esquemas_NORM!$A$2:$A$126,0),MATCH(AC$4,[1]Esquemas_NORM!$H$1:$K$1,0)))</f>
        <v>ASOCIACIÓN DE MUNICIPIOS DEL URABÁ ANTIOQUEÑO - ASOMURA / ASOCIACIÓN DE MUNICIPIOS DEL CHOCÓ Y URABÁ - ASUMUCUR</v>
      </c>
      <c r="AD374" s="23"/>
    </row>
    <row r="375" spans="1:30" x14ac:dyDescent="0.25">
      <c r="A375" s="24">
        <v>2017</v>
      </c>
      <c r="B375" s="25" t="s">
        <v>36</v>
      </c>
      <c r="C375" s="25" t="s">
        <v>304</v>
      </c>
      <c r="D375" s="25" t="s">
        <v>305</v>
      </c>
      <c r="E375" s="25" t="s">
        <v>314</v>
      </c>
      <c r="F375" s="25" t="s">
        <v>307</v>
      </c>
      <c r="G375" s="25" t="s">
        <v>315</v>
      </c>
      <c r="H375" s="26">
        <v>259.3329390900189</v>
      </c>
      <c r="I375" s="26">
        <v>0.64549904299133121</v>
      </c>
      <c r="J375" s="27">
        <v>259.97843813301023</v>
      </c>
      <c r="K375" s="26">
        <v>25.384348472843154</v>
      </c>
      <c r="L375" s="26">
        <v>44.547946541309585</v>
      </c>
      <c r="M375" s="27">
        <v>69.932295014152743</v>
      </c>
      <c r="N375" s="26">
        <v>22.978273130145443</v>
      </c>
      <c r="O375" s="26">
        <v>149.34608553936462</v>
      </c>
      <c r="P375" s="26">
        <v>15.598803594497342</v>
      </c>
      <c r="Q375" s="26">
        <v>21.297278463628775</v>
      </c>
      <c r="R375" s="26">
        <v>35.462722975472204</v>
      </c>
      <c r="S375" s="26">
        <v>55.562427773136434</v>
      </c>
      <c r="T375" s="26">
        <v>88.11404606583578</v>
      </c>
      <c r="U375" s="26">
        <v>14.303738783045542</v>
      </c>
      <c r="V375" s="27">
        <v>402.66337632512619</v>
      </c>
      <c r="W375" s="27">
        <v>750.88690804344003</v>
      </c>
      <c r="X375" s="26">
        <v>73.175392569583636</v>
      </c>
      <c r="Y375" s="28">
        <v>824.08038744342696</v>
      </c>
      <c r="Z375" s="17" t="str">
        <f>SUBSTITUTE(SUBSTITUTE(SUBSTITUTE(SUBSTITUTE(IF(E375="","",VLOOKUP(E375,[1]Esquemas_NORM!$A$2:$H$126,8,FALSE)),"PROVINCIA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75" s="17" t="str">
        <f>IF($E375="","",INDEX([1]Esquemas_NORM!$H$2:$K$126,MATCH($E375,[1]Esquemas_NORM!$A$2:$A$126,0),MATCH(AA$4,[1]Esquemas_NORM!$H$1:$K$1,0)))</f>
        <v>Región de Planeación y Gestión de Urabá - RPG (Acuerdo de Voluntades)</v>
      </c>
      <c r="AB375" s="17" t="str">
        <f>IF($E375="","",INDEX([1]Esquemas_NORM!$H$2:$K$126,MATCH($E375,[1]Esquemas_NORM!$A$2:$A$126,0),MATCH(AB$4,[1]Esquemas_NORM!$H$1:$K$1,0)))</f>
        <v>A la fecha no ha conformado un EAT Área Metropolitana</v>
      </c>
      <c r="AC375" s="17" t="str">
        <f>IF($E375="","",INDEX([1]Esquemas_NORM!$H$2:$K$126,MATCH($E375,[1]Esquemas_NORM!$A$2:$A$126,0),MATCH(AC$4,[1]Esquemas_NORM!$H$1:$K$1,0)))</f>
        <v>ASOCIACIÓN DE MUNICIPIOS DEL URABÁ ANTIOQUEÑO - ASOMURA</v>
      </c>
      <c r="AD375" s="23"/>
    </row>
    <row r="376" spans="1:30" x14ac:dyDescent="0.25">
      <c r="A376" s="24">
        <v>2017</v>
      </c>
      <c r="B376" s="25" t="s">
        <v>36</v>
      </c>
      <c r="C376" s="25" t="s">
        <v>304</v>
      </c>
      <c r="D376" s="25" t="s">
        <v>316</v>
      </c>
      <c r="E376" s="25" t="s">
        <v>317</v>
      </c>
      <c r="F376" s="25" t="s">
        <v>307</v>
      </c>
      <c r="G376" s="25" t="s">
        <v>318</v>
      </c>
      <c r="H376" s="26">
        <v>0.76919540492020611</v>
      </c>
      <c r="I376" s="26">
        <v>0</v>
      </c>
      <c r="J376" s="27">
        <v>0.76919540492020611</v>
      </c>
      <c r="K376" s="26">
        <v>0.35417700209846492</v>
      </c>
      <c r="L376" s="26">
        <v>2.7819900716529684</v>
      </c>
      <c r="M376" s="27">
        <v>3.1361670737514333</v>
      </c>
      <c r="N376" s="26">
        <v>0.52527406097011042</v>
      </c>
      <c r="O376" s="26">
        <v>1.8828041930534842</v>
      </c>
      <c r="P376" s="26">
        <v>13.342689613869027</v>
      </c>
      <c r="Q376" s="26">
        <v>0.57777317337309375</v>
      </c>
      <c r="R376" s="26">
        <v>1.584919621904338</v>
      </c>
      <c r="S376" s="26">
        <v>2.925238644629145</v>
      </c>
      <c r="T376" s="26">
        <v>9.0410161394268354</v>
      </c>
      <c r="U376" s="26">
        <v>0.59240304773898811</v>
      </c>
      <c r="V376" s="27">
        <v>30.47211849496502</v>
      </c>
      <c r="W376" s="27">
        <v>35.028641414333848</v>
      </c>
      <c r="X376" s="26">
        <v>3.4136093720826217</v>
      </c>
      <c r="Y376" s="28">
        <v>38.443094531446135</v>
      </c>
      <c r="Z376" s="17" t="str">
        <f>SUBSTITUTE(SUBSTITUTE(SUBSTITUTE(SUBSTITUTE(IF(E376="","",VLOOKUP(E376,[1]Esquemas_NORM!$A$2:$H$126,8,FALSE)),"PROVINCIA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76" s="17" t="str">
        <f>IF($E376="","",INDEX([1]Esquemas_NORM!$H$2:$K$126,MATCH($E376,[1]Esquemas_NORM!$A$2:$A$126,0),MATCH(AA$4,[1]Esquemas_NORM!$H$1:$K$1,0)))</f>
        <v>Región de Planeación y Gestión de Urabá - RPG (Acuerdo de Voluntades)</v>
      </c>
      <c r="AB376" s="17" t="str">
        <f>IF($E376="","",INDEX([1]Esquemas_NORM!$H$2:$K$126,MATCH($E376,[1]Esquemas_NORM!$A$2:$A$126,0),MATCH(AB$4,[1]Esquemas_NORM!$H$1:$K$1,0)))</f>
        <v>A la fecha no ha conformado un EAT Área Metropolitana</v>
      </c>
      <c r="AC376" s="17" t="str">
        <f>IF($E376="","",INDEX([1]Esquemas_NORM!$H$2:$K$126,MATCH($E376,[1]Esquemas_NORM!$A$2:$A$126,0),MATCH(AC$4,[1]Esquemas_NORM!$H$1:$K$1,0)))</f>
        <v>ASOCIACION DE MUNICIPIOS DE LA CUENCA DEL ATRATO Y DARIEN ASOATRATO / ASOCIACIÓN DE MUNICIPIOS DEL CHOCÓ Y URABÁ - ASUMUCUR</v>
      </c>
      <c r="AD376" s="23"/>
    </row>
    <row r="377" spans="1:30" x14ac:dyDescent="0.25">
      <c r="A377" s="24">
        <v>2017</v>
      </c>
      <c r="B377" s="25" t="s">
        <v>36</v>
      </c>
      <c r="C377" s="25" t="s">
        <v>304</v>
      </c>
      <c r="D377" s="25" t="s">
        <v>305</v>
      </c>
      <c r="E377" s="25" t="s">
        <v>319</v>
      </c>
      <c r="F377" s="25" t="s">
        <v>307</v>
      </c>
      <c r="G377" s="25" t="s">
        <v>320</v>
      </c>
      <c r="H377" s="26">
        <v>19.877096475153369</v>
      </c>
      <c r="I377" s="26">
        <v>24.2473373905244</v>
      </c>
      <c r="J377" s="27">
        <v>44.124433865677773</v>
      </c>
      <c r="K377" s="26">
        <v>1.4999011494925043</v>
      </c>
      <c r="L377" s="26">
        <v>11.279604022641797</v>
      </c>
      <c r="M377" s="27">
        <v>12.779505172134302</v>
      </c>
      <c r="N377" s="26">
        <v>7.1612244653081056</v>
      </c>
      <c r="O377" s="26">
        <v>19.945839252636066</v>
      </c>
      <c r="P377" s="26">
        <v>5.0643914616892758</v>
      </c>
      <c r="Q377" s="26">
        <v>4.1241402222922403</v>
      </c>
      <c r="R377" s="26">
        <v>8.2623948823926234</v>
      </c>
      <c r="S377" s="26">
        <v>14.477504175608445</v>
      </c>
      <c r="T377" s="26">
        <v>32.705908250119435</v>
      </c>
      <c r="U377" s="26">
        <v>2.7526846608244444</v>
      </c>
      <c r="V377" s="27">
        <v>94.494087370870631</v>
      </c>
      <c r="W377" s="27">
        <v>154.27052901615343</v>
      </c>
      <c r="X377" s="26">
        <v>15.033963705775372</v>
      </c>
      <c r="Y377" s="28">
        <v>169.30820868083629</v>
      </c>
      <c r="Z377" s="17" t="str">
        <f>SUBSTITUTE(SUBSTITUTE(SUBSTITUTE(SUBSTITUTE(IF(E377="","",VLOOKUP(E377,[1]Esquemas_NORM!$A$2:$H$126,8,FALSE)),"PROVINCIA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77" s="17" t="str">
        <f>IF($E377="","",INDEX([1]Esquemas_NORM!$H$2:$K$126,MATCH($E377,[1]Esquemas_NORM!$A$2:$A$126,0),MATCH(AA$4,[1]Esquemas_NORM!$H$1:$K$1,0)))</f>
        <v>Región de Planeación y Gestión de Urabá - RPG (Acuerdo de Voluntades)</v>
      </c>
      <c r="AB377" s="17" t="str">
        <f>IF($E377="","",INDEX([1]Esquemas_NORM!$H$2:$K$126,MATCH($E377,[1]Esquemas_NORM!$A$2:$A$126,0),MATCH(AB$4,[1]Esquemas_NORM!$H$1:$K$1,0)))</f>
        <v>A la fecha no ha conformado un EAT Área Metropolitana</v>
      </c>
      <c r="AC377" s="17" t="str">
        <f>IF($E377="","",INDEX([1]Esquemas_NORM!$H$2:$K$126,MATCH($E377,[1]Esquemas_NORM!$A$2:$A$126,0),MATCH(AC$4,[1]Esquemas_NORM!$H$1:$K$1,0)))</f>
        <v>ASOCIACIÓN DE MUNICIPIOS DEL URABÁ ANTIOQUEÑO - ASOMURA / ASOCIACIÓN DE MUNICIPIOS DEL CHOCÓ Y URABÁ - ASUMUCUR</v>
      </c>
      <c r="AD377" s="23"/>
    </row>
    <row r="378" spans="1:30" x14ac:dyDescent="0.25">
      <c r="A378" s="24">
        <v>2017</v>
      </c>
      <c r="B378" s="25" t="s">
        <v>36</v>
      </c>
      <c r="C378" s="25" t="s">
        <v>304</v>
      </c>
      <c r="D378" s="25" t="s">
        <v>309</v>
      </c>
      <c r="E378" s="25" t="s">
        <v>321</v>
      </c>
      <c r="F378" s="25" t="s">
        <v>307</v>
      </c>
      <c r="G378" s="25" t="s">
        <v>322</v>
      </c>
      <c r="H378" s="26">
        <v>84.772791168419801</v>
      </c>
      <c r="I378" s="26">
        <v>0.52244122723911512</v>
      </c>
      <c r="J378" s="27">
        <v>85.295232395658914</v>
      </c>
      <c r="K378" s="26">
        <v>2.2649241068982704</v>
      </c>
      <c r="L378" s="26">
        <v>36.486947106413275</v>
      </c>
      <c r="M378" s="27">
        <v>38.751871213311546</v>
      </c>
      <c r="N378" s="26">
        <v>24.748994647305715</v>
      </c>
      <c r="O378" s="26">
        <v>76.678612560083934</v>
      </c>
      <c r="P378" s="26">
        <v>12.249367359749757</v>
      </c>
      <c r="Q378" s="26">
        <v>11.221849587906989</v>
      </c>
      <c r="R378" s="26">
        <v>22.023544949506878</v>
      </c>
      <c r="S378" s="26">
        <v>37.566548169022063</v>
      </c>
      <c r="T378" s="26">
        <v>87.960193085130982</v>
      </c>
      <c r="U378" s="26">
        <v>10.696728925749998</v>
      </c>
      <c r="V378" s="27">
        <v>283.14583928445631</v>
      </c>
      <c r="W378" s="27">
        <v>416.30404186410522</v>
      </c>
      <c r="X378" s="26">
        <v>40.569640201987433</v>
      </c>
      <c r="Y378" s="28">
        <v>456.88370970210639</v>
      </c>
      <c r="Z378" s="17" t="str">
        <f>SUBSTITUTE(SUBSTITUTE(SUBSTITUTE(SUBSTITUTE(IF(E378="","",VLOOKUP(E378,[1]Esquemas_NORM!$A$2:$H$126,8,FALSE)),"PROVINCIA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78" s="17" t="str">
        <f>IF($E378="","",INDEX([1]Esquemas_NORM!$H$2:$K$126,MATCH($E378,[1]Esquemas_NORM!$A$2:$A$126,0),MATCH(AA$4,[1]Esquemas_NORM!$H$1:$K$1,0)))</f>
        <v>Región de Planeación y Gestión de Urabá - RPG (Acuerdo de Voluntades)</v>
      </c>
      <c r="AB378" s="17" t="str">
        <f>IF($E378="","",INDEX([1]Esquemas_NORM!$H$2:$K$126,MATCH($E378,[1]Esquemas_NORM!$A$2:$A$126,0),MATCH(AB$4,[1]Esquemas_NORM!$H$1:$K$1,0)))</f>
        <v>A la fecha no ha conformado un EAT Área Metropolitana</v>
      </c>
      <c r="AC378" s="17" t="str">
        <f>IF($E378="","",INDEX([1]Esquemas_NORM!$H$2:$K$126,MATCH($E378,[1]Esquemas_NORM!$A$2:$A$126,0),MATCH(AC$4,[1]Esquemas_NORM!$H$1:$K$1,0)))</f>
        <v>ASOCIACIÓN DE MUNICIPIOS DEL URABÁ NORTE-ASOURANOR</v>
      </c>
      <c r="AD378" s="23"/>
    </row>
    <row r="379" spans="1:30" x14ac:dyDescent="0.25">
      <c r="A379" s="24">
        <v>2017</v>
      </c>
      <c r="B379" s="25" t="s">
        <v>36</v>
      </c>
      <c r="C379" s="25" t="s">
        <v>304</v>
      </c>
      <c r="D379" s="25" t="s">
        <v>309</v>
      </c>
      <c r="E379" s="25" t="s">
        <v>323</v>
      </c>
      <c r="F379" s="25" t="s">
        <v>307</v>
      </c>
      <c r="G379" s="25" t="s">
        <v>324</v>
      </c>
      <c r="H379" s="26">
        <v>44.311842916471775</v>
      </c>
      <c r="I379" s="26">
        <v>4.5544048731675198E-3</v>
      </c>
      <c r="J379" s="27">
        <v>44.316397321344944</v>
      </c>
      <c r="K379" s="26">
        <v>1.3130575637574722</v>
      </c>
      <c r="L379" s="26">
        <v>14.372589980738494</v>
      </c>
      <c r="M379" s="27">
        <v>15.685647544495966</v>
      </c>
      <c r="N379" s="26">
        <v>9.3485100126812508</v>
      </c>
      <c r="O379" s="26">
        <v>23.125860312310621</v>
      </c>
      <c r="P379" s="26">
        <v>6.5195479750352963</v>
      </c>
      <c r="Q379" s="26">
        <v>5.2322730254357088</v>
      </c>
      <c r="R379" s="26">
        <v>6.1435626806416836</v>
      </c>
      <c r="S379" s="26">
        <v>15.448591441605382</v>
      </c>
      <c r="T379" s="26">
        <v>38.646498089451164</v>
      </c>
      <c r="U379" s="26">
        <v>3.9413960739108846</v>
      </c>
      <c r="V379" s="27">
        <v>108.40623961107198</v>
      </c>
      <c r="W379" s="27">
        <v>172.13701373104806</v>
      </c>
      <c r="X379" s="26">
        <v>16.775087460701471</v>
      </c>
      <c r="Y379" s="28">
        <v>188.91624750584842</v>
      </c>
      <c r="Z379" s="17" t="str">
        <f>SUBSTITUTE(SUBSTITUTE(SUBSTITUTE(SUBSTITUTE(IF(E379="","",VLOOKUP(E379,[1]Esquemas_NORM!$A$2:$H$126,8,FALSE)),"PROVINCIA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79" s="17" t="str">
        <f>IF($E379="","",INDEX([1]Esquemas_NORM!$H$2:$K$126,MATCH($E379,[1]Esquemas_NORM!$A$2:$A$126,0),MATCH(AA$4,[1]Esquemas_NORM!$H$1:$K$1,0)))</f>
        <v>Región de Planeación y Gestión de Urabá - RPG (Acuerdo de Voluntades)</v>
      </c>
      <c r="AB379" s="17" t="str">
        <f>IF($E379="","",INDEX([1]Esquemas_NORM!$H$2:$K$126,MATCH($E379,[1]Esquemas_NORM!$A$2:$A$126,0),MATCH(AB$4,[1]Esquemas_NORM!$H$1:$K$1,0)))</f>
        <v>A la fecha no ha conformado un EAT Área Metropolitana</v>
      </c>
      <c r="AC379" s="17" t="str">
        <f>IF($E379="","",INDEX([1]Esquemas_NORM!$H$2:$K$126,MATCH($E379,[1]Esquemas_NORM!$A$2:$A$126,0),MATCH(AC$4,[1]Esquemas_NORM!$H$1:$K$1,0)))</f>
        <v>ASOCIACIÓN DE MUNICIPIOS DEL URABÁ ANTIOQUEÑO - ASOMURA / ASOCIACIÓN DE MUNICIPIOS DEL CHOCÓ Y URABÁ - ASUMUCUR</v>
      </c>
      <c r="AD379" s="23"/>
    </row>
    <row r="380" spans="1:30" x14ac:dyDescent="0.25">
      <c r="A380" s="24">
        <v>2017</v>
      </c>
      <c r="B380" s="25" t="s">
        <v>36</v>
      </c>
      <c r="C380" s="25" t="s">
        <v>304</v>
      </c>
      <c r="D380" s="25" t="s">
        <v>309</v>
      </c>
      <c r="E380" s="25" t="s">
        <v>325</v>
      </c>
      <c r="F380" s="25" t="s">
        <v>307</v>
      </c>
      <c r="G380" s="25" t="s">
        <v>326</v>
      </c>
      <c r="H380" s="26">
        <v>49.301684719303282</v>
      </c>
      <c r="I380" s="26">
        <v>0</v>
      </c>
      <c r="J380" s="27">
        <v>49.301684719303282</v>
      </c>
      <c r="K380" s="26">
        <v>1.7118279351583658</v>
      </c>
      <c r="L380" s="26">
        <v>20.539629112687692</v>
      </c>
      <c r="M380" s="27">
        <v>22.251457047846056</v>
      </c>
      <c r="N380" s="26">
        <v>9.9290082111873321</v>
      </c>
      <c r="O380" s="26">
        <v>34.490829650746647</v>
      </c>
      <c r="P380" s="26">
        <v>10.182982782231006</v>
      </c>
      <c r="Q380" s="26">
        <v>8.4562030568235844</v>
      </c>
      <c r="R380" s="26">
        <v>12.927509325561273</v>
      </c>
      <c r="S380" s="26">
        <v>22.954552049540009</v>
      </c>
      <c r="T380" s="26">
        <v>63.84087202674359</v>
      </c>
      <c r="U380" s="26">
        <v>5.837999958372003</v>
      </c>
      <c r="V380" s="27">
        <v>168.61995706120544</v>
      </c>
      <c r="W380" s="27">
        <v>245.099283205386</v>
      </c>
      <c r="X380" s="26">
        <v>23.885402814929556</v>
      </c>
      <c r="Y380" s="28">
        <v>268.99058979772838</v>
      </c>
      <c r="Z380" s="17" t="str">
        <f>SUBSTITUTE(SUBSTITUTE(SUBSTITUTE(SUBSTITUTE(IF(E380="","",VLOOKUP(E380,[1]Esquemas_NORM!$A$2:$H$126,8,FALSE)),"PROVINCIA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80" s="17" t="str">
        <f>IF($E380="","",INDEX([1]Esquemas_NORM!$H$2:$K$126,MATCH($E380,[1]Esquemas_NORM!$A$2:$A$126,0),MATCH(AA$4,[1]Esquemas_NORM!$H$1:$K$1,0)))</f>
        <v>Región de Planeación y Gestión de Urabá - RPG (Acuerdo de Voluntades)</v>
      </c>
      <c r="AB380" s="17" t="str">
        <f>IF($E380="","",INDEX([1]Esquemas_NORM!$H$2:$K$126,MATCH($E380,[1]Esquemas_NORM!$A$2:$A$126,0),MATCH(AB$4,[1]Esquemas_NORM!$H$1:$K$1,0)))</f>
        <v>A la fecha no ha conformado un EAT Área Metropolitana</v>
      </c>
      <c r="AC380" s="17" t="str">
        <f>IF($E380="","",INDEX([1]Esquemas_NORM!$H$2:$K$126,MATCH($E380,[1]Esquemas_NORM!$A$2:$A$126,0),MATCH(AC$4,[1]Esquemas_NORM!$H$1:$K$1,0)))</f>
        <v>ASOCIACIÓN DE MUNICIPIOS DEL URABÁ NORTE-ASOURANOR</v>
      </c>
      <c r="AD380" s="23"/>
    </row>
    <row r="381" spans="1:30" x14ac:dyDescent="0.25">
      <c r="A381" s="24">
        <v>2017</v>
      </c>
      <c r="B381" s="25" t="s">
        <v>36</v>
      </c>
      <c r="C381" s="25" t="s">
        <v>304</v>
      </c>
      <c r="D381" s="25" t="s">
        <v>305</v>
      </c>
      <c r="E381" s="25" t="s">
        <v>327</v>
      </c>
      <c r="F381" s="25" t="s">
        <v>307</v>
      </c>
      <c r="G381" s="25" t="s">
        <v>328</v>
      </c>
      <c r="H381" s="26">
        <v>633.2227965203956</v>
      </c>
      <c r="I381" s="26">
        <v>0.74621687272784987</v>
      </c>
      <c r="J381" s="27">
        <v>633.96901339312342</v>
      </c>
      <c r="K381" s="26">
        <v>24.714978686684429</v>
      </c>
      <c r="L381" s="26">
        <v>150.55239366336693</v>
      </c>
      <c r="M381" s="27">
        <v>175.26737235005135</v>
      </c>
      <c r="N381" s="26">
        <v>50.006269285365228</v>
      </c>
      <c r="O381" s="26">
        <v>239.44600474573875</v>
      </c>
      <c r="P381" s="26">
        <v>36.304309349632497</v>
      </c>
      <c r="Q381" s="26">
        <v>45.673185810520074</v>
      </c>
      <c r="R381" s="26">
        <v>77.647697523655992</v>
      </c>
      <c r="S381" s="26">
        <v>158.42957010155843</v>
      </c>
      <c r="T381" s="26">
        <v>401.92399066211033</v>
      </c>
      <c r="U381" s="26">
        <v>35.556983281318765</v>
      </c>
      <c r="V381" s="27">
        <v>1044.9880107599001</v>
      </c>
      <c r="W381" s="27">
        <v>1896.7466523995072</v>
      </c>
      <c r="X381" s="26">
        <v>184.84165778842709</v>
      </c>
      <c r="Y381" s="28">
        <v>2081.6339976738291</v>
      </c>
      <c r="Z381" s="17" t="str">
        <f>SUBSTITUTE(SUBSTITUTE(SUBSTITUTE(SUBSTITUTE(IF(E381="","",VLOOKUP(E381,[1]Esquemas_NORM!$A$2:$H$126,8,FALSE)),"PROVINCIA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81" s="17" t="str">
        <f>IF($E381="","",INDEX([1]Esquemas_NORM!$H$2:$K$126,MATCH($E381,[1]Esquemas_NORM!$A$2:$A$126,0),MATCH(AA$4,[1]Esquemas_NORM!$H$1:$K$1,0)))</f>
        <v>Región de Planeación y Gestión de Urabá - RPG (Acuerdo de Voluntades)</v>
      </c>
      <c r="AB381" s="17" t="str">
        <f>IF($E381="","",INDEX([1]Esquemas_NORM!$H$2:$K$126,MATCH($E381,[1]Esquemas_NORM!$A$2:$A$126,0),MATCH(AB$4,[1]Esquemas_NORM!$H$1:$K$1,0)))</f>
        <v>A la fecha no ha conformado un EAT Área Metropolitana</v>
      </c>
      <c r="AC381" s="17" t="str">
        <f>IF($E381="","",INDEX([1]Esquemas_NORM!$H$2:$K$126,MATCH($E381,[1]Esquemas_NORM!$A$2:$A$126,0),MATCH(AC$4,[1]Esquemas_NORM!$H$1:$K$1,0)))</f>
        <v>ASOCIACIÓN DE MUNICIPIOS DEL URABÁ ANTIOQUEÑO - ASOMURA</v>
      </c>
      <c r="AD381" s="23"/>
    </row>
    <row r="382" spans="1:30" ht="15.75" thickBot="1" x14ac:dyDescent="0.3">
      <c r="A382" s="29">
        <v>2017</v>
      </c>
      <c r="B382" s="30" t="s">
        <v>36</v>
      </c>
      <c r="C382" s="30" t="s">
        <v>304</v>
      </c>
      <c r="D382" s="30" t="s">
        <v>316</v>
      </c>
      <c r="E382" s="30" t="s">
        <v>329</v>
      </c>
      <c r="F382" s="30" t="s">
        <v>307</v>
      </c>
      <c r="G382" s="30" t="s">
        <v>330</v>
      </c>
      <c r="H382" s="32">
        <v>9.5447002068434763</v>
      </c>
      <c r="I382" s="32">
        <v>0</v>
      </c>
      <c r="J382" s="33">
        <v>9.5447002068434763</v>
      </c>
      <c r="K382" s="32">
        <v>0</v>
      </c>
      <c r="L382" s="32">
        <v>5.0493038958812866</v>
      </c>
      <c r="M382" s="33">
        <v>5.0493038958812866</v>
      </c>
      <c r="N382" s="32">
        <v>2.1586102361177768</v>
      </c>
      <c r="O382" s="32">
        <v>5.5155231678520789</v>
      </c>
      <c r="P382" s="32">
        <v>2.6054472455351387</v>
      </c>
      <c r="Q382" s="32">
        <v>1.7310776234837264</v>
      </c>
      <c r="R382" s="32">
        <v>4.0322960148820881</v>
      </c>
      <c r="S382" s="32">
        <v>5.6069230764939366</v>
      </c>
      <c r="T382" s="32">
        <v>17.171639914520473</v>
      </c>
      <c r="U382" s="32">
        <v>1.9340487830117365</v>
      </c>
      <c r="V382" s="33">
        <v>40.755566061896964</v>
      </c>
      <c r="W382" s="33">
        <v>56.356679875952956</v>
      </c>
      <c r="X382" s="32">
        <v>5.4920682857366563</v>
      </c>
      <c r="Y382" s="35">
        <v>61.850105641358105</v>
      </c>
      <c r="Z382" s="17" t="str">
        <f>SUBSTITUTE(SUBSTITUTE(SUBSTITUTE(SUBSTITUTE(IF(E382="","",VLOOKUP(E382,[1]Esquemas_NORM!$A$2:$H$126,8,FALSE)),"PROVINCIA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82" s="17" t="str">
        <f>IF($E382="","",INDEX([1]Esquemas_NORM!$H$2:$K$126,MATCH($E382,[1]Esquemas_NORM!$A$2:$A$126,0),MATCH(AA$4,[1]Esquemas_NORM!$H$1:$K$1,0)))</f>
        <v>Región de Planeación y Gestión de Urabá - RPG (Acuerdo de Voluntades)</v>
      </c>
      <c r="AB382" s="17" t="str">
        <f>IF($E382="","",INDEX([1]Esquemas_NORM!$H$2:$K$126,MATCH($E382,[1]Esquemas_NORM!$A$2:$A$126,0),MATCH(AB$4,[1]Esquemas_NORM!$H$1:$K$1,0)))</f>
        <v>A la fecha no ha conformado un EAT Área Metropolitana</v>
      </c>
      <c r="AC382" s="17" t="str">
        <f>IF($E382="","",INDEX([1]Esquemas_NORM!$H$2:$K$126,MATCH($E382,[1]Esquemas_NORM!$A$2:$A$126,0),MATCH(AC$4,[1]Esquemas_NORM!$H$1:$K$1,0)))</f>
        <v>ASOCIACION DE MUNICIPIOS DE LA CUENCA DEL ATRATO Y DARIEN ASOATRATO</v>
      </c>
      <c r="AD382" s="23"/>
    </row>
    <row r="383" spans="1:30" ht="15.75" thickBot="1" x14ac:dyDescent="0.3">
      <c r="A383" s="38">
        <v>2018</v>
      </c>
      <c r="B383" s="39" t="s">
        <v>36</v>
      </c>
      <c r="C383" s="39"/>
      <c r="D383" s="39"/>
      <c r="E383" s="39"/>
      <c r="F383" s="39"/>
      <c r="G383" s="39" t="s">
        <v>37</v>
      </c>
      <c r="H383" s="40">
        <v>6677.5499606925805</v>
      </c>
      <c r="I383" s="40">
        <v>2200.3353050305591</v>
      </c>
      <c r="J383" s="40">
        <v>8877.88526572314</v>
      </c>
      <c r="K383" s="40">
        <v>20196.507781624732</v>
      </c>
      <c r="L383" s="40">
        <v>10345.762322145165</v>
      </c>
      <c r="M383" s="40">
        <v>30542.270103769897</v>
      </c>
      <c r="N383" s="40">
        <v>5288.6990083806932</v>
      </c>
      <c r="O383" s="40">
        <v>20217.535150336647</v>
      </c>
      <c r="P383" s="40">
        <v>3582.1951711465549</v>
      </c>
      <c r="Q383" s="40">
        <v>6236.5780433599721</v>
      </c>
      <c r="R383" s="40">
        <v>11097.039185516975</v>
      </c>
      <c r="S383" s="40">
        <v>11079.518612117246</v>
      </c>
      <c r="T383" s="40">
        <v>14161.509251665897</v>
      </c>
      <c r="U383" s="40">
        <v>2979.5082244406121</v>
      </c>
      <c r="V383" s="40">
        <v>74642.582646964584</v>
      </c>
      <c r="W383" s="40">
        <v>114055.84117985076</v>
      </c>
      <c r="X383" s="40">
        <v>11114.375749816085</v>
      </c>
      <c r="Y383" s="41">
        <v>125172.9567513896</v>
      </c>
      <c r="Z383" s="17" t="str">
        <f>SUBSTITUTE(SUBSTITUTE(SUBSTITUTE(SUBSTITUTE(IF(E383="","",VLOOKUP(E383,[1]Esquemas_NORM!$A$2:$H$126,8,FALSE)),"PROVINCIA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383" s="17" t="str">
        <f>IF($E383="","",INDEX([1]Esquemas_NORM!$H$2:$K$126,MATCH($E383,[1]Esquemas_NORM!$A$2:$A$126,0),MATCH(AA$4,[1]Esquemas_NORM!$H$1:$K$1,0)))</f>
        <v/>
      </c>
      <c r="AB383" s="17" t="str">
        <f>IF($E383="","",INDEX([1]Esquemas_NORM!$H$2:$K$126,MATCH($E383,[1]Esquemas_NORM!$A$2:$A$126,0),MATCH(AB$4,[1]Esquemas_NORM!$H$1:$K$1,0)))</f>
        <v/>
      </c>
      <c r="AC383" s="17" t="str">
        <f>IF($E383="","",INDEX([1]Esquemas_NORM!$H$2:$K$126,MATCH($E383,[1]Esquemas_NORM!$A$2:$A$126,0),MATCH(AC$4,[1]Esquemas_NORM!$H$1:$K$1,0)))</f>
        <v/>
      </c>
      <c r="AD383" s="23"/>
    </row>
    <row r="384" spans="1:30" x14ac:dyDescent="0.25">
      <c r="A384" s="18">
        <v>2018</v>
      </c>
      <c r="B384" s="19" t="s">
        <v>36</v>
      </c>
      <c r="C384" s="19" t="s">
        <v>38</v>
      </c>
      <c r="D384" s="19" t="s">
        <v>39</v>
      </c>
      <c r="E384" s="19" t="s">
        <v>40</v>
      </c>
      <c r="F384" s="19" t="s">
        <v>41</v>
      </c>
      <c r="G384" s="19" t="s">
        <v>42</v>
      </c>
      <c r="H384" s="20">
        <v>134.11879615843648</v>
      </c>
      <c r="I384" s="20">
        <v>1.9560286172608747</v>
      </c>
      <c r="J384" s="21">
        <v>136.07482477569735</v>
      </c>
      <c r="K384" s="20">
        <v>7212.5148873092212</v>
      </c>
      <c r="L384" s="20">
        <v>5003.8960669015014</v>
      </c>
      <c r="M384" s="21">
        <v>12216.410954210722</v>
      </c>
      <c r="N384" s="20">
        <v>1688.3988143354291</v>
      </c>
      <c r="O384" s="20">
        <v>9649.2975438551694</v>
      </c>
      <c r="P384" s="20">
        <v>1614.1200694792633</v>
      </c>
      <c r="Q384" s="20">
        <v>4596.8866190358431</v>
      </c>
      <c r="R384" s="20">
        <v>5585.6332503139683</v>
      </c>
      <c r="S384" s="20">
        <v>5282.2140147902492</v>
      </c>
      <c r="T384" s="20">
        <v>6791.3256213871</v>
      </c>
      <c r="U384" s="20">
        <v>1362.6794691892135</v>
      </c>
      <c r="V384" s="21">
        <v>36570.555402386235</v>
      </c>
      <c r="W384" s="21">
        <v>48735.089267098811</v>
      </c>
      <c r="X384" s="20">
        <v>4749.078071865184</v>
      </c>
      <c r="Y384" s="22">
        <v>53485.338041444942</v>
      </c>
      <c r="Z384" s="17" t="str">
        <f>SUBSTITUTE(SUBSTITUTE(SUBSTITUTE(SUBSTITUTE(IF(E384="","",VLOOKUP(E384,[1]Esquemas_NORM!$A$2:$H$126,8,FALSE)),"PROVINCIA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84" s="17" t="str">
        <f>IF($E384="","",INDEX([1]Esquemas_NORM!$H$2:$K$126,MATCH($E384,[1]Esquemas_NORM!$A$2:$A$126,0),MATCH(AA$4,[1]Esquemas_NORM!$H$1:$K$1,0)))</f>
        <v>A la fecha no ha conformado un EAT Región</v>
      </c>
      <c r="AB384" s="17" t="str">
        <f>IF($E384="","",INDEX([1]Esquemas_NORM!$H$2:$K$126,MATCH($E384,[1]Esquemas_NORM!$A$2:$A$126,0),MATCH(AB$4,[1]Esquemas_NORM!$H$1:$K$1,0)))</f>
        <v>Área Metropolitana del Valle de Aburrá</v>
      </c>
      <c r="AC384" s="17" t="str">
        <f>IF($E384="","",INDEX([1]Esquemas_NORM!$H$2:$K$126,MATCH($E384,[1]Esquemas_NORM!$A$2:$A$126,0),MATCH(AC$4,[1]Esquemas_NORM!$H$1:$K$1,0)))</f>
        <v>A la fecha no ha conformado un EAT asociación - unión</v>
      </c>
      <c r="AD384" s="23"/>
    </row>
    <row r="385" spans="1:30" x14ac:dyDescent="0.25">
      <c r="A385" s="24">
        <v>2018</v>
      </c>
      <c r="B385" s="25" t="s">
        <v>36</v>
      </c>
      <c r="C385" s="25" t="s">
        <v>38</v>
      </c>
      <c r="D385" s="25" t="s">
        <v>43</v>
      </c>
      <c r="E385" s="25" t="s">
        <v>44</v>
      </c>
      <c r="F385" s="25" t="s">
        <v>41</v>
      </c>
      <c r="G385" s="25" t="s">
        <v>45</v>
      </c>
      <c r="H385" s="26">
        <v>82.961266677833947</v>
      </c>
      <c r="I385" s="26">
        <v>2.4499428643456667</v>
      </c>
      <c r="J385" s="27">
        <v>85.41120954217962</v>
      </c>
      <c r="K385" s="26">
        <v>336.26819061636365</v>
      </c>
      <c r="L385" s="26">
        <v>79.392409434256066</v>
      </c>
      <c r="M385" s="27">
        <v>415.66060005061973</v>
      </c>
      <c r="N385" s="26">
        <v>128.97421558070874</v>
      </c>
      <c r="O385" s="26">
        <v>70.132067934962947</v>
      </c>
      <c r="P385" s="26">
        <v>13.480680403087185</v>
      </c>
      <c r="Q385" s="26">
        <v>7.1914848409562575</v>
      </c>
      <c r="R385" s="26">
        <v>41.626805675974168</v>
      </c>
      <c r="S385" s="26">
        <v>47.107704138836631</v>
      </c>
      <c r="T385" s="26">
        <v>37.417685626092975</v>
      </c>
      <c r="U385" s="26">
        <v>13.691279187814667</v>
      </c>
      <c r="V385" s="27">
        <v>359.62192338843357</v>
      </c>
      <c r="W385" s="27">
        <v>847.30363036860524</v>
      </c>
      <c r="X385" s="26">
        <v>82.567020020053917</v>
      </c>
      <c r="Y385" s="28">
        <v>929.89100411073321</v>
      </c>
      <c r="Z385" s="17" t="str">
        <f>SUBSTITUTE(SUBSTITUTE(SUBSTITUTE(SUBSTITUTE(IF(E385="","",VLOOKUP(E385,[1]Esquemas_NORM!$A$2:$H$126,8,FALSE)),"PROVINCIA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85" s="17" t="str">
        <f>IF($E385="","",INDEX([1]Esquemas_NORM!$H$2:$K$126,MATCH($E385,[1]Esquemas_NORM!$A$2:$A$126,0),MATCH(AA$4,[1]Esquemas_NORM!$H$1:$K$1,0)))</f>
        <v>A la fecha no ha conformado un EAT Región</v>
      </c>
      <c r="AB385" s="17" t="str">
        <f>IF($E385="","",INDEX([1]Esquemas_NORM!$H$2:$K$126,MATCH($E385,[1]Esquemas_NORM!$A$2:$A$126,0),MATCH(AB$4,[1]Esquemas_NORM!$H$1:$K$1,0)))</f>
        <v>Área Metropolitana del Valle de Aburrá</v>
      </c>
      <c r="AC385" s="17" t="str">
        <f>IF($E385="","",INDEX([1]Esquemas_NORM!$H$2:$K$126,MATCH($E385,[1]Esquemas_NORM!$A$2:$A$126,0),MATCH(AC$4,[1]Esquemas_NORM!$H$1:$K$1,0)))</f>
        <v>A la fecha no ha conformado un EAT asociación - unión</v>
      </c>
      <c r="AD385" s="23"/>
    </row>
    <row r="386" spans="1:30" x14ac:dyDescent="0.25">
      <c r="A386" s="24">
        <v>2018</v>
      </c>
      <c r="B386" s="25" t="s">
        <v>36</v>
      </c>
      <c r="C386" s="25" t="s">
        <v>38</v>
      </c>
      <c r="D386" s="25" t="s">
        <v>43</v>
      </c>
      <c r="E386" s="25" t="s">
        <v>46</v>
      </c>
      <c r="F386" s="25" t="s">
        <v>41</v>
      </c>
      <c r="G386" s="25" t="s">
        <v>47</v>
      </c>
      <c r="H386" s="26">
        <v>26.811405292216421</v>
      </c>
      <c r="I386" s="26">
        <v>0.60874949783782484</v>
      </c>
      <c r="J386" s="27">
        <v>27.420154790054244</v>
      </c>
      <c r="K386" s="26">
        <v>510.01784636846497</v>
      </c>
      <c r="L386" s="26">
        <v>550.08833033013264</v>
      </c>
      <c r="M386" s="27">
        <v>1060.1061766985977</v>
      </c>
      <c r="N386" s="26">
        <v>187.72365844830446</v>
      </c>
      <c r="O386" s="26">
        <v>1232.5267037381454</v>
      </c>
      <c r="P386" s="26">
        <v>250.3210691379582</v>
      </c>
      <c r="Q386" s="26">
        <v>174.39474381883392</v>
      </c>
      <c r="R386" s="26">
        <v>626.99112688566402</v>
      </c>
      <c r="S386" s="26">
        <v>523.37387258461865</v>
      </c>
      <c r="T386" s="26">
        <v>680.69268125593692</v>
      </c>
      <c r="U386" s="26">
        <v>229.08390685306694</v>
      </c>
      <c r="V386" s="27">
        <v>3905.1077627225282</v>
      </c>
      <c r="W386" s="27">
        <v>5014.3894994249449</v>
      </c>
      <c r="X386" s="26">
        <v>488.63616695141212</v>
      </c>
      <c r="Y386" s="28">
        <v>5503.1461208233623</v>
      </c>
      <c r="Z386" s="17" t="str">
        <f>SUBSTITUTE(SUBSTITUTE(SUBSTITUTE(SUBSTITUTE(IF(E386="","",VLOOKUP(E386,[1]Esquemas_NORM!$A$2:$H$126,8,FALSE)),"PROVINCIA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86" s="17" t="str">
        <f>IF($E386="","",INDEX([1]Esquemas_NORM!$H$2:$K$126,MATCH($E386,[1]Esquemas_NORM!$A$2:$A$126,0),MATCH(AA$4,[1]Esquemas_NORM!$H$1:$K$1,0)))</f>
        <v>A la fecha no ha conformado un EAT Región</v>
      </c>
      <c r="AB386" s="17" t="str">
        <f>IF($E386="","",INDEX([1]Esquemas_NORM!$H$2:$K$126,MATCH($E386,[1]Esquemas_NORM!$A$2:$A$126,0),MATCH(AB$4,[1]Esquemas_NORM!$H$1:$K$1,0)))</f>
        <v>Área Metropolitana del Valle de Aburrá</v>
      </c>
      <c r="AC386" s="17" t="str">
        <f>IF($E386="","",INDEX([1]Esquemas_NORM!$H$2:$K$126,MATCH($E386,[1]Esquemas_NORM!$A$2:$A$126,0),MATCH(AC$4,[1]Esquemas_NORM!$H$1:$K$1,0)))</f>
        <v>A la fecha no ha conformado un EAT asociación - unión</v>
      </c>
      <c r="AD386" s="23"/>
    </row>
    <row r="387" spans="1:30" x14ac:dyDescent="0.25">
      <c r="A387" s="24">
        <v>2018</v>
      </c>
      <c r="B387" s="25" t="s">
        <v>36</v>
      </c>
      <c r="C387" s="25" t="s">
        <v>38</v>
      </c>
      <c r="D387" s="25" t="s">
        <v>48</v>
      </c>
      <c r="E387" s="25" t="s">
        <v>49</v>
      </c>
      <c r="F387" s="25" t="s">
        <v>41</v>
      </c>
      <c r="G387" s="25" t="s">
        <v>50</v>
      </c>
      <c r="H387" s="26">
        <v>50.029770960821445</v>
      </c>
      <c r="I387" s="26">
        <v>0</v>
      </c>
      <c r="J387" s="27">
        <v>50.029770960821445</v>
      </c>
      <c r="K387" s="26">
        <v>239.16224695969964</v>
      </c>
      <c r="L387" s="26">
        <v>69.106298165163778</v>
      </c>
      <c r="M387" s="27">
        <v>308.26854512486341</v>
      </c>
      <c r="N387" s="26">
        <v>24.696349478357739</v>
      </c>
      <c r="O387" s="26">
        <v>239.66471834014595</v>
      </c>
      <c r="P387" s="26">
        <v>33.657029798634781</v>
      </c>
      <c r="Q387" s="26">
        <v>25.790465291662407</v>
      </c>
      <c r="R387" s="26">
        <v>89.047157469858377</v>
      </c>
      <c r="S387" s="26">
        <v>80.258828747778949</v>
      </c>
      <c r="T387" s="26">
        <v>92.266783252889965</v>
      </c>
      <c r="U387" s="26">
        <v>22.729240013285917</v>
      </c>
      <c r="V387" s="27">
        <v>608.11057239261402</v>
      </c>
      <c r="W387" s="27">
        <v>963.48540440402451</v>
      </c>
      <c r="X387" s="26">
        <v>93.888561105122278</v>
      </c>
      <c r="Y387" s="28">
        <v>1057.3971101215864</v>
      </c>
      <c r="Z387" s="17" t="str">
        <f>SUBSTITUTE(SUBSTITUTE(SUBSTITUTE(SUBSTITUTE(IF(E387="","",VLOOKUP(E387,[1]Esquemas_NORM!$A$2:$H$126,8,FALSE)),"PROVINCIA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87" s="17" t="str">
        <f>IF($E387="","",INDEX([1]Esquemas_NORM!$H$2:$K$126,MATCH($E387,[1]Esquemas_NORM!$A$2:$A$126,0),MATCH(AA$4,[1]Esquemas_NORM!$H$1:$K$1,0)))</f>
        <v>A la fecha no ha conformado un EAT Región</v>
      </c>
      <c r="AB387" s="17" t="str">
        <f>IF($E387="","",INDEX([1]Esquemas_NORM!$H$2:$K$126,MATCH($E387,[1]Esquemas_NORM!$A$2:$A$126,0),MATCH(AB$4,[1]Esquemas_NORM!$H$1:$K$1,0)))</f>
        <v>Área Metropolitana del Valle de Aburrá</v>
      </c>
      <c r="AC387" s="17" t="str">
        <f>IF($E387="","",INDEX([1]Esquemas_NORM!$H$2:$K$126,MATCH($E387,[1]Esquemas_NORM!$A$2:$A$126,0),MATCH(AC$4,[1]Esquemas_NORM!$H$1:$K$1,0)))</f>
        <v>A la fecha no ha conformado un EAT asociación - unión</v>
      </c>
      <c r="AD387" s="23"/>
    </row>
    <row r="388" spans="1:30" x14ac:dyDescent="0.25">
      <c r="A388" s="24">
        <v>2018</v>
      </c>
      <c r="B388" s="25" t="s">
        <v>36</v>
      </c>
      <c r="C388" s="25" t="s">
        <v>38</v>
      </c>
      <c r="D388" s="25" t="s">
        <v>43</v>
      </c>
      <c r="E388" s="25" t="s">
        <v>51</v>
      </c>
      <c r="F388" s="25" t="s">
        <v>41</v>
      </c>
      <c r="G388" s="25" t="s">
        <v>52</v>
      </c>
      <c r="H388" s="26">
        <v>8.5349493543306387</v>
      </c>
      <c r="I388" s="26">
        <v>1.7298229848520977E-3</v>
      </c>
      <c r="J388" s="27">
        <v>8.5366791773154915</v>
      </c>
      <c r="K388" s="26">
        <v>338.72206891387566</v>
      </c>
      <c r="L388" s="26">
        <v>146.27139304124171</v>
      </c>
      <c r="M388" s="27">
        <v>484.99346195511737</v>
      </c>
      <c r="N388" s="26">
        <v>39.566208095814595</v>
      </c>
      <c r="O388" s="26">
        <v>188.21957185324982</v>
      </c>
      <c r="P388" s="26">
        <v>42.938552705535891</v>
      </c>
      <c r="Q388" s="26">
        <v>24.228893697805002</v>
      </c>
      <c r="R388" s="26">
        <v>123.74603963674949</v>
      </c>
      <c r="S388" s="26">
        <v>92.730578095059741</v>
      </c>
      <c r="T388" s="26">
        <v>78.743386501940492</v>
      </c>
      <c r="U388" s="26">
        <v>31.223301770070105</v>
      </c>
      <c r="V388" s="27">
        <v>621.39653235622507</v>
      </c>
      <c r="W388" s="27">
        <v>1092.7785868651408</v>
      </c>
      <c r="X388" s="26">
        <v>106.48776687044473</v>
      </c>
      <c r="Y388" s="28">
        <v>1199.2926041974604</v>
      </c>
      <c r="Z388" s="17" t="str">
        <f>SUBSTITUTE(SUBSTITUTE(SUBSTITUTE(SUBSTITUTE(IF(E388="","",VLOOKUP(E388,[1]Esquemas_NORM!$A$2:$H$126,8,FALSE)),"PROVINCIA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88" s="17" t="str">
        <f>IF($E388="","",INDEX([1]Esquemas_NORM!$H$2:$K$126,MATCH($E388,[1]Esquemas_NORM!$A$2:$A$126,0),MATCH(AA$4,[1]Esquemas_NORM!$H$1:$K$1,0)))</f>
        <v>A la fecha no ha conformado un EAT Región</v>
      </c>
      <c r="AB388" s="17" t="str">
        <f>IF($E388="","",INDEX([1]Esquemas_NORM!$H$2:$K$126,MATCH($E388,[1]Esquemas_NORM!$A$2:$A$126,0),MATCH(AB$4,[1]Esquemas_NORM!$H$1:$K$1,0)))</f>
        <v>Área Metropolitana del Valle de Aburrá</v>
      </c>
      <c r="AC388" s="17" t="str">
        <f>IF($E388="","",INDEX([1]Esquemas_NORM!$H$2:$K$126,MATCH($E388,[1]Esquemas_NORM!$A$2:$A$126,0),MATCH(AC$4,[1]Esquemas_NORM!$H$1:$K$1,0)))</f>
        <v>A la fecha no ha conformado un EAT asociación - unión</v>
      </c>
      <c r="AD388" s="23"/>
    </row>
    <row r="389" spans="1:30" x14ac:dyDescent="0.25">
      <c r="A389" s="24">
        <v>2018</v>
      </c>
      <c r="B389" s="25" t="s">
        <v>36</v>
      </c>
      <c r="C389" s="25" t="s">
        <v>38</v>
      </c>
      <c r="D389" s="25" t="s">
        <v>48</v>
      </c>
      <c r="E389" s="25" t="s">
        <v>53</v>
      </c>
      <c r="F389" s="25" t="s">
        <v>41</v>
      </c>
      <c r="G389" s="25" t="s">
        <v>54</v>
      </c>
      <c r="H389" s="26">
        <v>15.473265248046152</v>
      </c>
      <c r="I389" s="26">
        <v>0</v>
      </c>
      <c r="J389" s="27">
        <v>15.473265248046152</v>
      </c>
      <c r="K389" s="26">
        <v>2054.6464272851808</v>
      </c>
      <c r="L389" s="26">
        <v>511.94803902444983</v>
      </c>
      <c r="M389" s="27">
        <v>2566.5944663096307</v>
      </c>
      <c r="N389" s="26">
        <v>291.64415110183342</v>
      </c>
      <c r="O389" s="26">
        <v>1536.1498230852608</v>
      </c>
      <c r="P389" s="26">
        <v>253.28746921649204</v>
      </c>
      <c r="Q389" s="26">
        <v>341.60731779001964</v>
      </c>
      <c r="R389" s="26">
        <v>1069.3706000962516</v>
      </c>
      <c r="S389" s="26">
        <v>859.66987104464442</v>
      </c>
      <c r="T389" s="26">
        <v>849.48964526988254</v>
      </c>
      <c r="U389" s="26">
        <v>235.04832041239681</v>
      </c>
      <c r="V389" s="27">
        <v>5436.2671980167806</v>
      </c>
      <c r="W389" s="27">
        <v>7947.9154302076258</v>
      </c>
      <c r="X389" s="26">
        <v>774.49885604539099</v>
      </c>
      <c r="Y389" s="28">
        <v>8722.6052091476395</v>
      </c>
      <c r="Z389" s="17" t="str">
        <f>SUBSTITUTE(SUBSTITUTE(SUBSTITUTE(SUBSTITUTE(IF(E389="","",VLOOKUP(E389,[1]Esquemas_NORM!$A$2:$H$126,8,FALSE)),"PROVINCIA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89" s="17" t="str">
        <f>IF($E389="","",INDEX([1]Esquemas_NORM!$H$2:$K$126,MATCH($E389,[1]Esquemas_NORM!$A$2:$A$126,0),MATCH(AA$4,[1]Esquemas_NORM!$H$1:$K$1,0)))</f>
        <v>A la fecha no ha conformado un EAT Región</v>
      </c>
      <c r="AB389" s="17" t="str">
        <f>IF($E389="","",INDEX([1]Esquemas_NORM!$H$2:$K$126,MATCH($E389,[1]Esquemas_NORM!$A$2:$A$126,0),MATCH(AB$4,[1]Esquemas_NORM!$H$1:$K$1,0)))</f>
        <v>Área Metropolitana del Valle de Aburrá</v>
      </c>
      <c r="AC389" s="17" t="str">
        <f>IF($E389="","",INDEX([1]Esquemas_NORM!$H$2:$K$126,MATCH($E389,[1]Esquemas_NORM!$A$2:$A$126,0),MATCH(AC$4,[1]Esquemas_NORM!$H$1:$K$1,0)))</f>
        <v>A la fecha no ha conformado un EAT asociación - unión</v>
      </c>
      <c r="AD389" s="23"/>
    </row>
    <row r="390" spans="1:30" x14ac:dyDescent="0.25">
      <c r="A390" s="24">
        <v>2018</v>
      </c>
      <c r="B390" s="25" t="s">
        <v>36</v>
      </c>
      <c r="C390" s="25" t="s">
        <v>38</v>
      </c>
      <c r="D390" s="25" t="s">
        <v>43</v>
      </c>
      <c r="E390" s="25" t="s">
        <v>55</v>
      </c>
      <c r="F390" s="25" t="s">
        <v>41</v>
      </c>
      <c r="G390" s="25" t="s">
        <v>56</v>
      </c>
      <c r="H390" s="26">
        <v>35.062367490620652</v>
      </c>
      <c r="I390" s="26">
        <v>15.078204661616256</v>
      </c>
      <c r="J390" s="27">
        <v>50.140572152236906</v>
      </c>
      <c r="K390" s="26">
        <v>1126.7079867482207</v>
      </c>
      <c r="L390" s="26">
        <v>136.89135942820783</v>
      </c>
      <c r="M390" s="27">
        <v>1263.5993461764285</v>
      </c>
      <c r="N390" s="26">
        <v>41.203079801240143</v>
      </c>
      <c r="O390" s="26">
        <v>224.90560511693229</v>
      </c>
      <c r="P390" s="26">
        <v>21.721191134541101</v>
      </c>
      <c r="Q390" s="26">
        <v>13.075290730072762</v>
      </c>
      <c r="R390" s="26">
        <v>61.500027810725101</v>
      </c>
      <c r="S390" s="26">
        <v>116.73266815876093</v>
      </c>
      <c r="T390" s="26">
        <v>61.934907953803403</v>
      </c>
      <c r="U390" s="26">
        <v>16.431066656021407</v>
      </c>
      <c r="V390" s="27">
        <v>557.5038373620971</v>
      </c>
      <c r="W390" s="27">
        <v>1793.2357732819082</v>
      </c>
      <c r="X390" s="26">
        <v>174.74507211637854</v>
      </c>
      <c r="Y390" s="28">
        <v>1968.0239220726144</v>
      </c>
      <c r="Z390" s="17" t="str">
        <f>SUBSTITUTE(SUBSTITUTE(SUBSTITUTE(SUBSTITUTE(IF(E390="","",VLOOKUP(E390,[1]Esquemas_NORM!$A$2:$H$126,8,FALSE)),"PROVINCIA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0" s="17" t="str">
        <f>IF($E390="","",INDEX([1]Esquemas_NORM!$H$2:$K$126,MATCH($E390,[1]Esquemas_NORM!$A$2:$A$126,0),MATCH(AA$4,[1]Esquemas_NORM!$H$1:$K$1,0)))</f>
        <v>A la fecha no ha conformado un EAT Región</v>
      </c>
      <c r="AB390" s="17" t="str">
        <f>IF($E390="","",INDEX([1]Esquemas_NORM!$H$2:$K$126,MATCH($E390,[1]Esquemas_NORM!$A$2:$A$126,0),MATCH(AB$4,[1]Esquemas_NORM!$H$1:$K$1,0)))</f>
        <v>Área Metropolitana del Valle de Aburrá</v>
      </c>
      <c r="AC390" s="17" t="str">
        <f>IF($E390="","",INDEX([1]Esquemas_NORM!$H$2:$K$126,MATCH($E390,[1]Esquemas_NORM!$A$2:$A$126,0),MATCH(AC$4,[1]Esquemas_NORM!$H$1:$K$1,0)))</f>
        <v>A la fecha no ha conformado un EAT asociación - unión</v>
      </c>
      <c r="AD390" s="23"/>
    </row>
    <row r="391" spans="1:30" x14ac:dyDescent="0.25">
      <c r="A391" s="24">
        <v>2018</v>
      </c>
      <c r="B391" s="25" t="s">
        <v>36</v>
      </c>
      <c r="C391" s="25" t="s">
        <v>38</v>
      </c>
      <c r="D391" s="25" t="s">
        <v>48</v>
      </c>
      <c r="E391" s="25" t="s">
        <v>57</v>
      </c>
      <c r="F391" s="25" t="s">
        <v>41</v>
      </c>
      <c r="G391" s="25" t="s">
        <v>58</v>
      </c>
      <c r="H391" s="26">
        <v>0.12911223574411121</v>
      </c>
      <c r="I391" s="26">
        <v>0.11755409656849886</v>
      </c>
      <c r="J391" s="27">
        <v>0.24666633231261006</v>
      </c>
      <c r="K391" s="26">
        <v>2313.3009647538161</v>
      </c>
      <c r="L391" s="26">
        <v>534.49848421485899</v>
      </c>
      <c r="M391" s="27">
        <v>2847.7994489686753</v>
      </c>
      <c r="N391" s="26">
        <v>275.24336413749342</v>
      </c>
      <c r="O391" s="26">
        <v>1163.2013503985472</v>
      </c>
      <c r="P391" s="26">
        <v>229.22424127624998</v>
      </c>
      <c r="Q391" s="26">
        <v>231.44177960603716</v>
      </c>
      <c r="R391" s="26">
        <v>648.7000782308553</v>
      </c>
      <c r="S391" s="26">
        <v>668.45305376375461</v>
      </c>
      <c r="T391" s="26">
        <v>570.89722326865149</v>
      </c>
      <c r="U391" s="26">
        <v>186.96748061251068</v>
      </c>
      <c r="V391" s="27">
        <v>3974.1285712941003</v>
      </c>
      <c r="W391" s="27">
        <v>6700.4630536080995</v>
      </c>
      <c r="X391" s="26">
        <v>652.93862467008069</v>
      </c>
      <c r="Y391" s="28">
        <v>7353.5626351747069</v>
      </c>
      <c r="Z391" s="17" t="str">
        <f>SUBSTITUTE(SUBSTITUTE(SUBSTITUTE(SUBSTITUTE(IF(E391="","",VLOOKUP(E391,[1]Esquemas_NORM!$A$2:$H$126,8,FALSE)),"PROVINCIA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1" s="17" t="str">
        <f>IF($E391="","",INDEX([1]Esquemas_NORM!$H$2:$K$126,MATCH($E391,[1]Esquemas_NORM!$A$2:$A$126,0),MATCH(AA$4,[1]Esquemas_NORM!$H$1:$K$1,0)))</f>
        <v>A la fecha no ha conformado un EAT Región</v>
      </c>
      <c r="AB391" s="17" t="str">
        <f>IF($E391="","",INDEX([1]Esquemas_NORM!$H$2:$K$126,MATCH($E391,[1]Esquemas_NORM!$A$2:$A$126,0),MATCH(AB$4,[1]Esquemas_NORM!$H$1:$K$1,0)))</f>
        <v>Área Metropolitana del Valle de Aburrá</v>
      </c>
      <c r="AC391" s="17" t="str">
        <f>IF($E391="","",INDEX([1]Esquemas_NORM!$H$2:$K$126,MATCH($E391,[1]Esquemas_NORM!$A$2:$A$126,0),MATCH(AC$4,[1]Esquemas_NORM!$H$1:$K$1,0)))</f>
        <v>A la fecha no ha conformado un EAT asociación - unión</v>
      </c>
      <c r="AD391" s="23"/>
    </row>
    <row r="392" spans="1:30" x14ac:dyDescent="0.25">
      <c r="A392" s="24">
        <v>2018</v>
      </c>
      <c r="B392" s="25" t="s">
        <v>36</v>
      </c>
      <c r="C392" s="25" t="s">
        <v>38</v>
      </c>
      <c r="D392" s="25" t="s">
        <v>48</v>
      </c>
      <c r="E392" s="25" t="s">
        <v>59</v>
      </c>
      <c r="F392" s="25" t="s">
        <v>41</v>
      </c>
      <c r="G392" s="25" t="s">
        <v>60</v>
      </c>
      <c r="H392" s="26">
        <v>5.310368511029</v>
      </c>
      <c r="I392" s="26">
        <v>0</v>
      </c>
      <c r="J392" s="27">
        <v>5.310368511029</v>
      </c>
      <c r="K392" s="26">
        <v>810.63501790003841</v>
      </c>
      <c r="L392" s="26">
        <v>144.53477956239314</v>
      </c>
      <c r="M392" s="27">
        <v>955.16979746243157</v>
      </c>
      <c r="N392" s="26">
        <v>58.377927846874492</v>
      </c>
      <c r="O392" s="26">
        <v>248.49705385241057</v>
      </c>
      <c r="P392" s="26">
        <v>43.373518984176812</v>
      </c>
      <c r="Q392" s="26">
        <v>21.955333286066523</v>
      </c>
      <c r="R392" s="26">
        <v>121.82228479905714</v>
      </c>
      <c r="S392" s="26">
        <v>130.68973715865374</v>
      </c>
      <c r="T392" s="26">
        <v>80.628794342555622</v>
      </c>
      <c r="U392" s="26">
        <v>27.65540413119848</v>
      </c>
      <c r="V392" s="27">
        <v>733.00005440099335</v>
      </c>
      <c r="W392" s="27">
        <v>1639.9238410685966</v>
      </c>
      <c r="X392" s="26">
        <v>159.80531625712356</v>
      </c>
      <c r="Y392" s="28">
        <v>1799.7685511780385</v>
      </c>
      <c r="Z392" s="17" t="str">
        <f>SUBSTITUTE(SUBSTITUTE(SUBSTITUTE(SUBSTITUTE(IF(E392="","",VLOOKUP(E392,[1]Esquemas_NORM!$A$2:$H$126,8,FALSE)),"PROVINCIA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2" s="17" t="str">
        <f>IF($E392="","",INDEX([1]Esquemas_NORM!$H$2:$K$126,MATCH($E392,[1]Esquemas_NORM!$A$2:$A$126,0),MATCH(AA$4,[1]Esquemas_NORM!$H$1:$K$1,0)))</f>
        <v>A la fecha no ha conformado un EAT Región</v>
      </c>
      <c r="AB392" s="17" t="str">
        <f>IF($E392="","",INDEX([1]Esquemas_NORM!$H$2:$K$126,MATCH($E392,[1]Esquemas_NORM!$A$2:$A$126,0),MATCH(AB$4,[1]Esquemas_NORM!$H$1:$K$1,0)))</f>
        <v>Área Metropolitana del Valle de Aburrá</v>
      </c>
      <c r="AC392" s="17" t="str">
        <f>IF($E392="","",INDEX([1]Esquemas_NORM!$H$2:$K$126,MATCH($E392,[1]Esquemas_NORM!$A$2:$A$126,0),MATCH(AC$4,[1]Esquemas_NORM!$H$1:$K$1,0)))</f>
        <v>A la fecha no ha conformado un EAT asociación - unión</v>
      </c>
      <c r="AD392" s="23"/>
    </row>
    <row r="393" spans="1:30" x14ac:dyDescent="0.25">
      <c r="A393" s="24">
        <v>2018</v>
      </c>
      <c r="B393" s="25" t="s">
        <v>36</v>
      </c>
      <c r="C393" s="25" t="s">
        <v>38</v>
      </c>
      <c r="D393" s="25" t="s">
        <v>48</v>
      </c>
      <c r="E393" s="25" t="s">
        <v>61</v>
      </c>
      <c r="F393" s="25" t="s">
        <v>41</v>
      </c>
      <c r="G393" s="25" t="s">
        <v>62</v>
      </c>
      <c r="H393" s="26">
        <v>6.9037957356470532</v>
      </c>
      <c r="I393" s="26">
        <v>0</v>
      </c>
      <c r="J393" s="27">
        <v>6.9037957356470532</v>
      </c>
      <c r="K393" s="26">
        <v>1051.3275564997391</v>
      </c>
      <c r="L393" s="26">
        <v>173.30126906257919</v>
      </c>
      <c r="M393" s="27">
        <v>1224.6288255623183</v>
      </c>
      <c r="N393" s="26">
        <v>102.54568116388089</v>
      </c>
      <c r="O393" s="26">
        <v>427.21796756963334</v>
      </c>
      <c r="P393" s="26">
        <v>77.199057660753368</v>
      </c>
      <c r="Q393" s="26">
        <v>66.781855644847099</v>
      </c>
      <c r="R393" s="26">
        <v>327.63644225698727</v>
      </c>
      <c r="S393" s="26">
        <v>283.25978913620361</v>
      </c>
      <c r="T393" s="26">
        <v>336.53343922031604</v>
      </c>
      <c r="U393" s="26">
        <v>61.560148542651369</v>
      </c>
      <c r="V393" s="27">
        <v>1682.734381195273</v>
      </c>
      <c r="W393" s="27">
        <v>2861.0040096029134</v>
      </c>
      <c r="X393" s="26">
        <v>278.79566057748815</v>
      </c>
      <c r="Y393" s="28">
        <v>3139.8683965240361</v>
      </c>
      <c r="Z393" s="17" t="str">
        <f>SUBSTITUTE(SUBSTITUTE(SUBSTITUTE(SUBSTITUTE(IF(E393="","",VLOOKUP(E393,[1]Esquemas_NORM!$A$2:$H$126,8,FALSE)),"PROVINCIA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3" s="17" t="str">
        <f>IF($E393="","",INDEX([1]Esquemas_NORM!$H$2:$K$126,MATCH($E393,[1]Esquemas_NORM!$A$2:$A$126,0),MATCH(AA$4,[1]Esquemas_NORM!$H$1:$K$1,0)))</f>
        <v>A la fecha no ha conformado un EAT Región</v>
      </c>
      <c r="AB393" s="17" t="str">
        <f>IF($E393="","",INDEX([1]Esquemas_NORM!$H$2:$K$126,MATCH($E393,[1]Esquemas_NORM!$A$2:$A$126,0),MATCH(AB$4,[1]Esquemas_NORM!$H$1:$K$1,0)))</f>
        <v>Área Metropolitana del Valle de Aburrá</v>
      </c>
      <c r="AC393" s="17" t="str">
        <f>IF($E393="","",INDEX([1]Esquemas_NORM!$H$2:$K$126,MATCH($E393,[1]Esquemas_NORM!$A$2:$A$126,0),MATCH(AC$4,[1]Esquemas_NORM!$H$1:$K$1,0)))</f>
        <v>A la fecha no ha conformado un EAT asociación - unión</v>
      </c>
      <c r="AD393" s="23"/>
    </row>
    <row r="394" spans="1:30" x14ac:dyDescent="0.25">
      <c r="A394" s="24">
        <v>2018</v>
      </c>
      <c r="B394" s="25" t="s">
        <v>36</v>
      </c>
      <c r="C394" s="25" t="s">
        <v>63</v>
      </c>
      <c r="D394" s="25" t="s">
        <v>64</v>
      </c>
      <c r="E394" s="25" t="s">
        <v>65</v>
      </c>
      <c r="F394" s="25" t="s">
        <v>66</v>
      </c>
      <c r="G394" s="25" t="s">
        <v>67</v>
      </c>
      <c r="H394" s="26">
        <v>43.56139675411066</v>
      </c>
      <c r="I394" s="26">
        <v>59.09777926546716</v>
      </c>
      <c r="J394" s="27">
        <v>102.65917601957781</v>
      </c>
      <c r="K394" s="26">
        <v>2.6038473136173019</v>
      </c>
      <c r="L394" s="26">
        <v>25.554653429674648</v>
      </c>
      <c r="M394" s="27">
        <v>28.158500743291949</v>
      </c>
      <c r="N394" s="26">
        <v>23.176992954601271</v>
      </c>
      <c r="O394" s="26">
        <v>61.430992746331896</v>
      </c>
      <c r="P394" s="26">
        <v>12.984823091378027</v>
      </c>
      <c r="Q394" s="26">
        <v>4.2827589002012854</v>
      </c>
      <c r="R394" s="26">
        <v>13.282332140245401</v>
      </c>
      <c r="S394" s="26">
        <v>37.19942212517563</v>
      </c>
      <c r="T394" s="26">
        <v>65.378054550567114</v>
      </c>
      <c r="U394" s="26">
        <v>6.8617652517596861</v>
      </c>
      <c r="V394" s="27">
        <v>224.59714176026031</v>
      </c>
      <c r="W394" s="27">
        <v>367.8707218260792</v>
      </c>
      <c r="X394" s="26">
        <v>35.847821448108803</v>
      </c>
      <c r="Y394" s="28">
        <v>403.72738017534431</v>
      </c>
      <c r="Z394" s="17" t="str">
        <f>SUBSTITUTE(SUBSTITUTE(SUBSTITUTE(SUBSTITUTE(IF(E394="","",VLOOKUP(E394,[1]Esquemas_NORM!$A$2:$H$126,8,FALSE)),"PROVINCIA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4" s="17" t="str">
        <f>IF($E394="","",INDEX([1]Esquemas_NORM!$H$2:$K$126,MATCH($E394,[1]Esquemas_NORM!$A$2:$A$126,0),MATCH(AA$4,[1]Esquemas_NORM!$H$1:$K$1,0)))</f>
        <v>Región de Planeación y Gestión del Bajo Cauca</v>
      </c>
      <c r="AB394" s="17" t="str">
        <f>IF($E394="","",INDEX([1]Esquemas_NORM!$H$2:$K$126,MATCH($E394,[1]Esquemas_NORM!$A$2:$A$126,0),MATCH(AB$4,[1]Esquemas_NORM!$H$1:$K$1,0)))</f>
        <v>A la fecha no ha conformado un EAT Área Metropolitana</v>
      </c>
      <c r="AC394" s="17" t="str">
        <f>IF($E394="","",INDEX([1]Esquemas_NORM!$H$2:$K$126,MATCH($E394,[1]Esquemas_NORM!$A$2:$A$126,0),MATCH(AC$4,[1]Esquemas_NORM!$H$1:$K$1,0)))</f>
        <v>A la fecha no ha conformado un EAT asociación - unión</v>
      </c>
      <c r="AD394" s="23"/>
    </row>
    <row r="395" spans="1:30" x14ac:dyDescent="0.25">
      <c r="A395" s="24">
        <v>2018</v>
      </c>
      <c r="B395" s="25" t="s">
        <v>36</v>
      </c>
      <c r="C395" s="25" t="s">
        <v>63</v>
      </c>
      <c r="D395" s="25" t="s">
        <v>64</v>
      </c>
      <c r="E395" s="25" t="s">
        <v>68</v>
      </c>
      <c r="F395" s="25" t="s">
        <v>66</v>
      </c>
      <c r="G395" s="25" t="s">
        <v>69</v>
      </c>
      <c r="H395" s="26">
        <v>66.649962916737152</v>
      </c>
      <c r="I395" s="26">
        <v>158.77377358981485</v>
      </c>
      <c r="J395" s="27">
        <v>225.42373650655202</v>
      </c>
      <c r="K395" s="26">
        <v>19.049129414592532</v>
      </c>
      <c r="L395" s="26">
        <v>61.98596622385071</v>
      </c>
      <c r="M395" s="27">
        <v>81.035095638443238</v>
      </c>
      <c r="N395" s="26">
        <v>39.197667661137523</v>
      </c>
      <c r="O395" s="26">
        <v>292.90039126301525</v>
      </c>
      <c r="P395" s="26">
        <v>26.738848828155096</v>
      </c>
      <c r="Q395" s="26">
        <v>25.529697717269951</v>
      </c>
      <c r="R395" s="26">
        <v>52.266633351757598</v>
      </c>
      <c r="S395" s="26">
        <v>97.934011085981467</v>
      </c>
      <c r="T395" s="26">
        <v>150.64458179300451</v>
      </c>
      <c r="U395" s="26">
        <v>17.067288819085118</v>
      </c>
      <c r="V395" s="27">
        <v>702.27912051940643</v>
      </c>
      <c r="W395" s="27">
        <v>1043.4287160323727</v>
      </c>
      <c r="X395" s="26">
        <v>101.67878030761442</v>
      </c>
      <c r="Y395" s="28">
        <v>1145.1325613312467</v>
      </c>
      <c r="Z395" s="17" t="str">
        <f>SUBSTITUTE(SUBSTITUTE(SUBSTITUTE(SUBSTITUTE(IF(E395="","",VLOOKUP(E395,[1]Esquemas_NORM!$A$2:$H$126,8,FALSE)),"PROVINCIA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5" s="17" t="str">
        <f>IF($E395="","",INDEX([1]Esquemas_NORM!$H$2:$K$126,MATCH($E395,[1]Esquemas_NORM!$A$2:$A$126,0),MATCH(AA$4,[1]Esquemas_NORM!$H$1:$K$1,0)))</f>
        <v>Región de Planeación y Gestión del Bajo Cauca</v>
      </c>
      <c r="AB395" s="17" t="str">
        <f>IF($E395="","",INDEX([1]Esquemas_NORM!$H$2:$K$126,MATCH($E395,[1]Esquemas_NORM!$A$2:$A$126,0),MATCH(AB$4,[1]Esquemas_NORM!$H$1:$K$1,0)))</f>
        <v>A la fecha no ha conformado un EAT Área Metropolitana</v>
      </c>
      <c r="AC395" s="17" t="str">
        <f>IF($E395="","",INDEX([1]Esquemas_NORM!$H$2:$K$126,MATCH($E395,[1]Esquemas_NORM!$A$2:$A$126,0),MATCH(AC$4,[1]Esquemas_NORM!$H$1:$K$1,0)))</f>
        <v>A la fecha no ha conformado un EAT asociación - unión</v>
      </c>
      <c r="AD395" s="23"/>
    </row>
    <row r="396" spans="1:30" x14ac:dyDescent="0.25">
      <c r="A396" s="24">
        <v>2018</v>
      </c>
      <c r="B396" s="25" t="s">
        <v>36</v>
      </c>
      <c r="C396" s="25" t="s">
        <v>63</v>
      </c>
      <c r="D396" s="25" t="s">
        <v>64</v>
      </c>
      <c r="E396" s="25" t="s">
        <v>70</v>
      </c>
      <c r="F396" s="25" t="s">
        <v>66</v>
      </c>
      <c r="G396" s="25" t="s">
        <v>71</v>
      </c>
      <c r="H396" s="26">
        <v>20.824702863431927</v>
      </c>
      <c r="I396" s="26">
        <v>318.19072564349506</v>
      </c>
      <c r="J396" s="27">
        <v>339.01542850692698</v>
      </c>
      <c r="K396" s="26">
        <v>2.5474140762347983</v>
      </c>
      <c r="L396" s="26">
        <v>37.504053432763811</v>
      </c>
      <c r="M396" s="27">
        <v>40.051467508998613</v>
      </c>
      <c r="N396" s="26">
        <v>27.982216049865361</v>
      </c>
      <c r="O396" s="26">
        <v>104.26414825150148</v>
      </c>
      <c r="P396" s="26">
        <v>18.120247909722465</v>
      </c>
      <c r="Q396" s="26">
        <v>11.44806322248624</v>
      </c>
      <c r="R396" s="26">
        <v>23.395023083098803</v>
      </c>
      <c r="S396" s="26">
        <v>67.725716499333444</v>
      </c>
      <c r="T396" s="26">
        <v>75.959616650201497</v>
      </c>
      <c r="U396" s="26">
        <v>9.9846084904558392</v>
      </c>
      <c r="V396" s="27">
        <v>338.87964015666518</v>
      </c>
      <c r="W396" s="27">
        <v>751.09030736063733</v>
      </c>
      <c r="X396" s="26">
        <v>73.191340414337262</v>
      </c>
      <c r="Y396" s="28">
        <v>824.29969028396306</v>
      </c>
      <c r="Z396" s="17" t="str">
        <f>SUBSTITUTE(SUBSTITUTE(SUBSTITUTE(SUBSTITUTE(IF(E396="","",VLOOKUP(E396,[1]Esquemas_NORM!$A$2:$H$126,8,FALSE)),"PROVINCIA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6" s="17" t="str">
        <f>IF($E396="","",INDEX([1]Esquemas_NORM!$H$2:$K$126,MATCH($E396,[1]Esquemas_NORM!$A$2:$A$126,0),MATCH(AA$4,[1]Esquemas_NORM!$H$1:$K$1,0)))</f>
        <v>Región de Planeación y Gestión del Bajo Cauca</v>
      </c>
      <c r="AB396" s="17" t="str">
        <f>IF($E396="","",INDEX([1]Esquemas_NORM!$H$2:$K$126,MATCH($E396,[1]Esquemas_NORM!$A$2:$A$126,0),MATCH(AB$4,[1]Esquemas_NORM!$H$1:$K$1,0)))</f>
        <v>A la fecha no ha conformado un EAT Área Metropolitana</v>
      </c>
      <c r="AC396" s="17" t="str">
        <f>IF($E396="","",INDEX([1]Esquemas_NORM!$H$2:$K$126,MATCH($E396,[1]Esquemas_NORM!$A$2:$A$126,0),MATCH(AC$4,[1]Esquemas_NORM!$H$1:$K$1,0)))</f>
        <v>A la fecha no ha conformado un EAT asociación - unión</v>
      </c>
      <c r="AD396" s="23"/>
    </row>
    <row r="397" spans="1:30" x14ac:dyDescent="0.25">
      <c r="A397" s="24">
        <v>2018</v>
      </c>
      <c r="B397" s="25" t="s">
        <v>36</v>
      </c>
      <c r="C397" s="25" t="s">
        <v>63</v>
      </c>
      <c r="D397" s="25" t="s">
        <v>64</v>
      </c>
      <c r="E397" s="25" t="s">
        <v>72</v>
      </c>
      <c r="F397" s="25" t="s">
        <v>66</v>
      </c>
      <c r="G397" s="25" t="s">
        <v>73</v>
      </c>
      <c r="H397" s="26">
        <v>18.655155916944786</v>
      </c>
      <c r="I397" s="26">
        <v>34.365390966924849</v>
      </c>
      <c r="J397" s="27">
        <v>53.020546883869635</v>
      </c>
      <c r="K397" s="26">
        <v>9.7041859244366115</v>
      </c>
      <c r="L397" s="26">
        <v>9.9556839463418392</v>
      </c>
      <c r="M397" s="27">
        <v>19.659869870778451</v>
      </c>
      <c r="N397" s="26">
        <v>18.041667715376349</v>
      </c>
      <c r="O397" s="26">
        <v>40.196373706492579</v>
      </c>
      <c r="P397" s="26">
        <v>8.7403465580881328</v>
      </c>
      <c r="Q397" s="26">
        <v>4.4909583593424856</v>
      </c>
      <c r="R397" s="26">
        <v>11.926579709855714</v>
      </c>
      <c r="S397" s="26">
        <v>21.941857596373083</v>
      </c>
      <c r="T397" s="26">
        <v>38.55436516960782</v>
      </c>
      <c r="U397" s="26">
        <v>5.0990094479712837</v>
      </c>
      <c r="V397" s="27">
        <v>148.99115826310748</v>
      </c>
      <c r="W397" s="27">
        <v>228.85776632820671</v>
      </c>
      <c r="X397" s="26">
        <v>22.301454988379987</v>
      </c>
      <c r="Y397" s="28">
        <v>251.16471888228</v>
      </c>
      <c r="Z397" s="17" t="str">
        <f>SUBSTITUTE(SUBSTITUTE(SUBSTITUTE(SUBSTITUTE(IF(E397="","",VLOOKUP(E397,[1]Esquemas_NORM!$A$2:$H$126,8,FALSE)),"PROVINCIA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7" s="17" t="str">
        <f>IF($E397="","",INDEX([1]Esquemas_NORM!$H$2:$K$126,MATCH($E397,[1]Esquemas_NORM!$A$2:$A$126,0),MATCH(AA$4,[1]Esquemas_NORM!$H$1:$K$1,0)))</f>
        <v>Región de Planeación y Gestión del Bajo Cauca</v>
      </c>
      <c r="AB397" s="17" t="str">
        <f>IF($E397="","",INDEX([1]Esquemas_NORM!$H$2:$K$126,MATCH($E397,[1]Esquemas_NORM!$A$2:$A$126,0),MATCH(AB$4,[1]Esquemas_NORM!$H$1:$K$1,0)))</f>
        <v>A la fecha no ha conformado un EAT Área Metropolitana</v>
      </c>
      <c r="AC397" s="17" t="str">
        <f>IF($E397="","",INDEX([1]Esquemas_NORM!$H$2:$K$126,MATCH($E397,[1]Esquemas_NORM!$A$2:$A$126,0),MATCH(AC$4,[1]Esquemas_NORM!$H$1:$K$1,0)))</f>
        <v>A la fecha no ha conformado un EAT asociación - unión</v>
      </c>
      <c r="AD397" s="23"/>
    </row>
    <row r="398" spans="1:30" x14ac:dyDescent="0.25">
      <c r="A398" s="24">
        <v>2018</v>
      </c>
      <c r="B398" s="25" t="s">
        <v>36</v>
      </c>
      <c r="C398" s="25" t="s">
        <v>63</v>
      </c>
      <c r="D398" s="25" t="s">
        <v>64</v>
      </c>
      <c r="E398" s="25" t="s">
        <v>74</v>
      </c>
      <c r="F398" s="25" t="s">
        <v>66</v>
      </c>
      <c r="G398" s="25" t="s">
        <v>75</v>
      </c>
      <c r="H398" s="26">
        <v>17.1477036147439</v>
      </c>
      <c r="I398" s="26">
        <v>31.127499400696195</v>
      </c>
      <c r="J398" s="27">
        <v>48.275203015440098</v>
      </c>
      <c r="K398" s="26">
        <v>3.3011038238081665</v>
      </c>
      <c r="L398" s="26">
        <v>18.128526397155028</v>
      </c>
      <c r="M398" s="27">
        <v>21.429630220963194</v>
      </c>
      <c r="N398" s="26">
        <v>7.98647816448445</v>
      </c>
      <c r="O398" s="26">
        <v>40.061455603597331</v>
      </c>
      <c r="P398" s="26">
        <v>11.166791966584471</v>
      </c>
      <c r="Q398" s="26">
        <v>6.3924270540352737</v>
      </c>
      <c r="R398" s="26">
        <v>15.534130240933379</v>
      </c>
      <c r="S398" s="26">
        <v>28.421560755080179</v>
      </c>
      <c r="T398" s="26">
        <v>63.590552787451308</v>
      </c>
      <c r="U398" s="26">
        <v>6.9346347714715382</v>
      </c>
      <c r="V398" s="27">
        <v>180.08803134363794</v>
      </c>
      <c r="W398" s="27">
        <v>256.54070490056108</v>
      </c>
      <c r="X398" s="26">
        <v>24.999068525480343</v>
      </c>
      <c r="Y398" s="28">
        <v>281.54593598456341</v>
      </c>
      <c r="Z398" s="17" t="str">
        <f>SUBSTITUTE(SUBSTITUTE(SUBSTITUTE(SUBSTITUTE(IF(E398="","",VLOOKUP(E398,[1]Esquemas_NORM!$A$2:$H$126,8,FALSE)),"PROVINCIA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8" s="17" t="str">
        <f>IF($E398="","",INDEX([1]Esquemas_NORM!$H$2:$K$126,MATCH($E398,[1]Esquemas_NORM!$A$2:$A$126,0),MATCH(AA$4,[1]Esquemas_NORM!$H$1:$K$1,0)))</f>
        <v>Región de Planeación y Gestión del Bajo Cauca</v>
      </c>
      <c r="AB398" s="17" t="str">
        <f>IF($E398="","",INDEX([1]Esquemas_NORM!$H$2:$K$126,MATCH($E398,[1]Esquemas_NORM!$A$2:$A$126,0),MATCH(AB$4,[1]Esquemas_NORM!$H$1:$K$1,0)))</f>
        <v>A la fecha no ha conformado un EAT Área Metropolitana</v>
      </c>
      <c r="AC398" s="17" t="str">
        <f>IF($E398="","",INDEX([1]Esquemas_NORM!$H$2:$K$126,MATCH($E398,[1]Esquemas_NORM!$A$2:$A$126,0),MATCH(AC$4,[1]Esquemas_NORM!$H$1:$K$1,0)))</f>
        <v>A la fecha no ha conformado un EAT asociación - unión</v>
      </c>
      <c r="AD398" s="23"/>
    </row>
    <row r="399" spans="1:30" x14ac:dyDescent="0.25">
      <c r="A399" s="24">
        <v>2018</v>
      </c>
      <c r="B399" s="25" t="s">
        <v>36</v>
      </c>
      <c r="C399" s="25" t="s">
        <v>63</v>
      </c>
      <c r="D399" s="25" t="s">
        <v>64</v>
      </c>
      <c r="E399" s="25" t="s">
        <v>76</v>
      </c>
      <c r="F399" s="25" t="s">
        <v>66</v>
      </c>
      <c r="G399" s="25" t="s">
        <v>77</v>
      </c>
      <c r="H399" s="26">
        <v>21.051954393604248</v>
      </c>
      <c r="I399" s="26">
        <v>133.91545209394343</v>
      </c>
      <c r="J399" s="27">
        <v>154.96740648754769</v>
      </c>
      <c r="K399" s="26">
        <v>7.5327047210686651</v>
      </c>
      <c r="L399" s="26">
        <v>12.0764663865277</v>
      </c>
      <c r="M399" s="27">
        <v>19.609171107596367</v>
      </c>
      <c r="N399" s="26">
        <v>22.113786860673333</v>
      </c>
      <c r="O399" s="26">
        <v>38.125513909462526</v>
      </c>
      <c r="P399" s="26">
        <v>6.6803388982774985</v>
      </c>
      <c r="Q399" s="26">
        <v>3.1955251617298743</v>
      </c>
      <c r="R399" s="26">
        <v>11.063142857357798</v>
      </c>
      <c r="S399" s="26">
        <v>27.70088547002473</v>
      </c>
      <c r="T399" s="26">
        <v>41.053257396099305</v>
      </c>
      <c r="U399" s="26">
        <v>4.0725312599463797</v>
      </c>
      <c r="V399" s="27">
        <v>154.00498181357145</v>
      </c>
      <c r="W399" s="27">
        <v>343.7730619051282</v>
      </c>
      <c r="X399" s="26">
        <v>33.499581811405633</v>
      </c>
      <c r="Y399" s="28">
        <v>377.28090174955429</v>
      </c>
      <c r="Z399" s="17" t="str">
        <f>SUBSTITUTE(SUBSTITUTE(SUBSTITUTE(SUBSTITUTE(IF(E399="","",VLOOKUP(E399,[1]Esquemas_NORM!$A$2:$H$126,8,FALSE)),"PROVINCIA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399" s="17" t="str">
        <f>IF($E399="","",INDEX([1]Esquemas_NORM!$H$2:$K$126,MATCH($E399,[1]Esquemas_NORM!$A$2:$A$126,0),MATCH(AA$4,[1]Esquemas_NORM!$H$1:$K$1,0)))</f>
        <v>Región de Planeación y Gestión del Bajo Cauca</v>
      </c>
      <c r="AB399" s="17" t="str">
        <f>IF($E399="","",INDEX([1]Esquemas_NORM!$H$2:$K$126,MATCH($E399,[1]Esquemas_NORM!$A$2:$A$126,0),MATCH(AB$4,[1]Esquemas_NORM!$H$1:$K$1,0)))</f>
        <v>A la fecha no ha conformado un EAT Área Metropolitana</v>
      </c>
      <c r="AC399" s="17" t="str">
        <f>IF($E399="","",INDEX([1]Esquemas_NORM!$H$2:$K$126,MATCH($E399,[1]Esquemas_NORM!$A$2:$A$126,0),MATCH(AC$4,[1]Esquemas_NORM!$H$1:$K$1,0)))</f>
        <v>A la fecha no ha conformado un EAT asociación - unión</v>
      </c>
      <c r="AD399" s="23"/>
    </row>
    <row r="400" spans="1:30" x14ac:dyDescent="0.25">
      <c r="A400" s="24">
        <v>2018</v>
      </c>
      <c r="B400" s="25" t="s">
        <v>36</v>
      </c>
      <c r="C400" s="25" t="s">
        <v>78</v>
      </c>
      <c r="D400" s="25" t="s">
        <v>79</v>
      </c>
      <c r="E400" s="25" t="s">
        <v>80</v>
      </c>
      <c r="F400" s="25" t="s">
        <v>81</v>
      </c>
      <c r="G400" s="25" t="s">
        <v>82</v>
      </c>
      <c r="H400" s="26">
        <v>5.9530297013909861</v>
      </c>
      <c r="I400" s="26">
        <v>0</v>
      </c>
      <c r="J400" s="27">
        <v>5.9530297013909861</v>
      </c>
      <c r="K400" s="26">
        <v>0.74539611574331788</v>
      </c>
      <c r="L400" s="26">
        <v>3.6197756849411902</v>
      </c>
      <c r="M400" s="27">
        <v>4.3651718006845082</v>
      </c>
      <c r="N400" s="26">
        <v>2.9667358566575204</v>
      </c>
      <c r="O400" s="26">
        <v>6.0837883976254723</v>
      </c>
      <c r="P400" s="26">
        <v>1.7042121505639585</v>
      </c>
      <c r="Q400" s="26">
        <v>1.0756570208378766</v>
      </c>
      <c r="R400" s="26">
        <v>3.5091300485781982</v>
      </c>
      <c r="S400" s="26">
        <v>5.1562564818288319</v>
      </c>
      <c r="T400" s="26">
        <v>10.780863029451167</v>
      </c>
      <c r="U400" s="26">
        <v>1.4231412604188383</v>
      </c>
      <c r="V400" s="27">
        <v>32.699784245961865</v>
      </c>
      <c r="W400" s="27">
        <v>43.936031704869059</v>
      </c>
      <c r="X400" s="26">
        <v>4.2814253112541714</v>
      </c>
      <c r="Y400" s="28">
        <v>48.218512436808687</v>
      </c>
      <c r="Z400" s="17" t="str">
        <f>SUBSTITUTE(SUBSTITUTE(SUBSTITUTE(SUBSTITUTE(IF(E400="","",VLOOKUP(E400,[1]Esquemas_NORM!$A$2:$H$126,8,FALSE)),"PROVINCIA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00" s="17" t="str">
        <f>IF($E400="","",INDEX([1]Esquemas_NORM!$H$2:$K$126,MATCH($E400,[1]Esquemas_NORM!$A$2:$A$126,0),MATCH(AA$4,[1]Esquemas_NORM!$H$1:$K$1,0)))</f>
        <v>A la fecha no ha conformado un EAT Región</v>
      </c>
      <c r="AB400" s="17" t="str">
        <f>IF($E400="","",INDEX([1]Esquemas_NORM!$H$2:$K$126,MATCH($E400,[1]Esquemas_NORM!$A$2:$A$126,0),MATCH(AB$4,[1]Esquemas_NORM!$H$1:$K$1,0)))</f>
        <v>A la fecha no ha conformado un EAT Área Metropolitana</v>
      </c>
      <c r="AC400" s="17" t="str">
        <f>IF($E400="","",INDEX([1]Esquemas_NORM!$H$2:$K$126,MATCH($E400,[1]Esquemas_NORM!$A$2:$A$126,0),MATCH(AC$4,[1]Esquemas_NORM!$H$1:$K$1,0)))</f>
        <v>ASOCIACIÓN DE MUNICIPIOS DEL MAGDALENA MEDIO ANTIOQUEÑO - AMMA</v>
      </c>
      <c r="AD400" s="23"/>
    </row>
    <row r="401" spans="1:30" x14ac:dyDescent="0.25">
      <c r="A401" s="24">
        <v>2018</v>
      </c>
      <c r="B401" s="25" t="s">
        <v>36</v>
      </c>
      <c r="C401" s="25" t="s">
        <v>78</v>
      </c>
      <c r="D401" s="25" t="s">
        <v>79</v>
      </c>
      <c r="E401" s="25" t="s">
        <v>83</v>
      </c>
      <c r="F401" s="25" t="s">
        <v>81</v>
      </c>
      <c r="G401" s="25" t="s">
        <v>84</v>
      </c>
      <c r="H401" s="26">
        <v>19.108508852767059</v>
      </c>
      <c r="I401" s="26">
        <v>8.1938753233221692E-3</v>
      </c>
      <c r="J401" s="27">
        <v>19.116702728090381</v>
      </c>
      <c r="K401" s="26">
        <v>1.1210538139673423</v>
      </c>
      <c r="L401" s="26">
        <v>7.5556276987475801</v>
      </c>
      <c r="M401" s="27">
        <v>8.6766815127149215</v>
      </c>
      <c r="N401" s="26">
        <v>2.1851935746139697</v>
      </c>
      <c r="O401" s="26">
        <v>16.201176328437644</v>
      </c>
      <c r="P401" s="26">
        <v>2.8636779885828991</v>
      </c>
      <c r="Q401" s="26">
        <v>1.6101334523872057</v>
      </c>
      <c r="R401" s="26">
        <v>6.8380545106101875</v>
      </c>
      <c r="S401" s="26">
        <v>8.2266818181823673</v>
      </c>
      <c r="T401" s="26">
        <v>16.359986290442716</v>
      </c>
      <c r="U401" s="26">
        <v>3.0403133810916323</v>
      </c>
      <c r="V401" s="27">
        <v>57.32521734434863</v>
      </c>
      <c r="W401" s="27">
        <v>87.115589525133188</v>
      </c>
      <c r="X401" s="26">
        <v>8.4891346697660897</v>
      </c>
      <c r="Y401" s="28">
        <v>95.60681686443823</v>
      </c>
      <c r="Z401" s="17" t="str">
        <f>SUBSTITUTE(SUBSTITUTE(SUBSTITUTE(SUBSTITUTE(IF(E401="","",VLOOKUP(E401,[1]Esquemas_NORM!$A$2:$H$126,8,FALSE)),"PROVINCIA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01" s="17" t="str">
        <f>IF($E401="","",INDEX([1]Esquemas_NORM!$H$2:$K$126,MATCH($E401,[1]Esquemas_NORM!$A$2:$A$126,0),MATCH(AA$4,[1]Esquemas_NORM!$H$1:$K$1,0)))</f>
        <v>A la fecha no ha conformado un EAT Región</v>
      </c>
      <c r="AB401" s="17" t="str">
        <f>IF($E401="","",INDEX([1]Esquemas_NORM!$H$2:$K$126,MATCH($E401,[1]Esquemas_NORM!$A$2:$A$126,0),MATCH(AB$4,[1]Esquemas_NORM!$H$1:$K$1,0)))</f>
        <v>A la fecha no ha conformado un EAT Área Metropolitana</v>
      </c>
      <c r="AC401" s="17" t="str">
        <f>IF($E401="","",INDEX([1]Esquemas_NORM!$H$2:$K$126,MATCH($E401,[1]Esquemas_NORM!$A$2:$A$126,0),MATCH(AC$4,[1]Esquemas_NORM!$H$1:$K$1,0)))</f>
        <v>ASOCIACIÓN DE MUNICIPIOS DEL MAGDALENA MEDIO ANTIOQUEÑO - AMMA</v>
      </c>
      <c r="AD401" s="23"/>
    </row>
    <row r="402" spans="1:30" x14ac:dyDescent="0.25">
      <c r="A402" s="24">
        <v>2018</v>
      </c>
      <c r="B402" s="25" t="s">
        <v>36</v>
      </c>
      <c r="C402" s="25" t="s">
        <v>78</v>
      </c>
      <c r="D402" s="25" t="s">
        <v>85</v>
      </c>
      <c r="E402" s="25" t="s">
        <v>86</v>
      </c>
      <c r="F402" s="25" t="s">
        <v>81</v>
      </c>
      <c r="G402" s="25" t="s">
        <v>87</v>
      </c>
      <c r="H402" s="26">
        <v>21.981213160830038</v>
      </c>
      <c r="I402" s="26">
        <v>42.167520134472475</v>
      </c>
      <c r="J402" s="27">
        <v>64.14873329530252</v>
      </c>
      <c r="K402" s="26">
        <v>44.216591995540895</v>
      </c>
      <c r="L402" s="26">
        <v>12.152457572574106</v>
      </c>
      <c r="M402" s="27">
        <v>56.369049568115003</v>
      </c>
      <c r="N402" s="26">
        <v>36.366316493489343</v>
      </c>
      <c r="O402" s="26">
        <v>138.39820296090102</v>
      </c>
      <c r="P402" s="26">
        <v>16.623356915597657</v>
      </c>
      <c r="Q402" s="26">
        <v>18.390929642349978</v>
      </c>
      <c r="R402" s="26">
        <v>41.458328336418056</v>
      </c>
      <c r="S402" s="26">
        <v>55.238522870882484</v>
      </c>
      <c r="T402" s="26">
        <v>65.790356843495132</v>
      </c>
      <c r="U402" s="26">
        <v>15.320248749578694</v>
      </c>
      <c r="V402" s="27">
        <v>387.58626281271239</v>
      </c>
      <c r="W402" s="27">
        <v>521.03645030851237</v>
      </c>
      <c r="X402" s="26">
        <v>50.773330222921096</v>
      </c>
      <c r="Y402" s="28">
        <v>571.82229674252915</v>
      </c>
      <c r="Z402" s="17" t="str">
        <f>SUBSTITUTE(SUBSTITUTE(SUBSTITUTE(SUBSTITUTE(IF(E402="","",VLOOKUP(E402,[1]Esquemas_NORM!$A$2:$H$126,8,FALSE)),"PROVINCIA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02" s="17" t="str">
        <f>IF($E402="","",INDEX([1]Esquemas_NORM!$H$2:$K$126,MATCH($E402,[1]Esquemas_NORM!$A$2:$A$126,0),MATCH(AA$4,[1]Esquemas_NORM!$H$1:$K$1,0)))</f>
        <v>A la fecha no ha conformado un EAT Región</v>
      </c>
      <c r="AB402" s="17" t="str">
        <f>IF($E402="","",INDEX([1]Esquemas_NORM!$H$2:$K$126,MATCH($E402,[1]Esquemas_NORM!$A$2:$A$126,0),MATCH(AB$4,[1]Esquemas_NORM!$H$1:$K$1,0)))</f>
        <v>A la fecha no ha conformado un EAT Área Metropolitana</v>
      </c>
      <c r="AC402" s="17" t="str">
        <f>IF($E402="","",INDEX([1]Esquemas_NORM!$H$2:$K$126,MATCH($E402,[1]Esquemas_NORM!$A$2:$A$126,0),MATCH(AC$4,[1]Esquemas_NORM!$H$1:$K$1,0)))</f>
        <v>ASOCIACIÓN DE MUNICIPIOS DEL MAGDALENA MEDIO ANTIOQUEÑO - AMMA</v>
      </c>
      <c r="AD402" s="23"/>
    </row>
    <row r="403" spans="1:30" x14ac:dyDescent="0.25">
      <c r="A403" s="24">
        <v>2018</v>
      </c>
      <c r="B403" s="25" t="s">
        <v>36</v>
      </c>
      <c r="C403" s="25" t="s">
        <v>78</v>
      </c>
      <c r="D403" s="25" t="s">
        <v>85</v>
      </c>
      <c r="E403" s="25" t="s">
        <v>88</v>
      </c>
      <c r="F403" s="25" t="s">
        <v>81</v>
      </c>
      <c r="G403" s="25" t="s">
        <v>89</v>
      </c>
      <c r="H403" s="26">
        <v>9.5414015818633935</v>
      </c>
      <c r="I403" s="26">
        <v>98.589180291106842</v>
      </c>
      <c r="J403" s="27">
        <v>108.13058187297024</v>
      </c>
      <c r="K403" s="26">
        <v>46.932923882033613</v>
      </c>
      <c r="L403" s="26">
        <v>4.4972606751005424</v>
      </c>
      <c r="M403" s="27">
        <v>51.430184557134154</v>
      </c>
      <c r="N403" s="26">
        <v>105.27416681216567</v>
      </c>
      <c r="O403" s="26">
        <v>20.592620055301612</v>
      </c>
      <c r="P403" s="26">
        <v>5.5979095473874443</v>
      </c>
      <c r="Q403" s="26">
        <v>2.3405251642231564</v>
      </c>
      <c r="R403" s="26">
        <v>11.558971515926135</v>
      </c>
      <c r="S403" s="26">
        <v>32.747233898439767</v>
      </c>
      <c r="T403" s="26">
        <v>34.840547077382297</v>
      </c>
      <c r="U403" s="26">
        <v>8.4399681205724821</v>
      </c>
      <c r="V403" s="27">
        <v>221.39194219139856</v>
      </c>
      <c r="W403" s="27">
        <v>395.33782642443498</v>
      </c>
      <c r="X403" s="26">
        <v>38.524402656975553</v>
      </c>
      <c r="Y403" s="28">
        <v>433.87172579068391</v>
      </c>
      <c r="Z403" s="17" t="str">
        <f>SUBSTITUTE(SUBSTITUTE(SUBSTITUTE(SUBSTITUTE(IF(E403="","",VLOOKUP(E403,[1]Esquemas_NORM!$A$2:$H$126,8,FALSE)),"PROVINCIA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03" s="17" t="str">
        <f>IF($E403="","",INDEX([1]Esquemas_NORM!$H$2:$K$126,MATCH($E403,[1]Esquemas_NORM!$A$2:$A$126,0),MATCH(AA$4,[1]Esquemas_NORM!$H$1:$K$1,0)))</f>
        <v>A la fecha no ha conformado un EAT Región</v>
      </c>
      <c r="AB403" s="17" t="str">
        <f>IF($E403="","",INDEX([1]Esquemas_NORM!$H$2:$K$126,MATCH($E403,[1]Esquemas_NORM!$A$2:$A$126,0),MATCH(AB$4,[1]Esquemas_NORM!$H$1:$K$1,0)))</f>
        <v>A la fecha no ha conformado un EAT Área Metropolitana</v>
      </c>
      <c r="AC403" s="17" t="str">
        <f>IF($E403="","",INDEX([1]Esquemas_NORM!$H$2:$K$126,MATCH($E403,[1]Esquemas_NORM!$A$2:$A$126,0),MATCH(AC$4,[1]Esquemas_NORM!$H$1:$K$1,0)))</f>
        <v>ASOCIACIÓN DE MUNICIPIOS DEL MAGDALENA MEDIO ANTIOQUEÑO - AMMA</v>
      </c>
      <c r="AD403" s="23"/>
    </row>
    <row r="404" spans="1:30" x14ac:dyDescent="0.25">
      <c r="A404" s="24">
        <v>2018</v>
      </c>
      <c r="B404" s="25" t="s">
        <v>36</v>
      </c>
      <c r="C404" s="25" t="s">
        <v>78</v>
      </c>
      <c r="D404" s="25" t="s">
        <v>85</v>
      </c>
      <c r="E404" s="25" t="s">
        <v>90</v>
      </c>
      <c r="F404" s="25" t="s">
        <v>81</v>
      </c>
      <c r="G404" s="25" t="s">
        <v>91</v>
      </c>
      <c r="H404" s="26">
        <v>8.5209876296129696</v>
      </c>
      <c r="I404" s="26">
        <v>12.460749291344353</v>
      </c>
      <c r="J404" s="27">
        <v>20.981736920957324</v>
      </c>
      <c r="K404" s="26">
        <v>24.099481736662284</v>
      </c>
      <c r="L404" s="26">
        <v>7.6888431383726905</v>
      </c>
      <c r="M404" s="27">
        <v>31.788324875034974</v>
      </c>
      <c r="N404" s="26">
        <v>11.00425526465696</v>
      </c>
      <c r="O404" s="26">
        <v>48.135947265043484</v>
      </c>
      <c r="P404" s="26">
        <v>4.3343969773245439</v>
      </c>
      <c r="Q404" s="26">
        <v>1.5142141167092191</v>
      </c>
      <c r="R404" s="26">
        <v>12.240985187627224</v>
      </c>
      <c r="S404" s="26">
        <v>15.077922387725573</v>
      </c>
      <c r="T404" s="26">
        <v>19.484779094636064</v>
      </c>
      <c r="U404" s="26">
        <v>3.7576874184569151</v>
      </c>
      <c r="V404" s="27">
        <v>115.55018771217999</v>
      </c>
      <c r="W404" s="27">
        <v>171.62383930977234</v>
      </c>
      <c r="X404" s="26">
        <v>16.724192448034586</v>
      </c>
      <c r="Y404" s="28">
        <v>188.35215446400252</v>
      </c>
      <c r="Z404" s="17" t="str">
        <f>SUBSTITUTE(SUBSTITUTE(SUBSTITUTE(SUBSTITUTE(IF(E404="","",VLOOKUP(E404,[1]Esquemas_NORM!$A$2:$H$126,8,FALSE)),"PROVINCIA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04" s="17" t="str">
        <f>IF($E404="","",INDEX([1]Esquemas_NORM!$H$2:$K$126,MATCH($E404,[1]Esquemas_NORM!$A$2:$A$126,0),MATCH(AA$4,[1]Esquemas_NORM!$H$1:$K$1,0)))</f>
        <v>A la fecha no ha conformado un EAT Región</v>
      </c>
      <c r="AB404" s="17" t="str">
        <f>IF($E404="","",INDEX([1]Esquemas_NORM!$H$2:$K$126,MATCH($E404,[1]Esquemas_NORM!$A$2:$A$126,0),MATCH(AB$4,[1]Esquemas_NORM!$H$1:$K$1,0)))</f>
        <v>A la fecha no ha conformado un EAT Área Metropolitana</v>
      </c>
      <c r="AC404" s="17" t="str">
        <f>IF($E404="","",INDEX([1]Esquemas_NORM!$H$2:$K$126,MATCH($E404,[1]Esquemas_NORM!$A$2:$A$126,0),MATCH(AC$4,[1]Esquemas_NORM!$H$1:$K$1,0)))</f>
        <v>ASOCIACIÓN DE MUNICIPIOS DEL MAGDALENA MEDIO ANTIOQUEÑO - AMMA</v>
      </c>
      <c r="AD404" s="23"/>
    </row>
    <row r="405" spans="1:30" x14ac:dyDescent="0.25">
      <c r="A405" s="24">
        <v>2018</v>
      </c>
      <c r="B405" s="25" t="s">
        <v>36</v>
      </c>
      <c r="C405" s="25" t="s">
        <v>78</v>
      </c>
      <c r="D405" s="25" t="s">
        <v>85</v>
      </c>
      <c r="E405" s="25" t="s">
        <v>92</v>
      </c>
      <c r="F405" s="25" t="s">
        <v>81</v>
      </c>
      <c r="G405" s="25" t="s">
        <v>93</v>
      </c>
      <c r="H405" s="26">
        <v>47.379907229339629</v>
      </c>
      <c r="I405" s="26">
        <v>606.2888194514104</v>
      </c>
      <c r="J405" s="27">
        <v>653.66872668075007</v>
      </c>
      <c r="K405" s="26">
        <v>2.9058010886682282</v>
      </c>
      <c r="L405" s="26">
        <v>20.685205762184154</v>
      </c>
      <c r="M405" s="27">
        <v>23.591006850852381</v>
      </c>
      <c r="N405" s="26">
        <v>12.156260923371008</v>
      </c>
      <c r="O405" s="26">
        <v>17.100207538682998</v>
      </c>
      <c r="P405" s="26">
        <v>4.5362772943938001</v>
      </c>
      <c r="Q405" s="26">
        <v>1.73665310597875</v>
      </c>
      <c r="R405" s="26">
        <v>9.9516603965291619</v>
      </c>
      <c r="S405" s="26">
        <v>51.345509463869412</v>
      </c>
      <c r="T405" s="26">
        <v>22.050789955645634</v>
      </c>
      <c r="U405" s="26">
        <v>5.7446159418673277</v>
      </c>
      <c r="V405" s="27">
        <v>124.62197462033808</v>
      </c>
      <c r="W405" s="27">
        <v>851.39877094750329</v>
      </c>
      <c r="X405" s="26">
        <v>82.966078329087864</v>
      </c>
      <c r="Y405" s="28">
        <v>934.38530137113446</v>
      </c>
      <c r="Z405" s="17" t="str">
        <f>SUBSTITUTE(SUBSTITUTE(SUBSTITUTE(SUBSTITUTE(IF(E405="","",VLOOKUP(E405,[1]Esquemas_NORM!$A$2:$H$126,8,FALSE)),"PROVINCIA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05" s="17" t="str">
        <f>IF($E405="","",INDEX([1]Esquemas_NORM!$H$2:$K$126,MATCH($E405,[1]Esquemas_NORM!$A$2:$A$126,0),MATCH(AA$4,[1]Esquemas_NORM!$H$1:$K$1,0)))</f>
        <v>A la fecha no ha conformado un EAT Región</v>
      </c>
      <c r="AB405" s="17" t="str">
        <f>IF($E405="","",INDEX([1]Esquemas_NORM!$H$2:$K$126,MATCH($E405,[1]Esquemas_NORM!$A$2:$A$126,0),MATCH(AB$4,[1]Esquemas_NORM!$H$1:$K$1,0)))</f>
        <v>A la fecha no ha conformado un EAT Área Metropolitana</v>
      </c>
      <c r="AC405" s="17" t="str">
        <f>IF($E405="","",INDEX([1]Esquemas_NORM!$H$2:$K$126,MATCH($E405,[1]Esquemas_NORM!$A$2:$A$126,0),MATCH(AC$4,[1]Esquemas_NORM!$H$1:$K$1,0)))</f>
        <v>ASOCIACIÓN DE MUNICIPIOS DEL MAGDALENA MEDIO ANTIOQUEÑO - AMMA</v>
      </c>
      <c r="AD405" s="23"/>
    </row>
    <row r="406" spans="1:30" x14ac:dyDescent="0.25">
      <c r="A406" s="24">
        <v>2018</v>
      </c>
      <c r="B406" s="25" t="s">
        <v>36</v>
      </c>
      <c r="C406" s="25" t="s">
        <v>94</v>
      </c>
      <c r="D406" s="25" t="s">
        <v>95</v>
      </c>
      <c r="E406" s="25" t="s">
        <v>96</v>
      </c>
      <c r="F406" s="25" t="s">
        <v>97</v>
      </c>
      <c r="G406" s="25" t="s">
        <v>98</v>
      </c>
      <c r="H406" s="26">
        <v>27.083993950149488</v>
      </c>
      <c r="I406" s="26">
        <v>27.462176239711837</v>
      </c>
      <c r="J406" s="27">
        <v>54.546170189861328</v>
      </c>
      <c r="K406" s="26">
        <v>11.221195732916508</v>
      </c>
      <c r="L406" s="26">
        <v>48.251409492821622</v>
      </c>
      <c r="M406" s="27">
        <v>59.472605225738128</v>
      </c>
      <c r="N406" s="26">
        <v>364.35783827433471</v>
      </c>
      <c r="O406" s="26">
        <v>29.518230426144417</v>
      </c>
      <c r="P406" s="26">
        <v>6.9769288495806379</v>
      </c>
      <c r="Q406" s="26">
        <v>8.4418846254649154</v>
      </c>
      <c r="R406" s="26">
        <v>15.024559752433188</v>
      </c>
      <c r="S406" s="26">
        <v>40.812884768575231</v>
      </c>
      <c r="T406" s="26">
        <v>41.740807003124871</v>
      </c>
      <c r="U406" s="26">
        <v>7.1292338995810782</v>
      </c>
      <c r="V406" s="27">
        <v>514.00236759923905</v>
      </c>
      <c r="W406" s="27">
        <v>657.16545722791204</v>
      </c>
      <c r="X406" s="26">
        <v>64.038665147469658</v>
      </c>
      <c r="Y406" s="28">
        <v>721.21990864442785</v>
      </c>
      <c r="Z406" s="17" t="str">
        <f>SUBSTITUTE(SUBSTITUTE(SUBSTITUTE(SUBSTITUTE(IF(E406="","",VLOOKUP(E406,[1]Esquemas_NORM!$A$2:$H$126,8,FALSE)),"PROVINCIA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406" s="17" t="str">
        <f>IF($E406="","",INDEX([1]Esquemas_NORM!$H$2:$K$126,MATCH($E406,[1]Esquemas_NORM!$A$2:$A$126,0),MATCH(AA$4,[1]Esquemas_NORM!$H$1:$K$1,0)))</f>
        <v>A la fecha no ha conformado un EAT Región</v>
      </c>
      <c r="AB406" s="17" t="str">
        <f>IF($E406="","",INDEX([1]Esquemas_NORM!$H$2:$K$126,MATCH($E406,[1]Esquemas_NORM!$A$2:$A$126,0),MATCH(AB$4,[1]Esquemas_NORM!$H$1:$K$1,0)))</f>
        <v>A la fecha no ha conformado un EAT Área Metropolitana</v>
      </c>
      <c r="AC406" s="17" t="str">
        <f>IF($E406="","",INDEX([1]Esquemas_NORM!$H$2:$K$126,MATCH($E406,[1]Esquemas_NORM!$A$2:$A$126,0),MATCH(AC$4,[1]Esquemas_NORM!$H$1:$K$1,0)))</f>
        <v>A la fecha no ha conformado un EAT asociación - unión</v>
      </c>
      <c r="AD406" s="23"/>
    </row>
    <row r="407" spans="1:30" x14ac:dyDescent="0.25">
      <c r="A407" s="24">
        <v>2018</v>
      </c>
      <c r="B407" s="25" t="s">
        <v>36</v>
      </c>
      <c r="C407" s="25" t="s">
        <v>94</v>
      </c>
      <c r="D407" s="25" t="s">
        <v>99</v>
      </c>
      <c r="E407" s="25" t="s">
        <v>100</v>
      </c>
      <c r="F407" s="25" t="s">
        <v>97</v>
      </c>
      <c r="G407" s="25" t="s">
        <v>101</v>
      </c>
      <c r="H407" s="26">
        <v>11.888794851349356</v>
      </c>
      <c r="I407" s="26">
        <v>2.9255171072680013</v>
      </c>
      <c r="J407" s="27">
        <v>14.814311958617358</v>
      </c>
      <c r="K407" s="26">
        <v>1.4730170197404706</v>
      </c>
      <c r="L407" s="26">
        <v>11.356398790418567</v>
      </c>
      <c r="M407" s="27">
        <v>12.829415810159038</v>
      </c>
      <c r="N407" s="26">
        <v>73.885936838895901</v>
      </c>
      <c r="O407" s="26">
        <v>7.1448148730592731</v>
      </c>
      <c r="P407" s="26">
        <v>1.7394446167244511</v>
      </c>
      <c r="Q407" s="26">
        <v>0.8474595825379817</v>
      </c>
      <c r="R407" s="26">
        <v>3.038604811560194</v>
      </c>
      <c r="S407" s="26">
        <v>8.382780888053091</v>
      </c>
      <c r="T407" s="26">
        <v>10.54783920668854</v>
      </c>
      <c r="U407" s="26">
        <v>1.6686576941618205</v>
      </c>
      <c r="V407" s="27">
        <v>107.25553851168125</v>
      </c>
      <c r="W407" s="27">
        <v>141.06346727522526</v>
      </c>
      <c r="X407" s="26">
        <v>13.746182252923514</v>
      </c>
      <c r="Y407" s="28">
        <v>154.81303812050785</v>
      </c>
      <c r="Z407" s="17" t="str">
        <f>SUBSTITUTE(SUBSTITUTE(SUBSTITUTE(SUBSTITUTE(IF(E407="","",VLOOKUP(E407,[1]Esquemas_NORM!$A$2:$H$126,8,FALSE)),"PROVINCIA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07" s="17" t="str">
        <f>IF($E407="","",INDEX([1]Esquemas_NORM!$H$2:$K$126,MATCH($E407,[1]Esquemas_NORM!$A$2:$A$126,0),MATCH(AA$4,[1]Esquemas_NORM!$H$1:$K$1,0)))</f>
        <v>A la fecha no ha conformado un EAT Región</v>
      </c>
      <c r="AB407" s="17" t="str">
        <f>IF($E407="","",INDEX([1]Esquemas_NORM!$H$2:$K$126,MATCH($E407,[1]Esquemas_NORM!$A$2:$A$126,0),MATCH(AB$4,[1]Esquemas_NORM!$H$1:$K$1,0)))</f>
        <v>A la fecha no ha conformado un EAT Área Metropolitana</v>
      </c>
      <c r="AC407" s="17" t="str">
        <f>IF($E407="","",INDEX([1]Esquemas_NORM!$H$2:$K$126,MATCH($E407,[1]Esquemas_NORM!$A$2:$A$126,0),MATCH(AC$4,[1]Esquemas_NORM!$H$1:$K$1,0)))</f>
        <v>A la fecha no ha conformado un EAT asociación - unión</v>
      </c>
      <c r="AD407" s="23"/>
    </row>
    <row r="408" spans="1:30" x14ac:dyDescent="0.25">
      <c r="A408" s="24">
        <v>2018</v>
      </c>
      <c r="B408" s="25" t="s">
        <v>36</v>
      </c>
      <c r="C408" s="25" t="s">
        <v>94</v>
      </c>
      <c r="D408" s="25" t="s">
        <v>79</v>
      </c>
      <c r="E408" s="25" t="s">
        <v>102</v>
      </c>
      <c r="F408" s="25" t="s">
        <v>97</v>
      </c>
      <c r="G408" s="25" t="s">
        <v>103</v>
      </c>
      <c r="H408" s="26">
        <v>3.5590936165122953</v>
      </c>
      <c r="I408" s="26">
        <v>0</v>
      </c>
      <c r="J408" s="27">
        <v>3.5590936165122953</v>
      </c>
      <c r="K408" s="26">
        <v>7.8182290127513419</v>
      </c>
      <c r="L408" s="26">
        <v>4.3722231953398607</v>
      </c>
      <c r="M408" s="27">
        <v>12.190452208091202</v>
      </c>
      <c r="N408" s="26">
        <v>11.198480714963942</v>
      </c>
      <c r="O408" s="26">
        <v>24.707450924598806</v>
      </c>
      <c r="P408" s="26">
        <v>4.8242939280322323</v>
      </c>
      <c r="Q408" s="26">
        <v>3.5283411265270144</v>
      </c>
      <c r="R408" s="26">
        <v>12.794151479418055</v>
      </c>
      <c r="S408" s="26">
        <v>13.022225865793413</v>
      </c>
      <c r="T408" s="26">
        <v>21.132614282282393</v>
      </c>
      <c r="U408" s="26">
        <v>5.1541294208576103</v>
      </c>
      <c r="V408" s="27">
        <v>96.361687742473478</v>
      </c>
      <c r="W408" s="27">
        <v>114.29934126557505</v>
      </c>
      <c r="X408" s="26">
        <v>11.138104051846796</v>
      </c>
      <c r="Y408" s="28">
        <v>125.44019098844458</v>
      </c>
      <c r="Z408" s="17" t="str">
        <f>SUBSTITUTE(SUBSTITUTE(SUBSTITUTE(SUBSTITUTE(IF(E408="","",VLOOKUP(E408,[1]Esquemas_NORM!$A$2:$H$126,8,FALSE)),"PROVINCIA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08" s="17" t="str">
        <f>IF($E408="","",INDEX([1]Esquemas_NORM!$H$2:$K$126,MATCH($E408,[1]Esquemas_NORM!$A$2:$A$126,0),MATCH(AA$4,[1]Esquemas_NORM!$H$1:$K$1,0)))</f>
        <v>A la fecha no ha conformado un EAT Región</v>
      </c>
      <c r="AB408" s="17" t="str">
        <f>IF($E408="","",INDEX([1]Esquemas_NORM!$H$2:$K$126,MATCH($E408,[1]Esquemas_NORM!$A$2:$A$126,0),MATCH(AB$4,[1]Esquemas_NORM!$H$1:$K$1,0)))</f>
        <v>A la fecha no ha conformado un EAT Área Metropolitana</v>
      </c>
      <c r="AC408" s="17" t="str">
        <f>IF($E408="","",INDEX([1]Esquemas_NORM!$H$2:$K$126,MATCH($E408,[1]Esquemas_NORM!$A$2:$A$126,0),MATCH(AC$4,[1]Esquemas_NORM!$H$1:$K$1,0)))</f>
        <v>A la fecha no ha conformado un EAT asociación - unión</v>
      </c>
      <c r="AD408" s="23"/>
    </row>
    <row r="409" spans="1:30" x14ac:dyDescent="0.25">
      <c r="A409" s="24">
        <v>2018</v>
      </c>
      <c r="B409" s="25" t="s">
        <v>36</v>
      </c>
      <c r="C409" s="25" t="s">
        <v>94</v>
      </c>
      <c r="D409" s="25" t="s">
        <v>104</v>
      </c>
      <c r="E409" s="25" t="s">
        <v>105</v>
      </c>
      <c r="F409" s="25" t="s">
        <v>97</v>
      </c>
      <c r="G409" s="25" t="s">
        <v>106</v>
      </c>
      <c r="H409" s="26">
        <v>60.801106571264839</v>
      </c>
      <c r="I409" s="26">
        <v>229.82951209733099</v>
      </c>
      <c r="J409" s="27">
        <v>290.63061866859584</v>
      </c>
      <c r="K409" s="26">
        <v>12.612635588708095</v>
      </c>
      <c r="L409" s="26">
        <v>8.9695833770609088</v>
      </c>
      <c r="M409" s="27">
        <v>21.582218965769002</v>
      </c>
      <c r="N409" s="26">
        <v>10.612878523176963</v>
      </c>
      <c r="O409" s="26">
        <v>50.613997322853848</v>
      </c>
      <c r="P409" s="26">
        <v>7.8626411414864208</v>
      </c>
      <c r="Q409" s="26">
        <v>3.6741475015750837</v>
      </c>
      <c r="R409" s="26">
        <v>17.691099716974776</v>
      </c>
      <c r="S409" s="26">
        <v>34.348488767365936</v>
      </c>
      <c r="T409" s="26">
        <v>33.482914899405699</v>
      </c>
      <c r="U409" s="26">
        <v>9.6977027905099114</v>
      </c>
      <c r="V409" s="27">
        <v>167.98387066334863</v>
      </c>
      <c r="W409" s="27">
        <v>504.22049900221441</v>
      </c>
      <c r="X409" s="26">
        <v>49.134669725724308</v>
      </c>
      <c r="Y409" s="28">
        <v>553.36728099033428</v>
      </c>
      <c r="Z409" s="17" t="str">
        <f>SUBSTITUTE(SUBSTITUTE(SUBSTITUTE(SUBSTITUTE(IF(E409="","",VLOOKUP(E409,[1]Esquemas_NORM!$A$2:$H$126,8,FALSE)),"PROVINCIA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409" s="17" t="str">
        <f>IF($E409="","",INDEX([1]Esquemas_NORM!$H$2:$K$126,MATCH($E409,[1]Esquemas_NORM!$A$2:$A$126,0),MATCH(AA$4,[1]Esquemas_NORM!$H$1:$K$1,0)))</f>
        <v>A la fecha no ha conformado un EAT Región</v>
      </c>
      <c r="AB409" s="17" t="str">
        <f>IF($E409="","",INDEX([1]Esquemas_NORM!$H$2:$K$126,MATCH($E409,[1]Esquemas_NORM!$A$2:$A$126,0),MATCH(AB$4,[1]Esquemas_NORM!$H$1:$K$1,0)))</f>
        <v>A la fecha no ha conformado un EAT Área Metropolitana</v>
      </c>
      <c r="AC409" s="17" t="str">
        <f>IF($E409="","",INDEX([1]Esquemas_NORM!$H$2:$K$126,MATCH($E409,[1]Esquemas_NORM!$A$2:$A$126,0),MATCH(AC$4,[1]Esquemas_NORM!$H$1:$K$1,0)))</f>
        <v>A la fecha no ha conformado un EAT asociación - unión</v>
      </c>
      <c r="AD409" s="23"/>
    </row>
    <row r="410" spans="1:30" x14ac:dyDescent="0.25">
      <c r="A410" s="24">
        <v>2018</v>
      </c>
      <c r="B410" s="25" t="s">
        <v>36</v>
      </c>
      <c r="C410" s="25" t="s">
        <v>94</v>
      </c>
      <c r="D410" s="25" t="s">
        <v>79</v>
      </c>
      <c r="E410" s="25" t="s">
        <v>107</v>
      </c>
      <c r="F410" s="25" t="s">
        <v>97</v>
      </c>
      <c r="G410" s="25" t="s">
        <v>108</v>
      </c>
      <c r="H410" s="26">
        <v>25.787970490092921</v>
      </c>
      <c r="I410" s="26">
        <v>3.9892815235541641</v>
      </c>
      <c r="J410" s="27">
        <v>29.777252013647086</v>
      </c>
      <c r="K410" s="26">
        <v>3.4130145152698779</v>
      </c>
      <c r="L410" s="26">
        <v>16.403668101791713</v>
      </c>
      <c r="M410" s="27">
        <v>19.816682617061591</v>
      </c>
      <c r="N410" s="26">
        <v>6.4803241275526648</v>
      </c>
      <c r="O410" s="26">
        <v>25.51971910667422</v>
      </c>
      <c r="P410" s="26">
        <v>8.5278402817974097</v>
      </c>
      <c r="Q410" s="26">
        <v>3.6890892512384577</v>
      </c>
      <c r="R410" s="26">
        <v>13.898192879185819</v>
      </c>
      <c r="S410" s="26">
        <v>19.389662124541264</v>
      </c>
      <c r="T410" s="26">
        <v>37.857893056837952</v>
      </c>
      <c r="U410" s="26">
        <v>6.9602734756071625</v>
      </c>
      <c r="V410" s="27">
        <v>122.32299430343495</v>
      </c>
      <c r="W410" s="27">
        <v>175.30139624272101</v>
      </c>
      <c r="X410" s="26">
        <v>17.082558570911182</v>
      </c>
      <c r="Y410" s="28">
        <v>192.38816586120765</v>
      </c>
      <c r="Z410" s="17" t="str">
        <f>SUBSTITUTE(SUBSTITUTE(SUBSTITUTE(SUBSTITUTE(IF(E410="","",VLOOKUP(E410,[1]Esquemas_NORM!$A$2:$H$126,8,FALSE)),"PROVINCIA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10" s="17" t="str">
        <f>IF($E410="","",INDEX([1]Esquemas_NORM!$H$2:$K$126,MATCH($E410,[1]Esquemas_NORM!$A$2:$A$126,0),MATCH(AA$4,[1]Esquemas_NORM!$H$1:$K$1,0)))</f>
        <v>A la fecha no ha conformado un EAT Región</v>
      </c>
      <c r="AB410" s="17" t="str">
        <f>IF($E410="","",INDEX([1]Esquemas_NORM!$H$2:$K$126,MATCH($E410,[1]Esquemas_NORM!$A$2:$A$126,0),MATCH(AB$4,[1]Esquemas_NORM!$H$1:$K$1,0)))</f>
        <v>A la fecha no ha conformado un EAT Área Metropolitana</v>
      </c>
      <c r="AC410" s="17" t="str">
        <f>IF($E410="","",INDEX([1]Esquemas_NORM!$H$2:$K$126,MATCH($E410,[1]Esquemas_NORM!$A$2:$A$126,0),MATCH(AC$4,[1]Esquemas_NORM!$H$1:$K$1,0)))</f>
        <v>A la fecha no ha conformado un EAT asociación - unión</v>
      </c>
      <c r="AD410" s="23"/>
    </row>
    <row r="411" spans="1:30" x14ac:dyDescent="0.25">
      <c r="A411" s="24">
        <v>2018</v>
      </c>
      <c r="B411" s="25" t="s">
        <v>36</v>
      </c>
      <c r="C411" s="25" t="s">
        <v>94</v>
      </c>
      <c r="D411" s="25" t="s">
        <v>79</v>
      </c>
      <c r="E411" s="25" t="s">
        <v>109</v>
      </c>
      <c r="F411" s="25" t="s">
        <v>97</v>
      </c>
      <c r="G411" s="25" t="s">
        <v>110</v>
      </c>
      <c r="H411" s="26">
        <v>61.109557485735863</v>
      </c>
      <c r="I411" s="26">
        <v>1.4736396271135246</v>
      </c>
      <c r="J411" s="27">
        <v>62.58319711284939</v>
      </c>
      <c r="K411" s="26">
        <v>5.5039988840649645</v>
      </c>
      <c r="L411" s="26">
        <v>11.070965374063212</v>
      </c>
      <c r="M411" s="27">
        <v>16.574964258128176</v>
      </c>
      <c r="N411" s="26">
        <v>18.305602170685134</v>
      </c>
      <c r="O411" s="26">
        <v>13.558838439053103</v>
      </c>
      <c r="P411" s="26">
        <v>3.1385748561342135</v>
      </c>
      <c r="Q411" s="26">
        <v>1.1014344311603133</v>
      </c>
      <c r="R411" s="26">
        <v>6.5617083984690767</v>
      </c>
      <c r="S411" s="26">
        <v>10.360413222608232</v>
      </c>
      <c r="T411" s="26">
        <v>17.717844670417982</v>
      </c>
      <c r="U411" s="26">
        <v>3.0570666095464567</v>
      </c>
      <c r="V411" s="27">
        <v>73.801482798074503</v>
      </c>
      <c r="W411" s="27">
        <v>157.86349470207514</v>
      </c>
      <c r="X411" s="26">
        <v>15.383291019107363</v>
      </c>
      <c r="Y411" s="28">
        <v>173.25057787972128</v>
      </c>
      <c r="Z411" s="17" t="str">
        <f>SUBSTITUTE(SUBSTITUTE(SUBSTITUTE(SUBSTITUTE(IF(E411="","",VLOOKUP(E411,[1]Esquemas_NORM!$A$2:$H$126,8,FALSE)),"PROVINCIA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11" s="17" t="str">
        <f>IF($E411="","",INDEX([1]Esquemas_NORM!$H$2:$K$126,MATCH($E411,[1]Esquemas_NORM!$A$2:$A$126,0),MATCH(AA$4,[1]Esquemas_NORM!$H$1:$K$1,0)))</f>
        <v>A la fecha no ha conformado un EAT Región</v>
      </c>
      <c r="AB411" s="17" t="str">
        <f>IF($E411="","",INDEX([1]Esquemas_NORM!$H$2:$K$126,MATCH($E411,[1]Esquemas_NORM!$A$2:$A$126,0),MATCH(AB$4,[1]Esquemas_NORM!$H$1:$K$1,0)))</f>
        <v>A la fecha no ha conformado un EAT Área Metropolitana</v>
      </c>
      <c r="AC411" s="17" t="str">
        <f>IF($E411="","",INDEX([1]Esquemas_NORM!$H$2:$K$126,MATCH($E411,[1]Esquemas_NORM!$A$2:$A$126,0),MATCH(AC$4,[1]Esquemas_NORM!$H$1:$K$1,0)))</f>
        <v>A la fecha no ha conformado un EAT asociación - unión</v>
      </c>
      <c r="AD411" s="23"/>
    </row>
    <row r="412" spans="1:30" x14ac:dyDescent="0.25">
      <c r="A412" s="24">
        <v>2018</v>
      </c>
      <c r="B412" s="25" t="s">
        <v>36</v>
      </c>
      <c r="C412" s="25" t="s">
        <v>94</v>
      </c>
      <c r="D412" s="25" t="s">
        <v>104</v>
      </c>
      <c r="E412" s="25" t="s">
        <v>111</v>
      </c>
      <c r="F412" s="25" t="s">
        <v>97</v>
      </c>
      <c r="G412" s="25" t="s">
        <v>112</v>
      </c>
      <c r="H412" s="26">
        <v>19.493961928919738</v>
      </c>
      <c r="I412" s="26">
        <v>323.45014191359792</v>
      </c>
      <c r="J412" s="27">
        <v>342.94410384251768</v>
      </c>
      <c r="K412" s="26">
        <v>26.244776847013004</v>
      </c>
      <c r="L412" s="26">
        <v>5.858254815208694</v>
      </c>
      <c r="M412" s="27">
        <v>32.103031662221696</v>
      </c>
      <c r="N412" s="26">
        <v>18.737459090694248</v>
      </c>
      <c r="O412" s="26">
        <v>80.925777947189076</v>
      </c>
      <c r="P412" s="26">
        <v>12.053837184719502</v>
      </c>
      <c r="Q412" s="26">
        <v>7.7869054899785244</v>
      </c>
      <c r="R412" s="26">
        <v>39.785101311862391</v>
      </c>
      <c r="S412" s="26">
        <v>55.535348279744362</v>
      </c>
      <c r="T412" s="26">
        <v>46.52052019591553</v>
      </c>
      <c r="U412" s="26">
        <v>15.572296843696188</v>
      </c>
      <c r="V412" s="27">
        <v>276.91724634379977</v>
      </c>
      <c r="W412" s="27">
        <v>682.7970546651004</v>
      </c>
      <c r="X412" s="26">
        <v>66.536382073022267</v>
      </c>
      <c r="Y412" s="28">
        <v>749.3498387231773</v>
      </c>
      <c r="Z412" s="17" t="str">
        <f>SUBSTITUTE(SUBSTITUTE(SUBSTITUTE(SUBSTITUTE(IF(E412="","",VLOOKUP(E412,[1]Esquemas_NORM!$A$2:$H$126,8,FALSE)),"PROVINCIA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412" s="17" t="str">
        <f>IF($E412="","",INDEX([1]Esquemas_NORM!$H$2:$K$126,MATCH($E412,[1]Esquemas_NORM!$A$2:$A$126,0),MATCH(AA$4,[1]Esquemas_NORM!$H$1:$K$1,0)))</f>
        <v>A la fecha no ha conformado un EAT Región</v>
      </c>
      <c r="AB412" s="17" t="str">
        <f>IF($E412="","",INDEX([1]Esquemas_NORM!$H$2:$K$126,MATCH($E412,[1]Esquemas_NORM!$A$2:$A$126,0),MATCH(AB$4,[1]Esquemas_NORM!$H$1:$K$1,0)))</f>
        <v>A la fecha no ha conformado un EAT Área Metropolitana</v>
      </c>
      <c r="AC412" s="17" t="str">
        <f>IF($E412="","",INDEX([1]Esquemas_NORM!$H$2:$K$126,MATCH($E412,[1]Esquemas_NORM!$A$2:$A$126,0),MATCH(AC$4,[1]Esquemas_NORM!$H$1:$K$1,0)))</f>
        <v>A la fecha no ha conformado un EAT asociación - unión</v>
      </c>
      <c r="AD412" s="23"/>
    </row>
    <row r="413" spans="1:30" x14ac:dyDescent="0.25">
      <c r="A413" s="24">
        <v>2018</v>
      </c>
      <c r="B413" s="25" t="s">
        <v>36</v>
      </c>
      <c r="C413" s="25" t="s">
        <v>94</v>
      </c>
      <c r="D413" s="25" t="s">
        <v>95</v>
      </c>
      <c r="E413" s="25" t="s">
        <v>113</v>
      </c>
      <c r="F413" s="25" t="s">
        <v>97</v>
      </c>
      <c r="G413" s="25" t="s">
        <v>114</v>
      </c>
      <c r="H413" s="26">
        <v>14.230215728295573</v>
      </c>
      <c r="I413" s="26">
        <v>3.5575797844404287</v>
      </c>
      <c r="J413" s="27">
        <v>17.787795512736</v>
      </c>
      <c r="K413" s="26">
        <v>0.39343949389419913</v>
      </c>
      <c r="L413" s="26">
        <v>11.699540879795231</v>
      </c>
      <c r="M413" s="27">
        <v>12.09298037368943</v>
      </c>
      <c r="N413" s="26">
        <v>3.4698534437385913</v>
      </c>
      <c r="O413" s="26">
        <v>23.807570302314616</v>
      </c>
      <c r="P413" s="26">
        <v>5.5265195854373017</v>
      </c>
      <c r="Q413" s="26">
        <v>3.5801196103541697</v>
      </c>
      <c r="R413" s="26">
        <v>8.1411413811407272</v>
      </c>
      <c r="S413" s="26">
        <v>11.504400731582505</v>
      </c>
      <c r="T413" s="26">
        <v>20.695199994166561</v>
      </c>
      <c r="U413" s="26">
        <v>5.8337408410093632</v>
      </c>
      <c r="V413" s="27">
        <v>82.558545889743826</v>
      </c>
      <c r="W413" s="27">
        <v>114.79506971751309</v>
      </c>
      <c r="X413" s="26">
        <v>11.186411198834872</v>
      </c>
      <c r="Y413" s="28">
        <v>125.98423849563919</v>
      </c>
      <c r="Z413" s="17" t="str">
        <f>SUBSTITUTE(SUBSTITUTE(SUBSTITUTE(SUBSTITUTE(IF(E413="","",VLOOKUP(E413,[1]Esquemas_NORM!$A$2:$H$126,8,FALSE)),"PROVINCIA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413" s="17" t="str">
        <f>IF($E413="","",INDEX([1]Esquemas_NORM!$H$2:$K$126,MATCH($E413,[1]Esquemas_NORM!$A$2:$A$126,0),MATCH(AA$4,[1]Esquemas_NORM!$H$1:$K$1,0)))</f>
        <v>A la fecha no ha conformado un EAT Región</v>
      </c>
      <c r="AB413" s="17" t="str">
        <f>IF($E413="","",INDEX([1]Esquemas_NORM!$H$2:$K$126,MATCH($E413,[1]Esquemas_NORM!$A$2:$A$126,0),MATCH(AB$4,[1]Esquemas_NORM!$H$1:$K$1,0)))</f>
        <v>A la fecha no ha conformado un EAT Área Metropolitana</v>
      </c>
      <c r="AC413" s="17" t="str">
        <f>IF($E413="","",INDEX([1]Esquemas_NORM!$H$2:$K$126,MATCH($E413,[1]Esquemas_NORM!$A$2:$A$126,0),MATCH(AC$4,[1]Esquemas_NORM!$H$1:$K$1,0)))</f>
        <v>A la fecha no ha conformado un EAT asociación - unión</v>
      </c>
      <c r="AD413" s="23"/>
    </row>
    <row r="414" spans="1:30" x14ac:dyDescent="0.25">
      <c r="A414" s="24">
        <v>2018</v>
      </c>
      <c r="B414" s="25" t="s">
        <v>36</v>
      </c>
      <c r="C414" s="25" t="s">
        <v>94</v>
      </c>
      <c r="D414" s="25" t="s">
        <v>95</v>
      </c>
      <c r="E414" s="25" t="s">
        <v>115</v>
      </c>
      <c r="F414" s="25" t="s">
        <v>97</v>
      </c>
      <c r="G414" s="25" t="s">
        <v>116</v>
      </c>
      <c r="H414" s="26">
        <v>11.072913225528996</v>
      </c>
      <c r="I414" s="26">
        <v>1.2996290436582436</v>
      </c>
      <c r="J414" s="27">
        <v>12.372542269187239</v>
      </c>
      <c r="K414" s="26">
        <v>1.6657238265864833</v>
      </c>
      <c r="L414" s="26">
        <v>4.228910248340199</v>
      </c>
      <c r="M414" s="27">
        <v>5.8946340749266826</v>
      </c>
      <c r="N414" s="26">
        <v>1.8945100153736625</v>
      </c>
      <c r="O414" s="26">
        <v>11.278954394873377</v>
      </c>
      <c r="P414" s="26">
        <v>3.1648010789777588</v>
      </c>
      <c r="Q414" s="26">
        <v>1.2637451375728193</v>
      </c>
      <c r="R414" s="26">
        <v>4.639516530884654</v>
      </c>
      <c r="S414" s="26">
        <v>6.983755101297775</v>
      </c>
      <c r="T414" s="26">
        <v>12.729281407510427</v>
      </c>
      <c r="U414" s="26">
        <v>3.3688398831519795</v>
      </c>
      <c r="V414" s="27">
        <v>45.32340354964245</v>
      </c>
      <c r="W414" s="27">
        <v>65.057014435096733</v>
      </c>
      <c r="X414" s="26">
        <v>6.3395973070135803</v>
      </c>
      <c r="Y414" s="28">
        <v>71.398174525914513</v>
      </c>
      <c r="Z414" s="17" t="str">
        <f>SUBSTITUTE(SUBSTITUTE(SUBSTITUTE(SUBSTITUTE(IF(E414="","",VLOOKUP(E414,[1]Esquemas_NORM!$A$2:$H$126,8,FALSE)),"PROVINCIA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414" s="17" t="str">
        <f>IF($E414="","",INDEX([1]Esquemas_NORM!$H$2:$K$126,MATCH($E414,[1]Esquemas_NORM!$A$2:$A$126,0),MATCH(AA$4,[1]Esquemas_NORM!$H$1:$K$1,0)))</f>
        <v>A la fecha no ha conformado un EAT Región</v>
      </c>
      <c r="AB414" s="17" t="str">
        <f>IF($E414="","",INDEX([1]Esquemas_NORM!$H$2:$K$126,MATCH($E414,[1]Esquemas_NORM!$A$2:$A$126,0),MATCH(AB$4,[1]Esquemas_NORM!$H$1:$K$1,0)))</f>
        <v>A la fecha no ha conformado un EAT Área Metropolitana</v>
      </c>
      <c r="AC414" s="17" t="str">
        <f>IF($E414="","",INDEX([1]Esquemas_NORM!$H$2:$K$126,MATCH($E414,[1]Esquemas_NORM!$A$2:$A$126,0),MATCH(AC$4,[1]Esquemas_NORM!$H$1:$K$1,0)))</f>
        <v>A la fecha no ha conformado un EAT asociación - unión</v>
      </c>
      <c r="AD414" s="23"/>
    </row>
    <row r="415" spans="1:30" x14ac:dyDescent="0.25">
      <c r="A415" s="24">
        <v>2018</v>
      </c>
      <c r="B415" s="25" t="s">
        <v>36</v>
      </c>
      <c r="C415" s="25" t="s">
        <v>94</v>
      </c>
      <c r="D415" s="25" t="s">
        <v>95</v>
      </c>
      <c r="E415" s="25" t="s">
        <v>117</v>
      </c>
      <c r="F415" s="25" t="s">
        <v>97</v>
      </c>
      <c r="G415" s="25" t="s">
        <v>118</v>
      </c>
      <c r="H415" s="26">
        <v>43.855328619421378</v>
      </c>
      <c r="I415" s="26">
        <v>0.63953974548816817</v>
      </c>
      <c r="J415" s="27">
        <v>44.49486836490955</v>
      </c>
      <c r="K415" s="26">
        <v>3.3373839071490261</v>
      </c>
      <c r="L415" s="26">
        <v>20.26486147633257</v>
      </c>
      <c r="M415" s="27">
        <v>23.602245383481595</v>
      </c>
      <c r="N415" s="26">
        <v>3.3268506960812188</v>
      </c>
      <c r="O415" s="26">
        <v>31.228690327252156</v>
      </c>
      <c r="P415" s="26">
        <v>6.7725885350991799</v>
      </c>
      <c r="Q415" s="26">
        <v>3.1103490477510842</v>
      </c>
      <c r="R415" s="26">
        <v>10.699177379249864</v>
      </c>
      <c r="S415" s="26">
        <v>17.690283799395655</v>
      </c>
      <c r="T415" s="26">
        <v>44.304525981113834</v>
      </c>
      <c r="U415" s="26">
        <v>9.737023166170891</v>
      </c>
      <c r="V415" s="27">
        <v>126.8694889321139</v>
      </c>
      <c r="W415" s="27">
        <v>199.01260543088091</v>
      </c>
      <c r="X415" s="26">
        <v>19.393139823689992</v>
      </c>
      <c r="Y415" s="28">
        <v>218.41052588705617</v>
      </c>
      <c r="Z415" s="17" t="str">
        <f>SUBSTITUTE(SUBSTITUTE(SUBSTITUTE(SUBSTITUTE(IF(E415="","",VLOOKUP(E415,[1]Esquemas_NORM!$A$2:$H$126,8,FALSE)),"PROVINCIA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415" s="17" t="str">
        <f>IF($E415="","",INDEX([1]Esquemas_NORM!$H$2:$K$126,MATCH($E415,[1]Esquemas_NORM!$A$2:$A$126,0),MATCH(AA$4,[1]Esquemas_NORM!$H$1:$K$1,0)))</f>
        <v>A la fecha no ha conformado un EAT Región</v>
      </c>
      <c r="AB415" s="17" t="str">
        <f>IF($E415="","",INDEX([1]Esquemas_NORM!$H$2:$K$126,MATCH($E415,[1]Esquemas_NORM!$A$2:$A$126,0),MATCH(AB$4,[1]Esquemas_NORM!$H$1:$K$1,0)))</f>
        <v>A la fecha no ha conformado un EAT Área Metropolitana</v>
      </c>
      <c r="AC415" s="17" t="str">
        <f>IF($E415="","",INDEX([1]Esquemas_NORM!$H$2:$K$126,MATCH($E415,[1]Esquemas_NORM!$A$2:$A$126,0),MATCH(AC$4,[1]Esquemas_NORM!$H$1:$K$1,0)))</f>
        <v>A la fecha no ha conformado un EAT asociación - unión</v>
      </c>
      <c r="AD415" s="23"/>
    </row>
    <row r="416" spans="1:30" x14ac:dyDescent="0.25">
      <c r="A416" s="24">
        <v>2018</v>
      </c>
      <c r="B416" s="25" t="s">
        <v>36</v>
      </c>
      <c r="C416" s="25" t="s">
        <v>119</v>
      </c>
      <c r="D416" s="25" t="s">
        <v>120</v>
      </c>
      <c r="E416" s="25" t="s">
        <v>121</v>
      </c>
      <c r="F416" s="25" t="s">
        <v>122</v>
      </c>
      <c r="G416" s="25" t="s">
        <v>123</v>
      </c>
      <c r="H416" s="26">
        <v>27.562583088924246</v>
      </c>
      <c r="I416" s="26">
        <v>0</v>
      </c>
      <c r="J416" s="27">
        <v>27.562583088924246</v>
      </c>
      <c r="K416" s="26">
        <v>1.2670259644465842</v>
      </c>
      <c r="L416" s="26">
        <v>18.65764629866726</v>
      </c>
      <c r="M416" s="27">
        <v>19.924672263113845</v>
      </c>
      <c r="N416" s="26">
        <v>3.5228180554189938</v>
      </c>
      <c r="O416" s="26">
        <v>15.715112472903593</v>
      </c>
      <c r="P416" s="26">
        <v>4.4955972506546917</v>
      </c>
      <c r="Q416" s="26">
        <v>1.974236841134992</v>
      </c>
      <c r="R416" s="26">
        <v>7.2016560445610454</v>
      </c>
      <c r="S416" s="26">
        <v>9.0763220885358464</v>
      </c>
      <c r="T416" s="26">
        <v>24.086979350295973</v>
      </c>
      <c r="U416" s="26">
        <v>2.6863965895047501</v>
      </c>
      <c r="V416" s="27">
        <v>68.759118693009881</v>
      </c>
      <c r="W416" s="27">
        <v>118.10826701858954</v>
      </c>
      <c r="X416" s="26">
        <v>11.509271644708138</v>
      </c>
      <c r="Y416" s="28">
        <v>129.62037583141006</v>
      </c>
      <c r="Z416" s="17" t="str">
        <f>SUBSTITUTE(SUBSTITUTE(SUBSTITUTE(SUBSTITUTE(IF(E416="","",VLOOKUP(E416,[1]Esquemas_NORM!$A$2:$H$126,8,FALSE)),"PROVINCIA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16" s="17" t="str">
        <f>IF($E416="","",INDEX([1]Esquemas_NORM!$H$2:$K$126,MATCH($E416,[1]Esquemas_NORM!$A$2:$A$126,0),MATCH(AA$4,[1]Esquemas_NORM!$H$1:$K$1,0)))</f>
        <v>A la fecha no ha conformado un EAT Región</v>
      </c>
      <c r="AB416" s="17" t="str">
        <f>IF($E416="","",INDEX([1]Esquemas_NORM!$H$2:$K$126,MATCH($E416,[1]Esquemas_NORM!$A$2:$A$126,0),MATCH(AB$4,[1]Esquemas_NORM!$H$1:$K$1,0)))</f>
        <v>A la fecha no ha conformado un EAT Área Metropolitana</v>
      </c>
      <c r="AC416" s="17" t="str">
        <f>IF($E416="","",INDEX([1]Esquemas_NORM!$H$2:$K$126,MATCH($E416,[1]Esquemas_NORM!$A$2:$A$126,0),MATCH(AC$4,[1]Esquemas_NORM!$H$1:$K$1,0)))</f>
        <v>ASOCIACION DE MUNICIPIOS DEL NORTE ANTIOQUEÑO - AMUNORTE</v>
      </c>
      <c r="AD416" s="23"/>
    </row>
    <row r="417" spans="1:30" x14ac:dyDescent="0.25">
      <c r="A417" s="24">
        <v>2018</v>
      </c>
      <c r="B417" s="25" t="s">
        <v>36</v>
      </c>
      <c r="C417" s="25" t="s">
        <v>119</v>
      </c>
      <c r="D417" s="25" t="s">
        <v>124</v>
      </c>
      <c r="E417" s="25" t="s">
        <v>125</v>
      </c>
      <c r="F417" s="25" t="s">
        <v>122</v>
      </c>
      <c r="G417" s="25" t="s">
        <v>126</v>
      </c>
      <c r="H417" s="26">
        <v>14.946768577094769</v>
      </c>
      <c r="I417" s="26">
        <v>0</v>
      </c>
      <c r="J417" s="27">
        <v>14.946768577094769</v>
      </c>
      <c r="K417" s="26">
        <v>2.1241658987587946</v>
      </c>
      <c r="L417" s="26">
        <v>3.7176944510182541</v>
      </c>
      <c r="M417" s="27">
        <v>5.8418603497770487</v>
      </c>
      <c r="N417" s="26">
        <v>1.4623105467088497</v>
      </c>
      <c r="O417" s="26">
        <v>4.4586195669337449</v>
      </c>
      <c r="P417" s="26">
        <v>1.3897190263336248</v>
      </c>
      <c r="Q417" s="26">
        <v>0.42768796330888043</v>
      </c>
      <c r="R417" s="26">
        <v>3.986393196488895</v>
      </c>
      <c r="S417" s="26">
        <v>4.9222955097942611</v>
      </c>
      <c r="T417" s="26">
        <v>21.337237473701752</v>
      </c>
      <c r="U417" s="26">
        <v>1.2991712380101137</v>
      </c>
      <c r="V417" s="27">
        <v>39.283434521280121</v>
      </c>
      <c r="W417" s="27">
        <v>61.526620648989308</v>
      </c>
      <c r="X417" s="26">
        <v>5.9955717606002814</v>
      </c>
      <c r="Y417" s="28">
        <v>67.523670387131489</v>
      </c>
      <c r="Z417" s="17" t="str">
        <f>SUBSTITUTE(SUBSTITUTE(SUBSTITUTE(SUBSTITUTE(IF(E417="","",VLOOKUP(E417,[1]Esquemas_NORM!$A$2:$H$126,8,FALSE)),"PROVINCIA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417" s="17" t="str">
        <f>IF($E417="","",INDEX([1]Esquemas_NORM!$H$2:$K$126,MATCH($E417,[1]Esquemas_NORM!$A$2:$A$126,0),MATCH(AA$4,[1]Esquemas_NORM!$H$1:$K$1,0)))</f>
        <v>A la fecha no ha conformado un EAT Región</v>
      </c>
      <c r="AB417" s="17" t="str">
        <f>IF($E417="","",INDEX([1]Esquemas_NORM!$H$2:$K$126,MATCH($E417,[1]Esquemas_NORM!$A$2:$A$126,0),MATCH(AB$4,[1]Esquemas_NORM!$H$1:$K$1,0)))</f>
        <v>A la fecha no ha conformado un EAT Área Metropolitana</v>
      </c>
      <c r="AC417" s="17" t="str">
        <f>IF($E417="","",INDEX([1]Esquemas_NORM!$H$2:$K$126,MATCH($E417,[1]Esquemas_NORM!$A$2:$A$126,0),MATCH(AC$4,[1]Esquemas_NORM!$H$1:$K$1,0)))</f>
        <v>A la fecha no ha conformado un EAT asociación - unión</v>
      </c>
      <c r="AD417" s="23"/>
    </row>
    <row r="418" spans="1:30" x14ac:dyDescent="0.25">
      <c r="A418" s="24">
        <v>2018</v>
      </c>
      <c r="B418" s="25" t="s">
        <v>36</v>
      </c>
      <c r="C418" s="25" t="s">
        <v>119</v>
      </c>
      <c r="D418" s="25" t="s">
        <v>120</v>
      </c>
      <c r="E418" s="25" t="s">
        <v>127</v>
      </c>
      <c r="F418" s="25" t="s">
        <v>122</v>
      </c>
      <c r="G418" s="25" t="s">
        <v>128</v>
      </c>
      <c r="H418" s="26">
        <v>12.846756657811095</v>
      </c>
      <c r="I418" s="26">
        <v>4.9475416477241509</v>
      </c>
      <c r="J418" s="27">
        <v>17.794298305535246</v>
      </c>
      <c r="K418" s="26">
        <v>0.46449864251738732</v>
      </c>
      <c r="L418" s="26">
        <v>5.3459854799440549</v>
      </c>
      <c r="M418" s="27">
        <v>5.8104841224614425</v>
      </c>
      <c r="N418" s="26">
        <v>1.4463852991135744</v>
      </c>
      <c r="O418" s="26">
        <v>5.3783964787325669</v>
      </c>
      <c r="P418" s="26">
        <v>2.8263805089968099</v>
      </c>
      <c r="Q418" s="26">
        <v>1.2029778215265348</v>
      </c>
      <c r="R418" s="26">
        <v>4.0951692188831608</v>
      </c>
      <c r="S418" s="26">
        <v>8.3883227313598834</v>
      </c>
      <c r="T418" s="26">
        <v>20.101079635960271</v>
      </c>
      <c r="U418" s="26">
        <v>2.0888124654298226</v>
      </c>
      <c r="V418" s="27">
        <v>45.527524160002628</v>
      </c>
      <c r="W418" s="27">
        <v>70.875544537548933</v>
      </c>
      <c r="X418" s="26">
        <v>6.90659439546807</v>
      </c>
      <c r="Y418" s="28">
        <v>77.783841488138506</v>
      </c>
      <c r="Z418" s="17" t="str">
        <f>SUBSTITUTE(SUBSTITUTE(SUBSTITUTE(SUBSTITUTE(IF(E418="","",VLOOKUP(E418,[1]Esquemas_NORM!$A$2:$H$126,8,FALSE)),"PROVINCIA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18" s="17" t="str">
        <f>IF($E418="","",INDEX([1]Esquemas_NORM!$H$2:$K$126,MATCH($E418,[1]Esquemas_NORM!$A$2:$A$126,0),MATCH(AA$4,[1]Esquemas_NORM!$H$1:$K$1,0)))</f>
        <v>A la fecha no ha conformado un EAT Región</v>
      </c>
      <c r="AB418" s="17" t="str">
        <f>IF($E418="","",INDEX([1]Esquemas_NORM!$H$2:$K$126,MATCH($E418,[1]Esquemas_NORM!$A$2:$A$126,0),MATCH(AB$4,[1]Esquemas_NORM!$H$1:$K$1,0)))</f>
        <v>A la fecha no ha conformado un EAT Área Metropolitana</v>
      </c>
      <c r="AC418" s="17" t="str">
        <f>IF($E418="","",INDEX([1]Esquemas_NORM!$H$2:$K$126,MATCH($E418,[1]Esquemas_NORM!$A$2:$A$126,0),MATCH(AC$4,[1]Esquemas_NORM!$H$1:$K$1,0)))</f>
        <v>ASOCIACION DE MUNICIPIOS DEL NORTE ANTIOQUEÑO - AMUNORTE</v>
      </c>
      <c r="AD418" s="23"/>
    </row>
    <row r="419" spans="1:30" x14ac:dyDescent="0.25">
      <c r="A419" s="24">
        <v>2018</v>
      </c>
      <c r="B419" s="25" t="s">
        <v>36</v>
      </c>
      <c r="C419" s="25" t="s">
        <v>119</v>
      </c>
      <c r="D419" s="25" t="s">
        <v>120</v>
      </c>
      <c r="E419" s="25" t="s">
        <v>129</v>
      </c>
      <c r="F419" s="25" t="s">
        <v>122</v>
      </c>
      <c r="G419" s="25" t="s">
        <v>130</v>
      </c>
      <c r="H419" s="26">
        <v>6.1659319461248057</v>
      </c>
      <c r="I419" s="26">
        <v>7.6046013928227985E-3</v>
      </c>
      <c r="J419" s="27">
        <v>6.173536547517628</v>
      </c>
      <c r="K419" s="26">
        <v>1.4370684482206288</v>
      </c>
      <c r="L419" s="26">
        <v>5.0975212245097907</v>
      </c>
      <c r="M419" s="27">
        <v>6.5345896727304194</v>
      </c>
      <c r="N419" s="26">
        <v>2.2646857713278652</v>
      </c>
      <c r="O419" s="26">
        <v>9.5348406014255112</v>
      </c>
      <c r="P419" s="26">
        <v>3.5679184705415774</v>
      </c>
      <c r="Q419" s="26">
        <v>1.6119374007133123</v>
      </c>
      <c r="R419" s="26">
        <v>4.7880158028799134</v>
      </c>
      <c r="S419" s="26">
        <v>7.5782962663901401</v>
      </c>
      <c r="T419" s="26">
        <v>16.910936470508197</v>
      </c>
      <c r="U419" s="26">
        <v>2.3625190373278868</v>
      </c>
      <c r="V419" s="27">
        <v>48.619149821114405</v>
      </c>
      <c r="W419" s="27">
        <v>62.460173035161844</v>
      </c>
      <c r="X419" s="26">
        <v>6.0865434451238603</v>
      </c>
      <c r="Y419" s="28">
        <v>68.548216883396321</v>
      </c>
      <c r="Z419" s="17" t="str">
        <f>SUBSTITUTE(SUBSTITUTE(SUBSTITUTE(SUBSTITUTE(IF(E419="","",VLOOKUP(E419,[1]Esquemas_NORM!$A$2:$H$126,8,FALSE)),"PROVINCIA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19" s="17" t="str">
        <f>IF($E419="","",INDEX([1]Esquemas_NORM!$H$2:$K$126,MATCH($E419,[1]Esquemas_NORM!$A$2:$A$126,0),MATCH(AA$4,[1]Esquemas_NORM!$H$1:$K$1,0)))</f>
        <v>A la fecha no ha conformado un EAT Región</v>
      </c>
      <c r="AB419" s="17" t="str">
        <f>IF($E419="","",INDEX([1]Esquemas_NORM!$H$2:$K$126,MATCH($E419,[1]Esquemas_NORM!$A$2:$A$126,0),MATCH(AB$4,[1]Esquemas_NORM!$H$1:$K$1,0)))</f>
        <v>A la fecha no ha conformado un EAT Área Metropolitana</v>
      </c>
      <c r="AC419" s="17" t="str">
        <f>IF($E419="","",INDEX([1]Esquemas_NORM!$H$2:$K$126,MATCH($E419,[1]Esquemas_NORM!$A$2:$A$126,0),MATCH(AC$4,[1]Esquemas_NORM!$H$1:$K$1,0)))</f>
        <v>ASOCIACION DE MUNICIPIOS DEL NORTE ANTIOQUEÑO - AMUNORTE</v>
      </c>
      <c r="AD419" s="23"/>
    </row>
    <row r="420" spans="1:30" x14ac:dyDescent="0.25">
      <c r="A420" s="24">
        <v>2018</v>
      </c>
      <c r="B420" s="25" t="s">
        <v>36</v>
      </c>
      <c r="C420" s="25" t="s">
        <v>119</v>
      </c>
      <c r="D420" s="25" t="s">
        <v>99</v>
      </c>
      <c r="E420" s="25" t="s">
        <v>131</v>
      </c>
      <c r="F420" s="25" t="s">
        <v>122</v>
      </c>
      <c r="G420" s="25" t="s">
        <v>132</v>
      </c>
      <c r="H420" s="26">
        <v>6.3641687280643211</v>
      </c>
      <c r="I420" s="26">
        <v>0</v>
      </c>
      <c r="J420" s="27">
        <v>6.3641687280643211</v>
      </c>
      <c r="K420" s="26">
        <v>0.5594559879531078</v>
      </c>
      <c r="L420" s="26">
        <v>3.1750231278456851</v>
      </c>
      <c r="M420" s="27">
        <v>3.7344791157987931</v>
      </c>
      <c r="N420" s="26">
        <v>20.152043873924608</v>
      </c>
      <c r="O420" s="26">
        <v>1.0962734747916301</v>
      </c>
      <c r="P420" s="26">
        <v>0.39109234914371871</v>
      </c>
      <c r="Q420" s="26">
        <v>0.22421036482690451</v>
      </c>
      <c r="R420" s="26">
        <v>0.79939444878385091</v>
      </c>
      <c r="S420" s="26">
        <v>2.0604750240729102</v>
      </c>
      <c r="T420" s="26">
        <v>2.3482851667001423</v>
      </c>
      <c r="U420" s="26">
        <v>0.29412526141077616</v>
      </c>
      <c r="V420" s="27">
        <v>27.365899963654542</v>
      </c>
      <c r="W420" s="27">
        <v>39.166931972295345</v>
      </c>
      <c r="X420" s="26">
        <v>3.816691845016035</v>
      </c>
      <c r="Y420" s="28">
        <v>42.98456467584105</v>
      </c>
      <c r="Z420" s="17" t="str">
        <f>SUBSTITUTE(SUBSTITUTE(SUBSTITUTE(SUBSTITUTE(IF(E420="","",VLOOKUP(E420,[1]Esquemas_NORM!$A$2:$H$126,8,FALSE)),"PROVINCIA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20" s="17" t="str">
        <f>IF($E420="","",INDEX([1]Esquemas_NORM!$H$2:$K$126,MATCH($E420,[1]Esquemas_NORM!$A$2:$A$126,0),MATCH(AA$4,[1]Esquemas_NORM!$H$1:$K$1,0)))</f>
        <v>A la fecha no ha conformado un EAT Región</v>
      </c>
      <c r="AB420" s="17" t="str">
        <f>IF($E420="","",INDEX([1]Esquemas_NORM!$H$2:$K$126,MATCH($E420,[1]Esquemas_NORM!$A$2:$A$126,0),MATCH(AB$4,[1]Esquemas_NORM!$H$1:$K$1,0)))</f>
        <v>A la fecha no ha conformado un EAT Área Metropolitana</v>
      </c>
      <c r="AC420" s="17" t="str">
        <f>IF($E420="","",INDEX([1]Esquemas_NORM!$H$2:$K$126,MATCH($E420,[1]Esquemas_NORM!$A$2:$A$126,0),MATCH(AC$4,[1]Esquemas_NORM!$H$1:$K$1,0)))</f>
        <v>A la fecha no ha conformado un EAT asociación - unión</v>
      </c>
      <c r="AD420" s="23"/>
    </row>
    <row r="421" spans="1:30" x14ac:dyDescent="0.25">
      <c r="A421" s="24">
        <v>2018</v>
      </c>
      <c r="B421" s="25" t="s">
        <v>36</v>
      </c>
      <c r="C421" s="25" t="s">
        <v>119</v>
      </c>
      <c r="D421" s="25" t="s">
        <v>124</v>
      </c>
      <c r="E421" s="25" t="s">
        <v>133</v>
      </c>
      <c r="F421" s="25" t="s">
        <v>122</v>
      </c>
      <c r="G421" s="25" t="s">
        <v>134</v>
      </c>
      <c r="H421" s="26">
        <v>136.49920127108064</v>
      </c>
      <c r="I421" s="26">
        <v>0</v>
      </c>
      <c r="J421" s="27">
        <v>136.49920127108064</v>
      </c>
      <c r="K421" s="26">
        <v>26.032750798975147</v>
      </c>
      <c r="L421" s="26">
        <v>20.276809949973039</v>
      </c>
      <c r="M421" s="27">
        <v>46.309560748948186</v>
      </c>
      <c r="N421" s="26">
        <v>25.199839923556457</v>
      </c>
      <c r="O421" s="26">
        <v>49.559085785818183</v>
      </c>
      <c r="P421" s="26">
        <v>8.7378656146213896</v>
      </c>
      <c r="Q421" s="26">
        <v>9.5708780658562933</v>
      </c>
      <c r="R421" s="26">
        <v>19.606644091272432</v>
      </c>
      <c r="S421" s="26">
        <v>23.629950645200942</v>
      </c>
      <c r="T421" s="26">
        <v>23.961761159212095</v>
      </c>
      <c r="U421" s="26">
        <v>7.5302958039711294</v>
      </c>
      <c r="V421" s="27">
        <v>167.79632108950892</v>
      </c>
      <c r="W421" s="27">
        <v>359.79639385981329</v>
      </c>
      <c r="X421" s="26">
        <v>35.061004096081597</v>
      </c>
      <c r="Y421" s="28">
        <v>394.86604089750585</v>
      </c>
      <c r="Z421" s="17" t="str">
        <f>SUBSTITUTE(SUBSTITUTE(SUBSTITUTE(SUBSTITUTE(IF(E421="","",VLOOKUP(E421,[1]Esquemas_NORM!$A$2:$H$126,8,FALSE)),"PROVINCIA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421" s="17" t="str">
        <f>IF($E421="","",INDEX([1]Esquemas_NORM!$H$2:$K$126,MATCH($E421,[1]Esquemas_NORM!$A$2:$A$126,0),MATCH(AA$4,[1]Esquemas_NORM!$H$1:$K$1,0)))</f>
        <v>A la fecha no ha conformado un EAT Región</v>
      </c>
      <c r="AB421" s="17" t="str">
        <f>IF($E421="","",INDEX([1]Esquemas_NORM!$H$2:$K$126,MATCH($E421,[1]Esquemas_NORM!$A$2:$A$126,0),MATCH(AB$4,[1]Esquemas_NORM!$H$1:$K$1,0)))</f>
        <v>A la fecha no ha conformado un EAT Área Metropolitana</v>
      </c>
      <c r="AC421" s="17" t="str">
        <f>IF($E421="","",INDEX([1]Esquemas_NORM!$H$2:$K$126,MATCH($E421,[1]Esquemas_NORM!$A$2:$A$126,0),MATCH(AC$4,[1]Esquemas_NORM!$H$1:$K$1,0)))</f>
        <v>ASOCIACION DE MUNICIPIOS DEL NORTE ANTIOQUEÑO - AMUNORTE</v>
      </c>
      <c r="AD421" s="23"/>
    </row>
    <row r="422" spans="1:30" x14ac:dyDescent="0.25">
      <c r="A422" s="24">
        <v>2018</v>
      </c>
      <c r="B422" s="25" t="s">
        <v>36</v>
      </c>
      <c r="C422" s="25" t="s">
        <v>119</v>
      </c>
      <c r="D422" s="25" t="s">
        <v>124</v>
      </c>
      <c r="E422" s="25" t="s">
        <v>135</v>
      </c>
      <c r="F422" s="25" t="s">
        <v>122</v>
      </c>
      <c r="G422" s="25" t="s">
        <v>136</v>
      </c>
      <c r="H422" s="26">
        <v>53.425503217814025</v>
      </c>
      <c r="I422" s="26">
        <v>0</v>
      </c>
      <c r="J422" s="27">
        <v>53.425503217814025</v>
      </c>
      <c r="K422" s="26">
        <v>134.84811818967052</v>
      </c>
      <c r="L422" s="26">
        <v>47.06277631891831</v>
      </c>
      <c r="M422" s="27">
        <v>181.91089450858883</v>
      </c>
      <c r="N422" s="26">
        <v>8.6297885882317313</v>
      </c>
      <c r="O422" s="26">
        <v>26.954790031224501</v>
      </c>
      <c r="P422" s="26">
        <v>4.1037261332063677</v>
      </c>
      <c r="Q422" s="26">
        <v>3.7694783751357619</v>
      </c>
      <c r="R422" s="26">
        <v>11.097403416506937</v>
      </c>
      <c r="S422" s="26">
        <v>18.676613285172753</v>
      </c>
      <c r="T422" s="26">
        <v>13.090292221617029</v>
      </c>
      <c r="U422" s="26">
        <v>4.449788257853772</v>
      </c>
      <c r="V422" s="27">
        <v>90.771880308948852</v>
      </c>
      <c r="W422" s="27">
        <v>317.0894434502772</v>
      </c>
      <c r="X422" s="26">
        <v>30.899348813269956</v>
      </c>
      <c r="Y422" s="28">
        <v>347.99640930916496</v>
      </c>
      <c r="Z422" s="17" t="str">
        <f>SUBSTITUTE(SUBSTITUTE(SUBSTITUTE(SUBSTITUTE(IF(E422="","",VLOOKUP(E422,[1]Esquemas_NORM!$A$2:$H$126,8,FALSE)),"PROVINCIA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422" s="17" t="str">
        <f>IF($E422="","",INDEX([1]Esquemas_NORM!$H$2:$K$126,MATCH($E422,[1]Esquemas_NORM!$A$2:$A$126,0),MATCH(AA$4,[1]Esquemas_NORM!$H$1:$K$1,0)))</f>
        <v>A la fecha no ha conformado un EAT Región</v>
      </c>
      <c r="AB422" s="17" t="str">
        <f>IF($E422="","",INDEX([1]Esquemas_NORM!$H$2:$K$126,MATCH($E422,[1]Esquemas_NORM!$A$2:$A$126,0),MATCH(AB$4,[1]Esquemas_NORM!$H$1:$K$1,0)))</f>
        <v>A la fecha no ha conformado un EAT Área Metropolitana</v>
      </c>
      <c r="AC422" s="17" t="str">
        <f>IF($E422="","",INDEX([1]Esquemas_NORM!$H$2:$K$126,MATCH($E422,[1]Esquemas_NORM!$A$2:$A$126,0),MATCH(AC$4,[1]Esquemas_NORM!$H$1:$K$1,0)))</f>
        <v>A la fecha no ha conformado un EAT asociación - unión</v>
      </c>
      <c r="AD422" s="23"/>
    </row>
    <row r="423" spans="1:30" x14ac:dyDescent="0.25">
      <c r="A423" s="24">
        <v>2018</v>
      </c>
      <c r="B423" s="25" t="s">
        <v>36</v>
      </c>
      <c r="C423" s="25" t="s">
        <v>119</v>
      </c>
      <c r="D423" s="25" t="s">
        <v>99</v>
      </c>
      <c r="E423" s="25" t="s">
        <v>137</v>
      </c>
      <c r="F423" s="25" t="s">
        <v>122</v>
      </c>
      <c r="G423" s="25" t="s">
        <v>138</v>
      </c>
      <c r="H423" s="26">
        <v>19.831263327431429</v>
      </c>
      <c r="I423" s="26">
        <v>7.7685076610894592E-3</v>
      </c>
      <c r="J423" s="27">
        <v>19.83903183509252</v>
      </c>
      <c r="K423" s="26">
        <v>13.449678617124816</v>
      </c>
      <c r="L423" s="26">
        <v>13.873752275342532</v>
      </c>
      <c r="M423" s="27">
        <v>27.32343089246735</v>
      </c>
      <c r="N423" s="26">
        <v>22.349378701274112</v>
      </c>
      <c r="O423" s="26">
        <v>50.568870068108467</v>
      </c>
      <c r="P423" s="26">
        <v>12.791427852027731</v>
      </c>
      <c r="Q423" s="26">
        <v>5.3347682080823429</v>
      </c>
      <c r="R423" s="26">
        <v>29.331933830447838</v>
      </c>
      <c r="S423" s="26">
        <v>35.672529321276471</v>
      </c>
      <c r="T423" s="26">
        <v>61.014795271865914</v>
      </c>
      <c r="U423" s="26">
        <v>12.99820191462199</v>
      </c>
      <c r="V423" s="27">
        <v>230.06190516770491</v>
      </c>
      <c r="W423" s="27">
        <v>282.89768751579129</v>
      </c>
      <c r="X423" s="26">
        <v>27.567471909191667</v>
      </c>
      <c r="Y423" s="28">
        <v>310.47195512454169</v>
      </c>
      <c r="Z423" s="17" t="str">
        <f>SUBSTITUTE(SUBSTITUTE(SUBSTITUTE(SUBSTITUTE(IF(E423="","",VLOOKUP(E423,[1]Esquemas_NORM!$A$2:$H$126,8,FALSE)),"PROVINCIA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23" s="17" t="str">
        <f>IF($E423="","",INDEX([1]Esquemas_NORM!$H$2:$K$126,MATCH($E423,[1]Esquemas_NORM!$A$2:$A$126,0),MATCH(AA$4,[1]Esquemas_NORM!$H$1:$K$1,0)))</f>
        <v>A la fecha no ha conformado un EAT Región</v>
      </c>
      <c r="AB423" s="17" t="str">
        <f>IF($E423="","",INDEX([1]Esquemas_NORM!$H$2:$K$126,MATCH($E423,[1]Esquemas_NORM!$A$2:$A$126,0),MATCH(AB$4,[1]Esquemas_NORM!$H$1:$K$1,0)))</f>
        <v>A la fecha no ha conformado un EAT Área Metropolitana</v>
      </c>
      <c r="AC423" s="17" t="str">
        <f>IF($E423="","",INDEX([1]Esquemas_NORM!$H$2:$K$126,MATCH($E423,[1]Esquemas_NORM!$A$2:$A$126,0),MATCH(AC$4,[1]Esquemas_NORM!$H$1:$K$1,0)))</f>
        <v>ASOCIACION DE MUNICIPIOS DEL NORTE ANTIOQUEÑO - AMUNORTE</v>
      </c>
      <c r="AD423" s="23"/>
    </row>
    <row r="424" spans="1:30" x14ac:dyDescent="0.25">
      <c r="A424" s="24">
        <v>2018</v>
      </c>
      <c r="B424" s="25" t="s">
        <v>36</v>
      </c>
      <c r="C424" s="25" t="s">
        <v>119</v>
      </c>
      <c r="D424" s="25" t="s">
        <v>99</v>
      </c>
      <c r="E424" s="25" t="s">
        <v>139</v>
      </c>
      <c r="F424" s="25" t="s">
        <v>122</v>
      </c>
      <c r="G424" s="25" t="s">
        <v>140</v>
      </c>
      <c r="H424" s="26">
        <v>6.6374624531991033</v>
      </c>
      <c r="I424" s="26">
        <v>0</v>
      </c>
      <c r="J424" s="27">
        <v>6.6374624531991033</v>
      </c>
      <c r="K424" s="26">
        <v>0.1592999366213419</v>
      </c>
      <c r="L424" s="26">
        <v>5.7565592738640117</v>
      </c>
      <c r="M424" s="27">
        <v>5.9158592104853538</v>
      </c>
      <c r="N424" s="26">
        <v>26.328989588963783</v>
      </c>
      <c r="O424" s="26">
        <v>2.3907133610738081</v>
      </c>
      <c r="P424" s="26">
        <v>0.93524545284086325</v>
      </c>
      <c r="Q424" s="26">
        <v>0.47198324680099418</v>
      </c>
      <c r="R424" s="26">
        <v>1.2651324888070248</v>
      </c>
      <c r="S424" s="26">
        <v>3.5480466923006677</v>
      </c>
      <c r="T424" s="26">
        <v>5.2526854586983704</v>
      </c>
      <c r="U424" s="26">
        <v>0.84332932681030703</v>
      </c>
      <c r="V424" s="27">
        <v>41.03612561629582</v>
      </c>
      <c r="W424" s="27">
        <v>55.76239480380346</v>
      </c>
      <c r="X424" s="26">
        <v>5.4338664477671426</v>
      </c>
      <c r="Y424" s="28">
        <v>61.197600762278839</v>
      </c>
      <c r="Z424" s="17" t="str">
        <f>SUBSTITUTE(SUBSTITUTE(SUBSTITUTE(SUBSTITUTE(IF(E424="","",VLOOKUP(E424,[1]Esquemas_NORM!$A$2:$H$126,8,FALSE)),"PROVINCIA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24" s="17" t="str">
        <f>IF($E424="","",INDEX([1]Esquemas_NORM!$H$2:$K$126,MATCH($E424,[1]Esquemas_NORM!$A$2:$A$126,0),MATCH(AA$4,[1]Esquemas_NORM!$H$1:$K$1,0)))</f>
        <v>A la fecha no ha conformado un EAT Región</v>
      </c>
      <c r="AB424" s="17" t="str">
        <f>IF($E424="","",INDEX([1]Esquemas_NORM!$H$2:$K$126,MATCH($E424,[1]Esquemas_NORM!$A$2:$A$126,0),MATCH(AB$4,[1]Esquemas_NORM!$H$1:$K$1,0)))</f>
        <v>A la fecha no ha conformado un EAT Área Metropolitana</v>
      </c>
      <c r="AC424" s="17" t="str">
        <f>IF($E424="","",INDEX([1]Esquemas_NORM!$H$2:$K$126,MATCH($E424,[1]Esquemas_NORM!$A$2:$A$126,0),MATCH(AC$4,[1]Esquemas_NORM!$H$1:$K$1,0)))</f>
        <v>A la fecha no ha conformado un EAT asociación - unión</v>
      </c>
      <c r="AD424" s="23"/>
    </row>
    <row r="425" spans="1:30" x14ac:dyDescent="0.25">
      <c r="A425" s="24">
        <v>2018</v>
      </c>
      <c r="B425" s="25" t="s">
        <v>36</v>
      </c>
      <c r="C425" s="25" t="s">
        <v>119</v>
      </c>
      <c r="D425" s="25" t="s">
        <v>141</v>
      </c>
      <c r="E425" s="25" t="s">
        <v>142</v>
      </c>
      <c r="F425" s="25" t="s">
        <v>122</v>
      </c>
      <c r="G425" s="25" t="s">
        <v>143</v>
      </c>
      <c r="H425" s="26">
        <v>38.728229076225269</v>
      </c>
      <c r="I425" s="26">
        <v>0</v>
      </c>
      <c r="J425" s="27">
        <v>38.728229076225269</v>
      </c>
      <c r="K425" s="26">
        <v>6.5481785458893365</v>
      </c>
      <c r="L425" s="26">
        <v>13.211634174229051</v>
      </c>
      <c r="M425" s="27">
        <v>19.759812720118386</v>
      </c>
      <c r="N425" s="26">
        <v>11.387072354649941</v>
      </c>
      <c r="O425" s="26">
        <v>21.62733468175535</v>
      </c>
      <c r="P425" s="26">
        <v>10.324889713991007</v>
      </c>
      <c r="Q425" s="26">
        <v>4.3108782722476207</v>
      </c>
      <c r="R425" s="26">
        <v>14.600239208773143</v>
      </c>
      <c r="S425" s="26">
        <v>22.652947762637002</v>
      </c>
      <c r="T425" s="26">
        <v>53.732836658912234</v>
      </c>
      <c r="U425" s="26">
        <v>5.7891297421988863</v>
      </c>
      <c r="V425" s="27">
        <v>144.4253283951652</v>
      </c>
      <c r="W425" s="27">
        <v>207.48074206797071</v>
      </c>
      <c r="X425" s="26">
        <v>20.218332567100965</v>
      </c>
      <c r="Y425" s="28">
        <v>227.70405868707903</v>
      </c>
      <c r="Z425" s="17" t="str">
        <f>SUBSTITUTE(SUBSTITUTE(SUBSTITUTE(SUBSTITUTE(IF(E425="","",VLOOKUP(E425,[1]Esquemas_NORM!$A$2:$H$126,8,FALSE)),"PROVINCIA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25" s="17" t="str">
        <f>IF($E425="","",INDEX([1]Esquemas_NORM!$H$2:$K$126,MATCH($E425,[1]Esquemas_NORM!$A$2:$A$126,0),MATCH(AA$4,[1]Esquemas_NORM!$H$1:$K$1,0)))</f>
        <v>A la fecha no ha conformado un EAT Región</v>
      </c>
      <c r="AB425" s="17" t="str">
        <f>IF($E425="","",INDEX([1]Esquemas_NORM!$H$2:$K$126,MATCH($E425,[1]Esquemas_NORM!$A$2:$A$126,0),MATCH(AB$4,[1]Esquemas_NORM!$H$1:$K$1,0)))</f>
        <v>A la fecha no ha conformado un EAT Área Metropolitana</v>
      </c>
      <c r="AC425" s="17" t="str">
        <f>IF($E425="","",INDEX([1]Esquemas_NORM!$H$2:$K$126,MATCH($E425,[1]Esquemas_NORM!$A$2:$A$126,0),MATCH(AC$4,[1]Esquemas_NORM!$H$1:$K$1,0)))</f>
        <v>ASOCIACION DE MUNICIPIOS DEL NORTE ANTIOQUEÑO - AMUNORTE</v>
      </c>
      <c r="AD425" s="23"/>
    </row>
    <row r="426" spans="1:30" x14ac:dyDescent="0.25">
      <c r="A426" s="24">
        <v>2018</v>
      </c>
      <c r="B426" s="25" t="s">
        <v>36</v>
      </c>
      <c r="C426" s="25" t="s">
        <v>119</v>
      </c>
      <c r="D426" s="25" t="s">
        <v>141</v>
      </c>
      <c r="E426" s="25" t="s">
        <v>144</v>
      </c>
      <c r="F426" s="25" t="s">
        <v>122</v>
      </c>
      <c r="G426" s="25" t="s">
        <v>145</v>
      </c>
      <c r="H426" s="26">
        <v>2.1589210249156872</v>
      </c>
      <c r="I426" s="26">
        <v>0</v>
      </c>
      <c r="J426" s="27">
        <v>2.1589210249156872</v>
      </c>
      <c r="K426" s="26">
        <v>0.3530291048614092</v>
      </c>
      <c r="L426" s="26">
        <v>4.4343802955478235</v>
      </c>
      <c r="M426" s="27">
        <v>4.7874094004092331</v>
      </c>
      <c r="N426" s="26">
        <v>1.2773509368041431</v>
      </c>
      <c r="O426" s="26">
        <v>4.9034596138341868</v>
      </c>
      <c r="P426" s="26">
        <v>2.6577782732873225</v>
      </c>
      <c r="Q426" s="26">
        <v>1.9647188013745152</v>
      </c>
      <c r="R426" s="26">
        <v>7.1457015751660053</v>
      </c>
      <c r="S426" s="26">
        <v>6.4505926867404595</v>
      </c>
      <c r="T426" s="26">
        <v>15.567314006275723</v>
      </c>
      <c r="U426" s="26">
        <v>2.3900091796720107</v>
      </c>
      <c r="V426" s="27">
        <v>42.356925073154365</v>
      </c>
      <c r="W426" s="27">
        <v>49.896065905797009</v>
      </c>
      <c r="X426" s="26">
        <v>4.8622115200604421</v>
      </c>
      <c r="Y426" s="28">
        <v>54.759476017037343</v>
      </c>
      <c r="Z426" s="17" t="str">
        <f>SUBSTITUTE(SUBSTITUTE(SUBSTITUTE(SUBSTITUTE(IF(E426="","",VLOOKUP(E426,[1]Esquemas_NORM!$A$2:$H$126,8,FALSE)),"PROVINCIA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26" s="17" t="str">
        <f>IF($E426="","",INDEX([1]Esquemas_NORM!$H$2:$K$126,MATCH($E426,[1]Esquemas_NORM!$A$2:$A$126,0),MATCH(AA$4,[1]Esquemas_NORM!$H$1:$K$1,0)))</f>
        <v>A la fecha no ha conformado un EAT Región</v>
      </c>
      <c r="AB426" s="17" t="str">
        <f>IF($E426="","",INDEX([1]Esquemas_NORM!$H$2:$K$126,MATCH($E426,[1]Esquemas_NORM!$A$2:$A$126,0),MATCH(AB$4,[1]Esquemas_NORM!$H$1:$K$1,0)))</f>
        <v>A la fecha no ha conformado un EAT Área Metropolitana</v>
      </c>
      <c r="AC426" s="17" t="str">
        <f>IF($E426="","",INDEX([1]Esquemas_NORM!$H$2:$K$126,MATCH($E426,[1]Esquemas_NORM!$A$2:$A$126,0),MATCH(AC$4,[1]Esquemas_NORM!$H$1:$K$1,0)))</f>
        <v>ASOCIACION DE MUNICIPIOS DEL NORTE ANTIOQUEÑO - AMUNORTE</v>
      </c>
      <c r="AD426" s="23"/>
    </row>
    <row r="427" spans="1:30" x14ac:dyDescent="0.25">
      <c r="A427" s="24">
        <v>2018</v>
      </c>
      <c r="B427" s="25" t="s">
        <v>36</v>
      </c>
      <c r="C427" s="25" t="s">
        <v>119</v>
      </c>
      <c r="D427" s="25" t="s">
        <v>124</v>
      </c>
      <c r="E427" s="25" t="s">
        <v>146</v>
      </c>
      <c r="F427" s="25" t="s">
        <v>122</v>
      </c>
      <c r="G427" s="25" t="s">
        <v>147</v>
      </c>
      <c r="H427" s="26">
        <v>3.7878868525834157</v>
      </c>
      <c r="I427" s="26">
        <v>0</v>
      </c>
      <c r="J427" s="27">
        <v>3.7878868525834157</v>
      </c>
      <c r="K427" s="26">
        <v>1.1983193307128972</v>
      </c>
      <c r="L427" s="26">
        <v>2.0568345300867286</v>
      </c>
      <c r="M427" s="27">
        <v>3.2551538607996258</v>
      </c>
      <c r="N427" s="26">
        <v>2.2685048496399922</v>
      </c>
      <c r="O427" s="26">
        <v>4.8027485164206913</v>
      </c>
      <c r="P427" s="26">
        <v>1.2979893768998936</v>
      </c>
      <c r="Q427" s="26">
        <v>0.81856215611430727</v>
      </c>
      <c r="R427" s="26">
        <v>2.7989117375466517</v>
      </c>
      <c r="S427" s="26">
        <v>3.6500992807096972</v>
      </c>
      <c r="T427" s="26">
        <v>7.4529300226333417</v>
      </c>
      <c r="U427" s="26">
        <v>1.59787129311015</v>
      </c>
      <c r="V427" s="27">
        <v>24.687617233074725</v>
      </c>
      <c r="W427" s="27">
        <v>32.368938338319943</v>
      </c>
      <c r="X427" s="26">
        <v>3.1542491782384765</v>
      </c>
      <c r="Y427" s="28">
        <v>35.52396507533566</v>
      </c>
      <c r="Z427" s="17" t="str">
        <f>SUBSTITUTE(SUBSTITUTE(SUBSTITUTE(SUBSTITUTE(IF(E427="","",VLOOKUP(E427,[1]Esquemas_NORM!$A$2:$H$126,8,FALSE)),"PROVINCIA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27" s="17" t="str">
        <f>IF($E427="","",INDEX([1]Esquemas_NORM!$H$2:$K$126,MATCH($E427,[1]Esquemas_NORM!$A$2:$A$126,0),MATCH(AA$4,[1]Esquemas_NORM!$H$1:$K$1,0)))</f>
        <v>A la fecha no ha conformado un EAT Región</v>
      </c>
      <c r="AB427" s="17" t="str">
        <f>IF($E427="","",INDEX([1]Esquemas_NORM!$H$2:$K$126,MATCH($E427,[1]Esquemas_NORM!$A$2:$A$126,0),MATCH(AB$4,[1]Esquemas_NORM!$H$1:$K$1,0)))</f>
        <v>A la fecha no ha conformado un EAT Área Metropolitana</v>
      </c>
      <c r="AC427" s="17" t="str">
        <f>IF($E427="","",INDEX([1]Esquemas_NORM!$H$2:$K$126,MATCH($E427,[1]Esquemas_NORM!$A$2:$A$126,0),MATCH(AC$4,[1]Esquemas_NORM!$H$1:$K$1,0)))</f>
        <v>ASOCIACION DE MUNICIPIOS DEL NORTE ANTIOQUEÑO - AMUNORTE</v>
      </c>
      <c r="AD427" s="23"/>
    </row>
    <row r="428" spans="1:30" x14ac:dyDescent="0.25">
      <c r="A428" s="24">
        <v>2018</v>
      </c>
      <c r="B428" s="25" t="s">
        <v>36</v>
      </c>
      <c r="C428" s="25" t="s">
        <v>119</v>
      </c>
      <c r="D428" s="25" t="s">
        <v>124</v>
      </c>
      <c r="E428" s="25" t="s">
        <v>148</v>
      </c>
      <c r="F428" s="25" t="s">
        <v>122</v>
      </c>
      <c r="G428" s="25" t="s">
        <v>149</v>
      </c>
      <c r="H428" s="26">
        <v>48.323374794545799</v>
      </c>
      <c r="I428" s="26">
        <v>0</v>
      </c>
      <c r="J428" s="27">
        <v>48.323374794545799</v>
      </c>
      <c r="K428" s="26">
        <v>378.73362954228452</v>
      </c>
      <c r="L428" s="26">
        <v>59.572191872065403</v>
      </c>
      <c r="M428" s="27">
        <v>438.30582141434991</v>
      </c>
      <c r="N428" s="26">
        <v>16.384558376076392</v>
      </c>
      <c r="O428" s="26">
        <v>55.8514600249258</v>
      </c>
      <c r="P428" s="26">
        <v>8.6875026507213953</v>
      </c>
      <c r="Q428" s="26">
        <v>9.6842134509581452</v>
      </c>
      <c r="R428" s="26">
        <v>26.033535665859937</v>
      </c>
      <c r="S428" s="26">
        <v>43.990679986487045</v>
      </c>
      <c r="T428" s="26">
        <v>28.559463004951137</v>
      </c>
      <c r="U428" s="26">
        <v>7.9963598398070586</v>
      </c>
      <c r="V428" s="27">
        <v>197.18777299978692</v>
      </c>
      <c r="W428" s="27">
        <v>657.10447527919189</v>
      </c>
      <c r="X428" s="26">
        <v>64.032722652257263</v>
      </c>
      <c r="Y428" s="28">
        <v>721.152982735602</v>
      </c>
      <c r="Z428" s="17" t="str">
        <f>SUBSTITUTE(SUBSTITUTE(SUBSTITUTE(SUBSTITUTE(IF(E428="","",VLOOKUP(E428,[1]Esquemas_NORM!$A$2:$H$126,8,FALSE)),"PROVINCIA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428" s="17" t="str">
        <f>IF($E428="","",INDEX([1]Esquemas_NORM!$H$2:$K$126,MATCH($E428,[1]Esquemas_NORM!$A$2:$A$126,0),MATCH(AA$4,[1]Esquemas_NORM!$H$1:$K$1,0)))</f>
        <v>A la fecha no ha conformado un EAT Región</v>
      </c>
      <c r="AB428" s="17" t="str">
        <f>IF($E428="","",INDEX([1]Esquemas_NORM!$H$2:$K$126,MATCH($E428,[1]Esquemas_NORM!$A$2:$A$126,0),MATCH(AB$4,[1]Esquemas_NORM!$H$1:$K$1,0)))</f>
        <v>A la fecha no ha conformado un EAT Área Metropolitana</v>
      </c>
      <c r="AC428" s="17" t="str">
        <f>IF($E428="","",INDEX([1]Esquemas_NORM!$H$2:$K$126,MATCH($E428,[1]Esquemas_NORM!$A$2:$A$126,0),MATCH(AC$4,[1]Esquemas_NORM!$H$1:$K$1,0)))</f>
        <v>A la fecha no ha conformado un EAT asociación - unión</v>
      </c>
      <c r="AD428" s="23"/>
    </row>
    <row r="429" spans="1:30" x14ac:dyDescent="0.25">
      <c r="A429" s="24">
        <v>2018</v>
      </c>
      <c r="B429" s="25" t="s">
        <v>36</v>
      </c>
      <c r="C429" s="25" t="s">
        <v>119</v>
      </c>
      <c r="D429" s="25" t="s">
        <v>124</v>
      </c>
      <c r="E429" s="25" t="s">
        <v>150</v>
      </c>
      <c r="F429" s="25" t="s">
        <v>122</v>
      </c>
      <c r="G429" s="25" t="s">
        <v>151</v>
      </c>
      <c r="H429" s="26">
        <v>244.04217380730162</v>
      </c>
      <c r="I429" s="26">
        <v>18.000780127137162</v>
      </c>
      <c r="J429" s="27">
        <v>262.0429539344388</v>
      </c>
      <c r="K429" s="26">
        <v>179.32547904829076</v>
      </c>
      <c r="L429" s="26">
        <v>90.715916191402115</v>
      </c>
      <c r="M429" s="27">
        <v>270.04139523969286</v>
      </c>
      <c r="N429" s="26">
        <v>42.295355518889579</v>
      </c>
      <c r="O429" s="26">
        <v>88.413999604461395</v>
      </c>
      <c r="P429" s="26">
        <v>14.247735826211999</v>
      </c>
      <c r="Q429" s="26">
        <v>13.007365533978318</v>
      </c>
      <c r="R429" s="26">
        <v>32.356822286514728</v>
      </c>
      <c r="S429" s="26">
        <v>58.590586698478134</v>
      </c>
      <c r="T429" s="26">
        <v>89.162243136226877</v>
      </c>
      <c r="U429" s="26">
        <v>11.305779626826823</v>
      </c>
      <c r="V429" s="27">
        <v>349.37988823158787</v>
      </c>
      <c r="W429" s="27">
        <v>885.87142567208389</v>
      </c>
      <c r="X429" s="26">
        <v>86.325327919169766</v>
      </c>
      <c r="Y429" s="28">
        <v>972.21803377954188</v>
      </c>
      <c r="Z429" s="17" t="str">
        <f>SUBSTITUTE(SUBSTITUTE(SUBSTITUTE(SUBSTITUTE(IF(E429="","",VLOOKUP(E429,[1]Esquemas_NORM!$A$2:$H$126,8,FALSE)),"PROVINCIA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429" s="17" t="str">
        <f>IF($E429="","",INDEX([1]Esquemas_NORM!$H$2:$K$126,MATCH($E429,[1]Esquemas_NORM!$A$2:$A$126,0),MATCH(AA$4,[1]Esquemas_NORM!$H$1:$K$1,0)))</f>
        <v>A la fecha no ha conformado un EAT Región</v>
      </c>
      <c r="AB429" s="17" t="str">
        <f>IF($E429="","",INDEX([1]Esquemas_NORM!$H$2:$K$126,MATCH($E429,[1]Esquemas_NORM!$A$2:$A$126,0),MATCH(AB$4,[1]Esquemas_NORM!$H$1:$K$1,0)))</f>
        <v>A la fecha no ha conformado un EAT Área Metropolitana</v>
      </c>
      <c r="AC429" s="17" t="str">
        <f>IF($E429="","",INDEX([1]Esquemas_NORM!$H$2:$K$126,MATCH($E429,[1]Esquemas_NORM!$A$2:$A$126,0),MATCH(AC$4,[1]Esquemas_NORM!$H$1:$K$1,0)))</f>
        <v>A la fecha no ha conformado un EAT asociación - unión</v>
      </c>
      <c r="AD429" s="23"/>
    </row>
    <row r="430" spans="1:30" x14ac:dyDescent="0.25">
      <c r="A430" s="24">
        <v>2018</v>
      </c>
      <c r="B430" s="25" t="s">
        <v>36</v>
      </c>
      <c r="C430" s="25" t="s">
        <v>119</v>
      </c>
      <c r="D430" s="25" t="s">
        <v>141</v>
      </c>
      <c r="E430" s="25" t="s">
        <v>152</v>
      </c>
      <c r="F430" s="25" t="s">
        <v>122</v>
      </c>
      <c r="G430" s="25" t="s">
        <v>153</v>
      </c>
      <c r="H430" s="26">
        <v>9.8668878085187615</v>
      </c>
      <c r="I430" s="26">
        <v>0</v>
      </c>
      <c r="J430" s="27">
        <v>9.8668878085187615</v>
      </c>
      <c r="K430" s="26">
        <v>5.737960599400191</v>
      </c>
      <c r="L430" s="26">
        <v>0.51085168814106974</v>
      </c>
      <c r="M430" s="27">
        <v>6.2488122875412611</v>
      </c>
      <c r="N430" s="26">
        <v>8.8537785008360466</v>
      </c>
      <c r="O430" s="26">
        <v>11.033408844539002</v>
      </c>
      <c r="P430" s="26">
        <v>2.035574897802694</v>
      </c>
      <c r="Q430" s="26">
        <v>1.1737136008685403</v>
      </c>
      <c r="R430" s="26">
        <v>4.2998347608665455</v>
      </c>
      <c r="S430" s="26">
        <v>6.6624884859699591</v>
      </c>
      <c r="T430" s="26">
        <v>11.711167977015167</v>
      </c>
      <c r="U430" s="26">
        <v>1.6428059416183569</v>
      </c>
      <c r="V430" s="27">
        <v>47.412773009516307</v>
      </c>
      <c r="W430" s="27">
        <v>65.31904254268548</v>
      </c>
      <c r="X430" s="26">
        <v>6.3651311053231288</v>
      </c>
      <c r="Y430" s="28">
        <v>71.685742726188366</v>
      </c>
      <c r="Z430" s="17" t="str">
        <f>SUBSTITUTE(SUBSTITUTE(SUBSTITUTE(SUBSTITUTE(IF(E430="","",VLOOKUP(E430,[1]Esquemas_NORM!$A$2:$H$126,8,FALSE)),"PROVINCIA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30" s="17" t="str">
        <f>IF($E430="","",INDEX([1]Esquemas_NORM!$H$2:$K$126,MATCH($E430,[1]Esquemas_NORM!$A$2:$A$126,0),MATCH(AA$4,[1]Esquemas_NORM!$H$1:$K$1,0)))</f>
        <v>A la fecha no ha conformado un EAT Región</v>
      </c>
      <c r="AB430" s="17" t="str">
        <f>IF($E430="","",INDEX([1]Esquemas_NORM!$H$2:$K$126,MATCH($E430,[1]Esquemas_NORM!$A$2:$A$126,0),MATCH(AB$4,[1]Esquemas_NORM!$H$1:$K$1,0)))</f>
        <v>A la fecha no ha conformado un EAT Área Metropolitana</v>
      </c>
      <c r="AC430" s="17" t="str">
        <f>IF($E430="","",INDEX([1]Esquemas_NORM!$H$2:$K$126,MATCH($E430,[1]Esquemas_NORM!$A$2:$A$126,0),MATCH(AC$4,[1]Esquemas_NORM!$H$1:$K$1,0)))</f>
        <v>ASOCIACION DE MUNICIPIOS DEL NORTE ANTIOQUEÑO - AMUNORTE</v>
      </c>
      <c r="AD430" s="23"/>
    </row>
    <row r="431" spans="1:30" x14ac:dyDescent="0.25">
      <c r="A431" s="24">
        <v>2018</v>
      </c>
      <c r="B431" s="25" t="s">
        <v>36</v>
      </c>
      <c r="C431" s="25" t="s">
        <v>119</v>
      </c>
      <c r="D431" s="25" t="s">
        <v>120</v>
      </c>
      <c r="E431" s="25" t="s">
        <v>154</v>
      </c>
      <c r="F431" s="25" t="s">
        <v>122</v>
      </c>
      <c r="G431" s="25" t="s">
        <v>155</v>
      </c>
      <c r="H431" s="26">
        <v>16.151266423160457</v>
      </c>
      <c r="I431" s="26">
        <v>1.6600705693250544</v>
      </c>
      <c r="J431" s="27">
        <v>17.811336992485511</v>
      </c>
      <c r="K431" s="26">
        <v>0.72400958814444349</v>
      </c>
      <c r="L431" s="26">
        <v>10.133308947007334</v>
      </c>
      <c r="M431" s="27">
        <v>10.857318535151778</v>
      </c>
      <c r="N431" s="26">
        <v>3.850813715087233</v>
      </c>
      <c r="O431" s="26">
        <v>26.26621952429262</v>
      </c>
      <c r="P431" s="26">
        <v>4.3079303565929665</v>
      </c>
      <c r="Q431" s="26">
        <v>2.0338651465549162</v>
      </c>
      <c r="R431" s="26">
        <v>7.0173076844928373</v>
      </c>
      <c r="S431" s="26">
        <v>11.89405315195307</v>
      </c>
      <c r="T431" s="26">
        <v>27.494248227421551</v>
      </c>
      <c r="U431" s="26">
        <v>3.1987676037984016</v>
      </c>
      <c r="V431" s="27">
        <v>86.063205410193589</v>
      </c>
      <c r="W431" s="27">
        <v>117.67027498454524</v>
      </c>
      <c r="X431" s="26">
        <v>11.466590726382233</v>
      </c>
      <c r="Y431" s="28">
        <v>129.13969235770151</v>
      </c>
      <c r="Z431" s="17" t="str">
        <f>SUBSTITUTE(SUBSTITUTE(SUBSTITUTE(SUBSTITUTE(IF(E431="","",VLOOKUP(E431,[1]Esquemas_NORM!$A$2:$H$126,8,FALSE)),"PROVINCIA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31" s="17" t="str">
        <f>IF($E431="","",INDEX([1]Esquemas_NORM!$H$2:$K$126,MATCH($E431,[1]Esquemas_NORM!$A$2:$A$126,0),MATCH(AA$4,[1]Esquemas_NORM!$H$1:$K$1,0)))</f>
        <v>A la fecha no ha conformado un EAT Región</v>
      </c>
      <c r="AB431" s="17" t="str">
        <f>IF($E431="","",INDEX([1]Esquemas_NORM!$H$2:$K$126,MATCH($E431,[1]Esquemas_NORM!$A$2:$A$126,0),MATCH(AB$4,[1]Esquemas_NORM!$H$1:$K$1,0)))</f>
        <v>A la fecha no ha conformado un EAT Área Metropolitana</v>
      </c>
      <c r="AC431" s="17" t="str">
        <f>IF($E431="","",INDEX([1]Esquemas_NORM!$H$2:$K$126,MATCH($E431,[1]Esquemas_NORM!$A$2:$A$126,0),MATCH(AC$4,[1]Esquemas_NORM!$H$1:$K$1,0)))</f>
        <v>A la fecha no ha conformado un EAT asociación - unión</v>
      </c>
      <c r="AD431" s="23"/>
    </row>
    <row r="432" spans="1:30" x14ac:dyDescent="0.25">
      <c r="A432" s="24">
        <v>2018</v>
      </c>
      <c r="B432" s="25" t="s">
        <v>36</v>
      </c>
      <c r="C432" s="25" t="s">
        <v>119</v>
      </c>
      <c r="D432" s="25" t="s">
        <v>120</v>
      </c>
      <c r="E432" s="25" t="s">
        <v>156</v>
      </c>
      <c r="F432" s="25" t="s">
        <v>122</v>
      </c>
      <c r="G432" s="25" t="s">
        <v>157</v>
      </c>
      <c r="H432" s="26">
        <v>43.395962682219746</v>
      </c>
      <c r="I432" s="26">
        <v>0.68391545053480429</v>
      </c>
      <c r="J432" s="27">
        <v>44.079878132754551</v>
      </c>
      <c r="K432" s="26">
        <v>74.226756747968395</v>
      </c>
      <c r="L432" s="26">
        <v>50.636184848098793</v>
      </c>
      <c r="M432" s="27">
        <v>124.86294159606719</v>
      </c>
      <c r="N432" s="26">
        <v>22.124386523302093</v>
      </c>
      <c r="O432" s="26">
        <v>106.13793595669468</v>
      </c>
      <c r="P432" s="26">
        <v>17.032638243173661</v>
      </c>
      <c r="Q432" s="26">
        <v>16.302511403736922</v>
      </c>
      <c r="R432" s="26">
        <v>36.135449837593335</v>
      </c>
      <c r="S432" s="26">
        <v>46.922742769193647</v>
      </c>
      <c r="T432" s="26">
        <v>76.634120639513114</v>
      </c>
      <c r="U432" s="26">
        <v>13.06512475337208</v>
      </c>
      <c r="V432" s="27">
        <v>334.35491012657957</v>
      </c>
      <c r="W432" s="27">
        <v>506.01212632681688</v>
      </c>
      <c r="X432" s="26">
        <v>49.309258059758662</v>
      </c>
      <c r="Y432" s="28">
        <v>555.33353968700874</v>
      </c>
      <c r="Z432" s="17" t="str">
        <f>SUBSTITUTE(SUBSTITUTE(SUBSTITUTE(SUBSTITUTE(IF(E432="","",VLOOKUP(E432,[1]Esquemas_NORM!$A$2:$H$126,8,FALSE)),"PROVINCIA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432" s="17" t="str">
        <f>IF($E432="","",INDEX([1]Esquemas_NORM!$H$2:$K$126,MATCH($E432,[1]Esquemas_NORM!$A$2:$A$126,0),MATCH(AA$4,[1]Esquemas_NORM!$H$1:$K$1,0)))</f>
        <v>A la fecha no ha conformado un EAT Región</v>
      </c>
      <c r="AB432" s="17" t="str">
        <f>IF($E432="","",INDEX([1]Esquemas_NORM!$H$2:$K$126,MATCH($E432,[1]Esquemas_NORM!$A$2:$A$126,0),MATCH(AB$4,[1]Esquemas_NORM!$H$1:$K$1,0)))</f>
        <v>A la fecha no ha conformado un EAT Área Metropolitana</v>
      </c>
      <c r="AC432" s="17" t="str">
        <f>IF($E432="","",INDEX([1]Esquemas_NORM!$H$2:$K$126,MATCH($E432,[1]Esquemas_NORM!$A$2:$A$126,0),MATCH(AC$4,[1]Esquemas_NORM!$H$1:$K$1,0)))</f>
        <v>A la fecha no ha conformado un EAT asociación - unión</v>
      </c>
      <c r="AD432" s="23"/>
    </row>
    <row r="433" spans="1:30" x14ac:dyDescent="0.25">
      <c r="A433" s="24">
        <v>2018</v>
      </c>
      <c r="B433" s="25" t="s">
        <v>36</v>
      </c>
      <c r="C433" s="25" t="s">
        <v>158</v>
      </c>
      <c r="D433" s="25" t="s">
        <v>159</v>
      </c>
      <c r="E433" s="25" t="s">
        <v>160</v>
      </c>
      <c r="F433" s="25" t="s">
        <v>161</v>
      </c>
      <c r="G433" s="25" t="s">
        <v>162</v>
      </c>
      <c r="H433" s="26">
        <v>6.1958450878111684</v>
      </c>
      <c r="I433" s="26">
        <v>0.88771217150954618</v>
      </c>
      <c r="J433" s="27">
        <v>7.083557259320715</v>
      </c>
      <c r="K433" s="26">
        <v>0.54300900988544198</v>
      </c>
      <c r="L433" s="26">
        <v>1.8833483487924427</v>
      </c>
      <c r="M433" s="27">
        <v>2.4263573586778846</v>
      </c>
      <c r="N433" s="26">
        <v>2.586046517021551</v>
      </c>
      <c r="O433" s="26">
        <v>1.4949901708088202</v>
      </c>
      <c r="P433" s="26">
        <v>0.67060274216097593</v>
      </c>
      <c r="Q433" s="26">
        <v>0.20566171999682412</v>
      </c>
      <c r="R433" s="26">
        <v>1.0695197203885622</v>
      </c>
      <c r="S433" s="26">
        <v>2.1948918153478627</v>
      </c>
      <c r="T433" s="26">
        <v>6.2458473597633413</v>
      </c>
      <c r="U433" s="26">
        <v>0.58213405433891996</v>
      </c>
      <c r="V433" s="27">
        <v>15.049694099826855</v>
      </c>
      <c r="W433" s="27">
        <v>25.271346212094905</v>
      </c>
      <c r="X433" s="26">
        <v>2.462611599716479</v>
      </c>
      <c r="Y433" s="28">
        <v>27.734564873953925</v>
      </c>
      <c r="Z433" s="17" t="str">
        <f>SUBSTITUTE(SUBSTITUTE(SUBSTITUTE(SUBSTITUTE(IF(E433="","",VLOOKUP(E433,[1]Esquemas_NORM!$A$2:$H$126,8,FALSE)),"PROVINCIA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433" s="17" t="str">
        <f>IF($E433="","",INDEX([1]Esquemas_NORM!$H$2:$K$126,MATCH($E433,[1]Esquemas_NORM!$A$2:$A$126,0),MATCH(AA$4,[1]Esquemas_NORM!$H$1:$K$1,0)))</f>
        <v>Región de Planeación y Gestión de Occidente</v>
      </c>
      <c r="AB433" s="17" t="str">
        <f>IF($E433="","",INDEX([1]Esquemas_NORM!$H$2:$K$126,MATCH($E433,[1]Esquemas_NORM!$A$2:$A$126,0),MATCH(AB$4,[1]Esquemas_NORM!$H$1:$K$1,0)))</f>
        <v>A la fecha no ha conformado un EAT Área Metropolitana</v>
      </c>
      <c r="AC433" s="17" t="str">
        <f>IF($E433="","",INDEX([1]Esquemas_NORM!$H$2:$K$126,MATCH($E433,[1]Esquemas_NORM!$A$2:$A$126,0),MATCH(AC$4,[1]Esquemas_NORM!$H$1:$K$1,0)))</f>
        <v>ASOCIACION DE MUNICIPIOS DEL NORTE ANTIOQUEÑO - AMUNORTE</v>
      </c>
      <c r="AD433" s="23"/>
    </row>
    <row r="434" spans="1:30" x14ac:dyDescent="0.25">
      <c r="A434" s="24">
        <v>2018</v>
      </c>
      <c r="B434" s="25" t="s">
        <v>36</v>
      </c>
      <c r="C434" s="25" t="s">
        <v>158</v>
      </c>
      <c r="D434" s="25" t="s">
        <v>163</v>
      </c>
      <c r="E434" s="25" t="s">
        <v>164</v>
      </c>
      <c r="F434" s="25" t="s">
        <v>161</v>
      </c>
      <c r="G434" s="25" t="s">
        <v>165</v>
      </c>
      <c r="H434" s="26">
        <v>45.532237011201161</v>
      </c>
      <c r="I434" s="26">
        <v>0</v>
      </c>
      <c r="J434" s="27">
        <v>45.532237011201161</v>
      </c>
      <c r="K434" s="26">
        <v>0.60503556030247896</v>
      </c>
      <c r="L434" s="26">
        <v>9.0595608200527344</v>
      </c>
      <c r="M434" s="27">
        <v>9.6645963803552135</v>
      </c>
      <c r="N434" s="26">
        <v>1.1814207772005654</v>
      </c>
      <c r="O434" s="26">
        <v>5.9328789606787113</v>
      </c>
      <c r="P434" s="26">
        <v>2.7053754336383879</v>
      </c>
      <c r="Q434" s="26">
        <v>1.3903582136753694</v>
      </c>
      <c r="R434" s="26">
        <v>4.8762788751744965</v>
      </c>
      <c r="S434" s="26">
        <v>7.8137592396117199</v>
      </c>
      <c r="T434" s="26">
        <v>13.08257287326323</v>
      </c>
      <c r="U434" s="26">
        <v>2.3468410742457211</v>
      </c>
      <c r="V434" s="27">
        <v>39.329485447488203</v>
      </c>
      <c r="W434" s="27">
        <v>97.098637131423644</v>
      </c>
      <c r="X434" s="26">
        <v>9.4619506262072957</v>
      </c>
      <c r="Y434" s="28">
        <v>106.56292023751556</v>
      </c>
      <c r="Z434" s="17" t="str">
        <f>SUBSTITUTE(SUBSTITUTE(SUBSTITUTE(SUBSTITUTE(IF(E434="","",VLOOKUP(E434,[1]Esquemas_NORM!$A$2:$H$126,8,FALSE)),"PROVINCIA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434" s="17" t="str">
        <f>IF($E434="","",INDEX([1]Esquemas_NORM!$H$2:$K$126,MATCH($E434,[1]Esquemas_NORM!$A$2:$A$126,0),MATCH(AA$4,[1]Esquemas_NORM!$H$1:$K$1,0)))</f>
        <v>A la fecha no ha conformado un EAT Región</v>
      </c>
      <c r="AB434" s="17" t="str">
        <f>IF($E434="","",INDEX([1]Esquemas_NORM!$H$2:$K$126,MATCH($E434,[1]Esquemas_NORM!$A$2:$A$126,0),MATCH(AB$4,[1]Esquemas_NORM!$H$1:$K$1,0)))</f>
        <v>A la fecha no ha conformado un EAT Área Metropolitana</v>
      </c>
      <c r="AC434" s="17" t="str">
        <f>IF($E434="","",INDEX([1]Esquemas_NORM!$H$2:$K$126,MATCH($E434,[1]Esquemas_NORM!$A$2:$A$126,0),MATCH(AC$4,[1]Esquemas_NORM!$H$1:$K$1,0)))</f>
        <v>ASOCIACION DE MUNICIPIOS DEL OCCIDENTE ANTIOQUEÑO - AMOCCIDENTE</v>
      </c>
      <c r="AD434" s="23"/>
    </row>
    <row r="435" spans="1:30" x14ac:dyDescent="0.25">
      <c r="A435" s="24">
        <v>2018</v>
      </c>
      <c r="B435" s="25" t="s">
        <v>36</v>
      </c>
      <c r="C435" s="25" t="s">
        <v>158</v>
      </c>
      <c r="D435" s="25" t="s">
        <v>163</v>
      </c>
      <c r="E435" s="25" t="s">
        <v>166</v>
      </c>
      <c r="F435" s="25" t="s">
        <v>161</v>
      </c>
      <c r="G435" s="25" t="s">
        <v>167</v>
      </c>
      <c r="H435" s="26">
        <v>10.773130740841422</v>
      </c>
      <c r="I435" s="26">
        <v>0</v>
      </c>
      <c r="J435" s="27">
        <v>10.773130740841422</v>
      </c>
      <c r="K435" s="26">
        <v>1.0989396547696484</v>
      </c>
      <c r="L435" s="26">
        <v>3.1875952613785565</v>
      </c>
      <c r="M435" s="27">
        <v>4.2865349161482049</v>
      </c>
      <c r="N435" s="26">
        <v>0.80048347904049322</v>
      </c>
      <c r="O435" s="26">
        <v>4.7766657039935092</v>
      </c>
      <c r="P435" s="26">
        <v>1.8709049410005927</v>
      </c>
      <c r="Q435" s="26">
        <v>0.86680451585062046</v>
      </c>
      <c r="R435" s="26">
        <v>3.8567385476163945</v>
      </c>
      <c r="S435" s="26">
        <v>4.7060482330232087</v>
      </c>
      <c r="T435" s="26">
        <v>10.730172365350167</v>
      </c>
      <c r="U435" s="26">
        <v>1.9653301939360606</v>
      </c>
      <c r="V435" s="27">
        <v>29.573147979811051</v>
      </c>
      <c r="W435" s="27">
        <v>45.571189667140032</v>
      </c>
      <c r="X435" s="26">
        <v>4.4407662079157291</v>
      </c>
      <c r="Y435" s="28">
        <v>50.013050575108764</v>
      </c>
      <c r="Z435" s="17" t="str">
        <f>SUBSTITUTE(SUBSTITUTE(SUBSTITUTE(SUBSTITUTE(IF(E435="","",VLOOKUP(E435,[1]Esquemas_NORM!$A$2:$H$126,8,FALSE)),"PROVINCIA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35" s="17" t="str">
        <f>IF($E435="","",INDEX([1]Esquemas_NORM!$H$2:$K$126,MATCH($E435,[1]Esquemas_NORM!$A$2:$A$126,0),MATCH(AA$4,[1]Esquemas_NORM!$H$1:$K$1,0)))</f>
        <v>Región de Planeación y Gestión de Occidente</v>
      </c>
      <c r="AB435" s="17" t="str">
        <f>IF($E435="","",INDEX([1]Esquemas_NORM!$H$2:$K$126,MATCH($E435,[1]Esquemas_NORM!$A$2:$A$126,0),MATCH(AB$4,[1]Esquemas_NORM!$H$1:$K$1,0)))</f>
        <v>A la fecha no ha conformado un EAT Área Metropolitana</v>
      </c>
      <c r="AC435" s="17" t="str">
        <f>IF($E435="","",INDEX([1]Esquemas_NORM!$H$2:$K$126,MATCH($E435,[1]Esquemas_NORM!$A$2:$A$126,0),MATCH(AC$4,[1]Esquemas_NORM!$H$1:$K$1,0)))</f>
        <v>ASOCIACION DE MUNICIPIOS DEL OCCIDENTE ANTIOQUEÑO - AMOCCIDENTE</v>
      </c>
      <c r="AD435" s="23"/>
    </row>
    <row r="436" spans="1:30" x14ac:dyDescent="0.25">
      <c r="A436" s="24">
        <v>2018</v>
      </c>
      <c r="B436" s="25" t="s">
        <v>36</v>
      </c>
      <c r="C436" s="25" t="s">
        <v>158</v>
      </c>
      <c r="D436" s="25" t="s">
        <v>163</v>
      </c>
      <c r="E436" s="25" t="s">
        <v>168</v>
      </c>
      <c r="F436" s="25" t="s">
        <v>161</v>
      </c>
      <c r="G436" s="25" t="s">
        <v>169</v>
      </c>
      <c r="H436" s="26">
        <v>4.698433102226522</v>
      </c>
      <c r="I436" s="26">
        <v>13.893623018661467</v>
      </c>
      <c r="J436" s="27">
        <v>18.592056120887989</v>
      </c>
      <c r="K436" s="26">
        <v>4.1277930686042597</v>
      </c>
      <c r="L436" s="26">
        <v>1.9005978112489321</v>
      </c>
      <c r="M436" s="27">
        <v>6.028390879853192</v>
      </c>
      <c r="N436" s="26">
        <v>4.6514593483298041</v>
      </c>
      <c r="O436" s="26">
        <v>6.5286048069568823</v>
      </c>
      <c r="P436" s="26">
        <v>3.2116035951900681</v>
      </c>
      <c r="Q436" s="26">
        <v>1.1061900170458585</v>
      </c>
      <c r="R436" s="26">
        <v>8.2537975839299129</v>
      </c>
      <c r="S436" s="26">
        <v>7.9584673288624321</v>
      </c>
      <c r="T436" s="26">
        <v>14.474244430304315</v>
      </c>
      <c r="U436" s="26">
        <v>3.133930932461074</v>
      </c>
      <c r="V436" s="27">
        <v>49.318298043080354</v>
      </c>
      <c r="W436" s="27">
        <v>75.991514043956812</v>
      </c>
      <c r="X436" s="26">
        <v>7.4051292081533315</v>
      </c>
      <c r="Y436" s="28">
        <v>83.398468701808824</v>
      </c>
      <c r="Z436" s="17" t="str">
        <f>SUBSTITUTE(SUBSTITUTE(SUBSTITUTE(SUBSTITUTE(IF(E436="","",VLOOKUP(E436,[1]Esquemas_NORM!$A$2:$H$126,8,FALSE)),"PROVINCIA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436" s="17" t="str">
        <f>IF($E436="","",INDEX([1]Esquemas_NORM!$H$2:$K$126,MATCH($E436,[1]Esquemas_NORM!$A$2:$A$126,0),MATCH(AA$4,[1]Esquemas_NORM!$H$1:$K$1,0)))</f>
        <v>Región de Planeación y Gestión de Occidente</v>
      </c>
      <c r="AB436" s="17" t="str">
        <f>IF($E436="","",INDEX([1]Esquemas_NORM!$H$2:$K$126,MATCH($E436,[1]Esquemas_NORM!$A$2:$A$126,0),MATCH(AB$4,[1]Esquemas_NORM!$H$1:$K$1,0)))</f>
        <v>A la fecha no ha conformado un EAT Área Metropolitana</v>
      </c>
      <c r="AC436" s="17" t="str">
        <f>IF($E436="","",INDEX([1]Esquemas_NORM!$H$2:$K$126,MATCH($E436,[1]Esquemas_NORM!$A$2:$A$126,0),MATCH(AC$4,[1]Esquemas_NORM!$H$1:$K$1,0)))</f>
        <v>ASOCIACION DE MUNICIPIOS DEL OCCIDENTE ANTIOQUEÑO - AMOCCIDENTE</v>
      </c>
      <c r="AD436" s="23"/>
    </row>
    <row r="437" spans="1:30" x14ac:dyDescent="0.25">
      <c r="A437" s="24">
        <v>2018</v>
      </c>
      <c r="B437" s="25" t="s">
        <v>36</v>
      </c>
      <c r="C437" s="25" t="s">
        <v>158</v>
      </c>
      <c r="D437" s="25" t="s">
        <v>163</v>
      </c>
      <c r="E437" s="25" t="s">
        <v>170</v>
      </c>
      <c r="F437" s="25" t="s">
        <v>161</v>
      </c>
      <c r="G437" s="25" t="s">
        <v>171</v>
      </c>
      <c r="H437" s="26">
        <v>26.915806746656788</v>
      </c>
      <c r="I437" s="26">
        <v>0</v>
      </c>
      <c r="J437" s="27">
        <v>26.915806746656788</v>
      </c>
      <c r="K437" s="26">
        <v>2.2219124374595358</v>
      </c>
      <c r="L437" s="26">
        <v>6.3727544262708387</v>
      </c>
      <c r="M437" s="27">
        <v>8.5946668637303745</v>
      </c>
      <c r="N437" s="26">
        <v>0.98356860002348412</v>
      </c>
      <c r="O437" s="26">
        <v>9.6517706937910646</v>
      </c>
      <c r="P437" s="26">
        <v>3.7974101107633458</v>
      </c>
      <c r="Q437" s="26">
        <v>2.0155007498377739</v>
      </c>
      <c r="R437" s="26">
        <v>6.6030440073304879</v>
      </c>
      <c r="S437" s="26">
        <v>8.7188501084774188</v>
      </c>
      <c r="T437" s="26">
        <v>19.073119501845294</v>
      </c>
      <c r="U437" s="26">
        <v>3.0419549739381111</v>
      </c>
      <c r="V437" s="27">
        <v>53.885218746006977</v>
      </c>
      <c r="W437" s="27">
        <v>91.451656262638608</v>
      </c>
      <c r="X437" s="26">
        <v>8.9116704601175041</v>
      </c>
      <c r="Y437" s="28">
        <v>100.36552355223741</v>
      </c>
      <c r="Z437" s="17" t="str">
        <f>SUBSTITUTE(SUBSTITUTE(SUBSTITUTE(SUBSTITUTE(IF(E437="","",VLOOKUP(E437,[1]Esquemas_NORM!$A$2:$H$126,8,FALSE)),"PROVINCIA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437" s="17" t="str">
        <f>IF($E437="","",INDEX([1]Esquemas_NORM!$H$2:$K$126,MATCH($E437,[1]Esquemas_NORM!$A$2:$A$126,0),MATCH(AA$4,[1]Esquemas_NORM!$H$1:$K$1,0)))</f>
        <v>A la fecha no ha conformado un EAT Región</v>
      </c>
      <c r="AB437" s="17" t="str">
        <f>IF($E437="","",INDEX([1]Esquemas_NORM!$H$2:$K$126,MATCH($E437,[1]Esquemas_NORM!$A$2:$A$126,0),MATCH(AB$4,[1]Esquemas_NORM!$H$1:$K$1,0)))</f>
        <v>A la fecha no ha conformado un EAT Área Metropolitana</v>
      </c>
      <c r="AC437" s="17" t="str">
        <f>IF($E437="","",INDEX([1]Esquemas_NORM!$H$2:$K$126,MATCH($E437,[1]Esquemas_NORM!$A$2:$A$126,0),MATCH(AC$4,[1]Esquemas_NORM!$H$1:$K$1,0)))</f>
        <v>ASOCIACION DE MUNICIPIOS DEL OCCIDENTE ANTIOQUEÑO - AMOCCIDENTE</v>
      </c>
      <c r="AD437" s="23"/>
    </row>
    <row r="438" spans="1:30" x14ac:dyDescent="0.25">
      <c r="A438" s="24">
        <v>2018</v>
      </c>
      <c r="B438" s="25" t="s">
        <v>36</v>
      </c>
      <c r="C438" s="25" t="s">
        <v>158</v>
      </c>
      <c r="D438" s="25" t="s">
        <v>159</v>
      </c>
      <c r="E438" s="25" t="s">
        <v>172</v>
      </c>
      <c r="F438" s="25" t="s">
        <v>161</v>
      </c>
      <c r="G438" s="25" t="s">
        <v>173</v>
      </c>
      <c r="H438" s="26">
        <v>23.979020938720112</v>
      </c>
      <c r="I438" s="26">
        <v>0</v>
      </c>
      <c r="J438" s="27">
        <v>23.979020938720112</v>
      </c>
      <c r="K438" s="26">
        <v>0.60177407911222214</v>
      </c>
      <c r="L438" s="26">
        <v>12.059209597051485</v>
      </c>
      <c r="M438" s="27">
        <v>12.660983676163706</v>
      </c>
      <c r="N438" s="26">
        <v>6.9668186573739153</v>
      </c>
      <c r="O438" s="26">
        <v>19.818849218646353</v>
      </c>
      <c r="P438" s="26">
        <v>4.8352190553799854</v>
      </c>
      <c r="Q438" s="26">
        <v>2.1828391636078042</v>
      </c>
      <c r="R438" s="26">
        <v>9.6967392535327122</v>
      </c>
      <c r="S438" s="26">
        <v>13.527837058576706</v>
      </c>
      <c r="T438" s="26">
        <v>30.656041843985374</v>
      </c>
      <c r="U438" s="26">
        <v>4.129484280624518</v>
      </c>
      <c r="V438" s="27">
        <v>91.813828531727381</v>
      </c>
      <c r="W438" s="27">
        <v>131.47715769996685</v>
      </c>
      <c r="X438" s="26">
        <v>12.81202714459198</v>
      </c>
      <c r="Y438" s="28">
        <v>144.29234315691701</v>
      </c>
      <c r="Z438" s="17" t="str">
        <f>SUBSTITUTE(SUBSTITUTE(SUBSTITUTE(SUBSTITUTE(IF(E438="","",VLOOKUP(E438,[1]Esquemas_NORM!$A$2:$H$126,8,FALSE)),"PROVINCIA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438" s="17" t="str">
        <f>IF($E438="","",INDEX([1]Esquemas_NORM!$H$2:$K$126,MATCH($E438,[1]Esquemas_NORM!$A$2:$A$126,0),MATCH(AA$4,[1]Esquemas_NORM!$H$1:$K$1,0)))</f>
        <v>Región de Planeación y Gestión de Occidente</v>
      </c>
      <c r="AB438" s="17" t="str">
        <f>IF($E438="","",INDEX([1]Esquemas_NORM!$H$2:$K$126,MATCH($E438,[1]Esquemas_NORM!$A$2:$A$126,0),MATCH(AB$4,[1]Esquemas_NORM!$H$1:$K$1,0)))</f>
        <v>A la fecha no ha conformado un EAT Área Metropolitana</v>
      </c>
      <c r="AC438" s="17" t="str">
        <f>IF($E438="","",INDEX([1]Esquemas_NORM!$H$2:$K$126,MATCH($E438,[1]Esquemas_NORM!$A$2:$A$126,0),MATCH(AC$4,[1]Esquemas_NORM!$H$1:$K$1,0)))</f>
        <v>ASOCIACION DE MUNICIPIOS DEL OCCIDENTE ANTIOQUEÑO - AMOCCIDENTE</v>
      </c>
      <c r="AD438" s="23"/>
    </row>
    <row r="439" spans="1:30" x14ac:dyDescent="0.25">
      <c r="A439" s="24">
        <v>2018</v>
      </c>
      <c r="B439" s="25" t="s">
        <v>36</v>
      </c>
      <c r="C439" s="25" t="s">
        <v>158</v>
      </c>
      <c r="D439" s="25" t="s">
        <v>159</v>
      </c>
      <c r="E439" s="25" t="s">
        <v>174</v>
      </c>
      <c r="F439" s="25" t="s">
        <v>161</v>
      </c>
      <c r="G439" s="25" t="s">
        <v>175</v>
      </c>
      <c r="H439" s="26">
        <v>53.868277022391879</v>
      </c>
      <c r="I439" s="26">
        <v>4.021183529252915</v>
      </c>
      <c r="J439" s="27">
        <v>57.889460551644795</v>
      </c>
      <c r="K439" s="26">
        <v>1.749145701169436</v>
      </c>
      <c r="L439" s="26">
        <v>18.91945440861365</v>
      </c>
      <c r="M439" s="27">
        <v>20.668600109783085</v>
      </c>
      <c r="N439" s="26">
        <v>4.0344360380398827</v>
      </c>
      <c r="O439" s="26">
        <v>35.836901802376069</v>
      </c>
      <c r="P439" s="26">
        <v>9.021278800205307</v>
      </c>
      <c r="Q439" s="26">
        <v>4.8645722452554043</v>
      </c>
      <c r="R439" s="26">
        <v>14.455274980583646</v>
      </c>
      <c r="S439" s="26">
        <v>21.778728752234599</v>
      </c>
      <c r="T439" s="26">
        <v>40.941117212135701</v>
      </c>
      <c r="U439" s="26">
        <v>5.2290992554796452</v>
      </c>
      <c r="V439" s="27">
        <v>136.16140908631024</v>
      </c>
      <c r="W439" s="27">
        <v>220.13250072075169</v>
      </c>
      <c r="X439" s="26">
        <v>21.451205851872832</v>
      </c>
      <c r="Y439" s="28">
        <v>241.58899454210624</v>
      </c>
      <c r="Z439" s="17" t="str">
        <f>SUBSTITUTE(SUBSTITUTE(SUBSTITUTE(SUBSTITUTE(IF(E439="","",VLOOKUP(E439,[1]Esquemas_NORM!$A$2:$H$126,8,FALSE)),"PROVINCIA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439" s="17" t="str">
        <f>IF($E439="","",INDEX([1]Esquemas_NORM!$H$2:$K$126,MATCH($E439,[1]Esquemas_NORM!$A$2:$A$126,0),MATCH(AA$4,[1]Esquemas_NORM!$H$1:$K$1,0)))</f>
        <v>Región de Planeación y Gestión de Occidente</v>
      </c>
      <c r="AB439" s="17" t="str">
        <f>IF($E439="","",INDEX([1]Esquemas_NORM!$H$2:$K$126,MATCH($E439,[1]Esquemas_NORM!$A$2:$A$126,0),MATCH(AB$4,[1]Esquemas_NORM!$H$1:$K$1,0)))</f>
        <v>A la fecha no ha conformado un EAT Área Metropolitana</v>
      </c>
      <c r="AC439" s="17" t="str">
        <f>IF($E439="","",INDEX([1]Esquemas_NORM!$H$2:$K$126,MATCH($E439,[1]Esquemas_NORM!$A$2:$A$126,0),MATCH(AC$4,[1]Esquemas_NORM!$H$1:$K$1,0)))</f>
        <v>ASOCIACION DE MUNICIPIOS DEL OCCIDENTE ANTIOQUEÑO - AMOCCIDENTE</v>
      </c>
      <c r="AD439" s="23"/>
    </row>
    <row r="440" spans="1:30" x14ac:dyDescent="0.25">
      <c r="A440" s="24">
        <v>2018</v>
      </c>
      <c r="B440" s="25" t="s">
        <v>36</v>
      </c>
      <c r="C440" s="25" t="s">
        <v>158</v>
      </c>
      <c r="D440" s="25" t="s">
        <v>163</v>
      </c>
      <c r="E440" s="25" t="s">
        <v>176</v>
      </c>
      <c r="F440" s="25" t="s">
        <v>161</v>
      </c>
      <c r="G440" s="25" t="s">
        <v>177</v>
      </c>
      <c r="H440" s="26">
        <v>90.477248100736716</v>
      </c>
      <c r="I440" s="26">
        <v>0</v>
      </c>
      <c r="J440" s="27">
        <v>90.477248100736716</v>
      </c>
      <c r="K440" s="26">
        <v>7.1123828444481578</v>
      </c>
      <c r="L440" s="26">
        <v>12.034859673683627</v>
      </c>
      <c r="M440" s="27">
        <v>19.147242518131783</v>
      </c>
      <c r="N440" s="26">
        <v>3.1517341149704405</v>
      </c>
      <c r="O440" s="26">
        <v>15.623766219632348</v>
      </c>
      <c r="P440" s="26">
        <v>6.0671721301437849</v>
      </c>
      <c r="Q440" s="26">
        <v>2.0159633384122038</v>
      </c>
      <c r="R440" s="26">
        <v>11.575220688323723</v>
      </c>
      <c r="S440" s="26">
        <v>12.511269975446798</v>
      </c>
      <c r="T440" s="26">
        <v>20.775566028480764</v>
      </c>
      <c r="U440" s="26">
        <v>4.8105585828790192</v>
      </c>
      <c r="V440" s="27">
        <v>76.531251078289088</v>
      </c>
      <c r="W440" s="27">
        <v>191.41541771194318</v>
      </c>
      <c r="X440" s="26">
        <v>18.652818257726089</v>
      </c>
      <c r="Y440" s="28">
        <v>210.07283410435593</v>
      </c>
      <c r="Z440" s="17" t="str">
        <f>SUBSTITUTE(SUBSTITUTE(SUBSTITUTE(SUBSTITUTE(IF(E440="","",VLOOKUP(E440,[1]Esquemas_NORM!$A$2:$H$126,8,FALSE)),"PROVINCIA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440" s="17" t="str">
        <f>IF($E440="","",INDEX([1]Esquemas_NORM!$H$2:$K$126,MATCH($E440,[1]Esquemas_NORM!$A$2:$A$126,0),MATCH(AA$4,[1]Esquemas_NORM!$H$1:$K$1,0)))</f>
        <v>A la fecha no ha conformado un EAT Región</v>
      </c>
      <c r="AB440" s="17" t="str">
        <f>IF($E440="","",INDEX([1]Esquemas_NORM!$H$2:$K$126,MATCH($E440,[1]Esquemas_NORM!$A$2:$A$126,0),MATCH(AB$4,[1]Esquemas_NORM!$H$1:$K$1,0)))</f>
        <v>A la fecha no ha conformado un EAT Área Metropolitana</v>
      </c>
      <c r="AC440" s="17" t="str">
        <f>IF($E440="","",INDEX([1]Esquemas_NORM!$H$2:$K$126,MATCH($E440,[1]Esquemas_NORM!$A$2:$A$126,0),MATCH(AC$4,[1]Esquemas_NORM!$H$1:$K$1,0)))</f>
        <v>ASOCIACION DE MUNICIPIOS DEL OCCIDENTE ANTIOQUEÑO - AMOCCIDENTE</v>
      </c>
      <c r="AD440" s="23"/>
    </row>
    <row r="441" spans="1:30" x14ac:dyDescent="0.25">
      <c r="A441" s="24">
        <v>2018</v>
      </c>
      <c r="B441" s="25" t="s">
        <v>36</v>
      </c>
      <c r="C441" s="25" t="s">
        <v>158</v>
      </c>
      <c r="D441" s="25" t="s">
        <v>159</v>
      </c>
      <c r="E441" s="25" t="s">
        <v>178</v>
      </c>
      <c r="F441" s="25" t="s">
        <v>161</v>
      </c>
      <c r="G441" s="25" t="s">
        <v>179</v>
      </c>
      <c r="H441" s="26">
        <v>24.165514104937575</v>
      </c>
      <c r="I441" s="26">
        <v>1.0712893079519417</v>
      </c>
      <c r="J441" s="27">
        <v>25.236803412889518</v>
      </c>
      <c r="K441" s="26">
        <v>2.3102608194462149</v>
      </c>
      <c r="L441" s="26">
        <v>17.463546948670462</v>
      </c>
      <c r="M441" s="27">
        <v>19.773807768116676</v>
      </c>
      <c r="N441" s="26">
        <v>13.066365416841354</v>
      </c>
      <c r="O441" s="26">
        <v>28.524686760569491</v>
      </c>
      <c r="P441" s="26">
        <v>8.4792875449044445</v>
      </c>
      <c r="Q441" s="26">
        <v>5.1091516982430889</v>
      </c>
      <c r="R441" s="26">
        <v>10.828079378496341</v>
      </c>
      <c r="S441" s="26">
        <v>17.045302462750641</v>
      </c>
      <c r="T441" s="26">
        <v>34.904130971656862</v>
      </c>
      <c r="U441" s="26">
        <v>4.7843275780287771</v>
      </c>
      <c r="V441" s="27">
        <v>122.74133181149099</v>
      </c>
      <c r="W441" s="27">
        <v>171.38408007971478</v>
      </c>
      <c r="X441" s="26">
        <v>16.700828680392561</v>
      </c>
      <c r="Y441" s="28">
        <v>188.08902570686507</v>
      </c>
      <c r="Z441" s="17" t="str">
        <f>SUBSTITUTE(SUBSTITUTE(SUBSTITUTE(SUBSTITUTE(IF(E441="","",VLOOKUP(E441,[1]Esquemas_NORM!$A$2:$H$126,8,FALSE)),"PROVINCIA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441" s="17" t="str">
        <f>IF($E441="","",INDEX([1]Esquemas_NORM!$H$2:$K$126,MATCH($E441,[1]Esquemas_NORM!$A$2:$A$126,0),MATCH(AA$4,[1]Esquemas_NORM!$H$1:$K$1,0)))</f>
        <v>Región de Planeación y Gestión de Occidente</v>
      </c>
      <c r="AB441" s="17" t="str">
        <f>IF($E441="","",INDEX([1]Esquemas_NORM!$H$2:$K$126,MATCH($E441,[1]Esquemas_NORM!$A$2:$A$126,0),MATCH(AB$4,[1]Esquemas_NORM!$H$1:$K$1,0)))</f>
        <v>A la fecha no ha conformado un EAT Área Metropolitana</v>
      </c>
      <c r="AC441" s="17" t="str">
        <f>IF($E441="","",INDEX([1]Esquemas_NORM!$H$2:$K$126,MATCH($E441,[1]Esquemas_NORM!$A$2:$A$126,0),MATCH(AC$4,[1]Esquemas_NORM!$H$1:$K$1,0)))</f>
        <v>ASOCIACION DE MUNICIPIOS DEL OCCIDENTE ANTIOQUEÑO - AMOCCIDENTE</v>
      </c>
      <c r="AD441" s="23"/>
    </row>
    <row r="442" spans="1:30" x14ac:dyDescent="0.25">
      <c r="A442" s="24">
        <v>2018</v>
      </c>
      <c r="B442" s="25" t="s">
        <v>36</v>
      </c>
      <c r="C442" s="25" t="s">
        <v>158</v>
      </c>
      <c r="D442" s="25" t="s">
        <v>163</v>
      </c>
      <c r="E442" s="25" t="s">
        <v>180</v>
      </c>
      <c r="F442" s="25" t="s">
        <v>161</v>
      </c>
      <c r="G442" s="25" t="s">
        <v>181</v>
      </c>
      <c r="H442" s="26">
        <v>10.15643519566731</v>
      </c>
      <c r="I442" s="26">
        <v>0</v>
      </c>
      <c r="J442" s="27">
        <v>10.15643519566731</v>
      </c>
      <c r="K442" s="26">
        <v>0.56752862405514415</v>
      </c>
      <c r="L442" s="26">
        <v>3.8567572466998681</v>
      </c>
      <c r="M442" s="27">
        <v>4.4242858707550123</v>
      </c>
      <c r="N442" s="26">
        <v>0.94855891706785822</v>
      </c>
      <c r="O442" s="26">
        <v>7.1256968051662088</v>
      </c>
      <c r="P442" s="26">
        <v>1.7025444802767835</v>
      </c>
      <c r="Q442" s="26">
        <v>0.63442100414016311</v>
      </c>
      <c r="R442" s="26">
        <v>3.9024900173254333</v>
      </c>
      <c r="S442" s="26">
        <v>5.2262276507695109</v>
      </c>
      <c r="T442" s="26">
        <v>10.345766942076436</v>
      </c>
      <c r="U442" s="26">
        <v>2.3119843026267359</v>
      </c>
      <c r="V442" s="27">
        <v>32.197690119449128</v>
      </c>
      <c r="W442" s="27">
        <v>47.811445438428358</v>
      </c>
      <c r="X442" s="26">
        <v>4.6590719444762279</v>
      </c>
      <c r="Y442" s="28">
        <v>52.471665897837774</v>
      </c>
      <c r="Z442" s="17" t="str">
        <f>SUBSTITUTE(SUBSTITUTE(SUBSTITUTE(SUBSTITUTE(IF(E442="","",VLOOKUP(E442,[1]Esquemas_NORM!$A$2:$H$126,8,FALSE)),"PROVINCIA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442" s="17" t="str">
        <f>IF($E442="","",INDEX([1]Esquemas_NORM!$H$2:$K$126,MATCH($E442,[1]Esquemas_NORM!$A$2:$A$126,0),MATCH(AA$4,[1]Esquemas_NORM!$H$1:$K$1,0)))</f>
        <v>A la fecha no ha conformado un EAT Región</v>
      </c>
      <c r="AB442" s="17" t="str">
        <f>IF($E442="","",INDEX([1]Esquemas_NORM!$H$2:$K$126,MATCH($E442,[1]Esquemas_NORM!$A$2:$A$126,0),MATCH(AB$4,[1]Esquemas_NORM!$H$1:$K$1,0)))</f>
        <v>A la fecha no ha conformado un EAT Área Metropolitana</v>
      </c>
      <c r="AC442" s="17" t="str">
        <f>IF($E442="","",INDEX([1]Esquemas_NORM!$H$2:$K$126,MATCH($E442,[1]Esquemas_NORM!$A$2:$A$126,0),MATCH(AC$4,[1]Esquemas_NORM!$H$1:$K$1,0)))</f>
        <v>ASOCIACION DE MUNICIPIOS DEL OCCIDENTE ANTIOQUEÑO - AMOCCIDENTE</v>
      </c>
      <c r="AD442" s="23"/>
    </row>
    <row r="443" spans="1:30" x14ac:dyDescent="0.25">
      <c r="A443" s="24">
        <v>2018</v>
      </c>
      <c r="B443" s="25" t="s">
        <v>36</v>
      </c>
      <c r="C443" s="25" t="s">
        <v>158</v>
      </c>
      <c r="D443" s="25" t="s">
        <v>163</v>
      </c>
      <c r="E443" s="25" t="s">
        <v>182</v>
      </c>
      <c r="F443" s="25" t="s">
        <v>161</v>
      </c>
      <c r="G443" s="25" t="s">
        <v>183</v>
      </c>
      <c r="H443" s="26">
        <v>11.858869344951568</v>
      </c>
      <c r="I443" s="26">
        <v>0</v>
      </c>
      <c r="J443" s="27">
        <v>11.858869344951568</v>
      </c>
      <c r="K443" s="26">
        <v>0.88055410269736878</v>
      </c>
      <c r="L443" s="26">
        <v>3.8490302151916729</v>
      </c>
      <c r="M443" s="27">
        <v>4.7295843178890413</v>
      </c>
      <c r="N443" s="26">
        <v>1.381221344188432</v>
      </c>
      <c r="O443" s="26">
        <v>5.0386999976882381</v>
      </c>
      <c r="P443" s="26">
        <v>2.129576013697978</v>
      </c>
      <c r="Q443" s="26">
        <v>1.0996317299066014</v>
      </c>
      <c r="R443" s="26">
        <v>4.2669038909339143</v>
      </c>
      <c r="S443" s="26">
        <v>5.1802361498755216</v>
      </c>
      <c r="T443" s="26">
        <v>11.328632442284636</v>
      </c>
      <c r="U443" s="26">
        <v>1.6878643532974731</v>
      </c>
      <c r="V443" s="27">
        <v>32.112765921872793</v>
      </c>
      <c r="W443" s="27">
        <v>49.745025725495239</v>
      </c>
      <c r="X443" s="26">
        <v>4.8474931391338432</v>
      </c>
      <c r="Y443" s="28">
        <v>54.593713827558418</v>
      </c>
      <c r="Z443" s="17" t="str">
        <f>SUBSTITUTE(SUBSTITUTE(SUBSTITUTE(SUBSTITUTE(IF(E443="","",VLOOKUP(E443,[1]Esquemas_NORM!$A$2:$H$126,8,FALSE)),"PROVINCIA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443" s="17" t="str">
        <f>IF($E443="","",INDEX([1]Esquemas_NORM!$H$2:$K$126,MATCH($E443,[1]Esquemas_NORM!$A$2:$A$126,0),MATCH(AA$4,[1]Esquemas_NORM!$H$1:$K$1,0)))</f>
        <v>Región de Planeación y Gestión de Occidente</v>
      </c>
      <c r="AB443" s="17" t="str">
        <f>IF($E443="","",INDEX([1]Esquemas_NORM!$H$2:$K$126,MATCH($E443,[1]Esquemas_NORM!$A$2:$A$126,0),MATCH(AB$4,[1]Esquemas_NORM!$H$1:$K$1,0)))</f>
        <v>A la fecha no ha conformado un EAT Área Metropolitana</v>
      </c>
      <c r="AC443" s="17" t="str">
        <f>IF($E443="","",INDEX([1]Esquemas_NORM!$H$2:$K$126,MATCH($E443,[1]Esquemas_NORM!$A$2:$A$126,0),MATCH(AC$4,[1]Esquemas_NORM!$H$1:$K$1,0)))</f>
        <v>ASOCIACION DE MUNICIPIOS DEL OCCIDENTE ANTIOQUEÑO - AMOCCIDENTE</v>
      </c>
      <c r="AD443" s="23"/>
    </row>
    <row r="444" spans="1:30" x14ac:dyDescent="0.25">
      <c r="A444" s="24">
        <v>2018</v>
      </c>
      <c r="B444" s="25" t="s">
        <v>36</v>
      </c>
      <c r="C444" s="25" t="s">
        <v>158</v>
      </c>
      <c r="D444" s="25" t="s">
        <v>163</v>
      </c>
      <c r="E444" s="25" t="s">
        <v>184</v>
      </c>
      <c r="F444" s="25" t="s">
        <v>161</v>
      </c>
      <c r="G444" s="25" t="s">
        <v>185</v>
      </c>
      <c r="H444" s="26">
        <v>15.454239601577695</v>
      </c>
      <c r="I444" s="26">
        <v>0</v>
      </c>
      <c r="J444" s="27">
        <v>15.454239601577695</v>
      </c>
      <c r="K444" s="26">
        <v>0.24815989660211413</v>
      </c>
      <c r="L444" s="26">
        <v>7.8962910305045577</v>
      </c>
      <c r="M444" s="27">
        <v>8.1444509271066714</v>
      </c>
      <c r="N444" s="26">
        <v>2.1467669433723309</v>
      </c>
      <c r="O444" s="26">
        <v>9.0034510783258987</v>
      </c>
      <c r="P444" s="26">
        <v>4.1297784849560601</v>
      </c>
      <c r="Q444" s="26">
        <v>1.9459840458391628</v>
      </c>
      <c r="R444" s="26">
        <v>5.3875953624401491</v>
      </c>
      <c r="S444" s="26">
        <v>9.989720316706503</v>
      </c>
      <c r="T444" s="26">
        <v>20.890857542327829</v>
      </c>
      <c r="U444" s="26">
        <v>5.6771086442880963</v>
      </c>
      <c r="V444" s="27">
        <v>59.171262418256028</v>
      </c>
      <c r="W444" s="27">
        <v>84.310130740365125</v>
      </c>
      <c r="X444" s="26">
        <v>8.2157517131193725</v>
      </c>
      <c r="Y444" s="28">
        <v>92.527907730973695</v>
      </c>
      <c r="Z444" s="17" t="str">
        <f>SUBSTITUTE(SUBSTITUTE(SUBSTITUTE(SUBSTITUTE(IF(E444="","",VLOOKUP(E444,[1]Esquemas_NORM!$A$2:$H$126,8,FALSE)),"PROVINCIA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44" s="17" t="str">
        <f>IF($E444="","",INDEX([1]Esquemas_NORM!$H$2:$K$126,MATCH($E444,[1]Esquemas_NORM!$A$2:$A$126,0),MATCH(AA$4,[1]Esquemas_NORM!$H$1:$K$1,0)))</f>
        <v>Región de Planeación y Gestión de Occidente</v>
      </c>
      <c r="AB444" s="17" t="str">
        <f>IF($E444="","",INDEX([1]Esquemas_NORM!$H$2:$K$126,MATCH($E444,[1]Esquemas_NORM!$A$2:$A$126,0),MATCH(AB$4,[1]Esquemas_NORM!$H$1:$K$1,0)))</f>
        <v>A la fecha no ha conformado un EAT Área Metropolitana</v>
      </c>
      <c r="AC444" s="17" t="str">
        <f>IF($E444="","",INDEX([1]Esquemas_NORM!$H$2:$K$126,MATCH($E444,[1]Esquemas_NORM!$A$2:$A$126,0),MATCH(AC$4,[1]Esquemas_NORM!$H$1:$K$1,0)))</f>
        <v>ASOCIACION DE MUNICIPIOS DEL OCCIDENTE ANTIOQUEÑO - AMOCCIDENTE</v>
      </c>
      <c r="AD444" s="23"/>
    </row>
    <row r="445" spans="1:30" x14ac:dyDescent="0.25">
      <c r="A445" s="24">
        <v>2018</v>
      </c>
      <c r="B445" s="25" t="s">
        <v>36</v>
      </c>
      <c r="C445" s="25" t="s">
        <v>158</v>
      </c>
      <c r="D445" s="25" t="s">
        <v>163</v>
      </c>
      <c r="E445" s="25" t="s">
        <v>186</v>
      </c>
      <c r="F445" s="25" t="s">
        <v>161</v>
      </c>
      <c r="G445" s="25" t="s">
        <v>187</v>
      </c>
      <c r="H445" s="26">
        <v>5.2207214759474958</v>
      </c>
      <c r="I445" s="26">
        <v>0</v>
      </c>
      <c r="J445" s="27">
        <v>5.2207214759474958</v>
      </c>
      <c r="K445" s="26">
        <v>0.12680952605441098</v>
      </c>
      <c r="L445" s="26">
        <v>2.8136511139890992</v>
      </c>
      <c r="M445" s="27">
        <v>2.94046064004351</v>
      </c>
      <c r="N445" s="26">
        <v>2.0887334228946099</v>
      </c>
      <c r="O445" s="26">
        <v>5.1069857039917936</v>
      </c>
      <c r="P445" s="26">
        <v>1.418762630784737</v>
      </c>
      <c r="Q445" s="26">
        <v>0.29612717674112443</v>
      </c>
      <c r="R445" s="26">
        <v>3.0098449303282631</v>
      </c>
      <c r="S445" s="26">
        <v>3.3951064881923894</v>
      </c>
      <c r="T445" s="26">
        <v>5.7849351557237751</v>
      </c>
      <c r="U445" s="26">
        <v>1.2791621898949928</v>
      </c>
      <c r="V445" s="27">
        <v>22.379657698551689</v>
      </c>
      <c r="W445" s="27">
        <v>31.248937338500948</v>
      </c>
      <c r="X445" s="26">
        <v>3.045108674574978</v>
      </c>
      <c r="Y445" s="28">
        <v>34.2947966674611</v>
      </c>
      <c r="Z445" s="17" t="str">
        <f>SUBSTITUTE(SUBSTITUTE(SUBSTITUTE(SUBSTITUTE(IF(E445="","",VLOOKUP(E445,[1]Esquemas_NORM!$A$2:$H$126,8,FALSE)),"PROVINCIA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445" s="17" t="str">
        <f>IF($E445="","",INDEX([1]Esquemas_NORM!$H$2:$K$126,MATCH($E445,[1]Esquemas_NORM!$A$2:$A$126,0),MATCH(AA$4,[1]Esquemas_NORM!$H$1:$K$1,0)))</f>
        <v>Región de Planeación y Gestión de Occidente</v>
      </c>
      <c r="AB445" s="17" t="str">
        <f>IF($E445="","",INDEX([1]Esquemas_NORM!$H$2:$K$126,MATCH($E445,[1]Esquemas_NORM!$A$2:$A$126,0),MATCH(AB$4,[1]Esquemas_NORM!$H$1:$K$1,0)))</f>
        <v>A la fecha no ha conformado un EAT Área Metropolitana</v>
      </c>
      <c r="AC445" s="17" t="str">
        <f>IF($E445="","",INDEX([1]Esquemas_NORM!$H$2:$K$126,MATCH($E445,[1]Esquemas_NORM!$A$2:$A$126,0),MATCH(AC$4,[1]Esquemas_NORM!$H$1:$K$1,0)))</f>
        <v>ASOCIACION DE MUNICIPIOS DEL OCCIDENTE ANTIOQUEÑO - AMOCCIDENTE</v>
      </c>
      <c r="AD445" s="23"/>
    </row>
    <row r="446" spans="1:30" x14ac:dyDescent="0.25">
      <c r="A446" s="24">
        <v>2018</v>
      </c>
      <c r="B446" s="25" t="s">
        <v>36</v>
      </c>
      <c r="C446" s="25" t="s">
        <v>158</v>
      </c>
      <c r="D446" s="25" t="s">
        <v>159</v>
      </c>
      <c r="E446" s="25" t="s">
        <v>188</v>
      </c>
      <c r="F446" s="25" t="s">
        <v>161</v>
      </c>
      <c r="G446" s="25" t="s">
        <v>189</v>
      </c>
      <c r="H446" s="26">
        <v>10.409693247326373</v>
      </c>
      <c r="I446" s="26">
        <v>0</v>
      </c>
      <c r="J446" s="27">
        <v>10.409693247326373</v>
      </c>
      <c r="K446" s="26">
        <v>0.64150056996683735</v>
      </c>
      <c r="L446" s="26">
        <v>5.2649667744802429</v>
      </c>
      <c r="M446" s="27">
        <v>5.9064673444470799</v>
      </c>
      <c r="N446" s="26">
        <v>0.83860256334235994</v>
      </c>
      <c r="O446" s="26">
        <v>4.3652843478589931</v>
      </c>
      <c r="P446" s="26">
        <v>2.9951813004803243</v>
      </c>
      <c r="Q446" s="26">
        <v>1.4542819971371737</v>
      </c>
      <c r="R446" s="26">
        <v>5.0262933220907478</v>
      </c>
      <c r="S446" s="26">
        <v>7.9959070674886226</v>
      </c>
      <c r="T446" s="26">
        <v>20.774759332443168</v>
      </c>
      <c r="U446" s="26">
        <v>1.9037262912438435</v>
      </c>
      <c r="V446" s="27">
        <v>45.354036222085227</v>
      </c>
      <c r="W446" s="27">
        <v>62.802703877383706</v>
      </c>
      <c r="X446" s="26">
        <v>6.1199219766144584</v>
      </c>
      <c r="Y446" s="28">
        <v>68.924134485301522</v>
      </c>
      <c r="Z446" s="17" t="str">
        <f>SUBSTITUTE(SUBSTITUTE(SUBSTITUTE(SUBSTITUTE(IF(E446="","",VLOOKUP(E446,[1]Esquemas_NORM!$A$2:$H$126,8,FALSE)),"PROVINCIA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446" s="17" t="str">
        <f>IF($E446="","",INDEX([1]Esquemas_NORM!$H$2:$K$126,MATCH($E446,[1]Esquemas_NORM!$A$2:$A$126,0),MATCH(AA$4,[1]Esquemas_NORM!$H$1:$K$1,0)))</f>
        <v>Región de Planeación y Gestión de Occidente</v>
      </c>
      <c r="AB446" s="17" t="str">
        <f>IF($E446="","",INDEX([1]Esquemas_NORM!$H$2:$K$126,MATCH($E446,[1]Esquemas_NORM!$A$2:$A$126,0),MATCH(AB$4,[1]Esquemas_NORM!$H$1:$K$1,0)))</f>
        <v>A la fecha no ha conformado un EAT Área Metropolitana</v>
      </c>
      <c r="AC446" s="17" t="str">
        <f>IF($E446="","",INDEX([1]Esquemas_NORM!$H$2:$K$126,MATCH($E446,[1]Esquemas_NORM!$A$2:$A$126,0),MATCH(AC$4,[1]Esquemas_NORM!$H$1:$K$1,0)))</f>
        <v>ASOCIACION DE MUNICIPIOS DEL OCCIDENTE ANTIOQUEÑO - AMOCCIDENTE</v>
      </c>
      <c r="AD446" s="23"/>
    </row>
    <row r="447" spans="1:30" x14ac:dyDescent="0.25">
      <c r="A447" s="24">
        <v>2018</v>
      </c>
      <c r="B447" s="25" t="s">
        <v>36</v>
      </c>
      <c r="C447" s="25" t="s">
        <v>158</v>
      </c>
      <c r="D447" s="25" t="s">
        <v>163</v>
      </c>
      <c r="E447" s="25" t="s">
        <v>190</v>
      </c>
      <c r="F447" s="25" t="s">
        <v>161</v>
      </c>
      <c r="G447" s="25" t="s">
        <v>191</v>
      </c>
      <c r="H447" s="26">
        <v>13.635831326495701</v>
      </c>
      <c r="I447" s="26">
        <v>0.23867363822764848</v>
      </c>
      <c r="J447" s="27">
        <v>13.87450496472335</v>
      </c>
      <c r="K447" s="26">
        <v>5.0450891504255475</v>
      </c>
      <c r="L447" s="26">
        <v>1.89784302387515</v>
      </c>
      <c r="M447" s="27">
        <v>6.9429321743006973</v>
      </c>
      <c r="N447" s="26">
        <v>2.1455919397496643</v>
      </c>
      <c r="O447" s="26">
        <v>5.8972026017747359</v>
      </c>
      <c r="P447" s="26">
        <v>3.6394993385856718</v>
      </c>
      <c r="Q447" s="26">
        <v>1.700285736795915</v>
      </c>
      <c r="R447" s="26">
        <v>6.6757495838585701</v>
      </c>
      <c r="S447" s="26">
        <v>7.7813622725991616</v>
      </c>
      <c r="T447" s="26">
        <v>20.032287114002088</v>
      </c>
      <c r="U447" s="26">
        <v>2.1398171071244225</v>
      </c>
      <c r="V447" s="27">
        <v>50.011795694490232</v>
      </c>
      <c r="W447" s="27">
        <v>72.24843892393875</v>
      </c>
      <c r="X447" s="26">
        <v>7.0403785481906951</v>
      </c>
      <c r="Y447" s="28">
        <v>79.290553006586563</v>
      </c>
      <c r="Z447" s="17" t="str">
        <f>SUBSTITUTE(SUBSTITUTE(SUBSTITUTE(SUBSTITUTE(IF(E447="","",VLOOKUP(E447,[1]Esquemas_NORM!$A$2:$H$126,8,FALSE)),"PROVINCIA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447" s="17" t="str">
        <f>IF($E447="","",INDEX([1]Esquemas_NORM!$H$2:$K$126,MATCH($E447,[1]Esquemas_NORM!$A$2:$A$126,0),MATCH(AA$4,[1]Esquemas_NORM!$H$1:$K$1,0)))</f>
        <v>A la fecha no ha conformado un EAT Región</v>
      </c>
      <c r="AB447" s="17" t="str">
        <f>IF($E447="","",INDEX([1]Esquemas_NORM!$H$2:$K$126,MATCH($E447,[1]Esquemas_NORM!$A$2:$A$126,0),MATCH(AB$4,[1]Esquemas_NORM!$H$1:$K$1,0)))</f>
        <v>A la fecha no ha conformado un EAT Área Metropolitana</v>
      </c>
      <c r="AC447" s="17" t="str">
        <f>IF($E447="","",INDEX([1]Esquemas_NORM!$H$2:$K$126,MATCH($E447,[1]Esquemas_NORM!$A$2:$A$126,0),MATCH(AC$4,[1]Esquemas_NORM!$H$1:$K$1,0)))</f>
        <v>ASOCIACION DE MUNICIPIOS DEL OCCIDENTE ANTIOQUEÑO - AMOCCIDENTE</v>
      </c>
      <c r="AD447" s="23"/>
    </row>
    <row r="448" spans="1:30" x14ac:dyDescent="0.25">
      <c r="A448" s="24">
        <v>2018</v>
      </c>
      <c r="B448" s="25" t="s">
        <v>36</v>
      </c>
      <c r="C448" s="25" t="s">
        <v>158</v>
      </c>
      <c r="D448" s="25" t="s">
        <v>163</v>
      </c>
      <c r="E448" s="25" t="s">
        <v>192</v>
      </c>
      <c r="F448" s="25" t="s">
        <v>161</v>
      </c>
      <c r="G448" s="25" t="s">
        <v>193</v>
      </c>
      <c r="H448" s="26">
        <v>18.259644494262901</v>
      </c>
      <c r="I448" s="26">
        <v>0</v>
      </c>
      <c r="J448" s="27">
        <v>18.259644494262901</v>
      </c>
      <c r="K448" s="26">
        <v>1.525624109939999</v>
      </c>
      <c r="L448" s="26">
        <v>15.484555796657572</v>
      </c>
      <c r="M448" s="27">
        <v>17.010179906597571</v>
      </c>
      <c r="N448" s="26">
        <v>8.8955715456829889</v>
      </c>
      <c r="O448" s="26">
        <v>45.839115397145527</v>
      </c>
      <c r="P448" s="26">
        <v>6.2967611021216445</v>
      </c>
      <c r="Q448" s="26">
        <v>2.7172843479971487</v>
      </c>
      <c r="R448" s="26">
        <v>26.447280977121782</v>
      </c>
      <c r="S448" s="26">
        <v>18.866146003512174</v>
      </c>
      <c r="T448" s="26">
        <v>26.896763324776927</v>
      </c>
      <c r="U448" s="26">
        <v>5.1835687755617945</v>
      </c>
      <c r="V448" s="27">
        <v>141.14249147391999</v>
      </c>
      <c r="W448" s="27">
        <v>180.28457426810948</v>
      </c>
      <c r="X448" s="26">
        <v>17.568153279865729</v>
      </c>
      <c r="Y448" s="28">
        <v>197.85705830024321</v>
      </c>
      <c r="Z448" s="17" t="str">
        <f>SUBSTITUTE(SUBSTITUTE(SUBSTITUTE(SUBSTITUTE(IF(E448="","",VLOOKUP(E448,[1]Esquemas_NORM!$A$2:$H$126,8,FALSE)),"PROVINCIA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448" s="17" t="str">
        <f>IF($E448="","",INDEX([1]Esquemas_NORM!$H$2:$K$126,MATCH($E448,[1]Esquemas_NORM!$A$2:$A$126,0),MATCH(AA$4,[1]Esquemas_NORM!$H$1:$K$1,0)))</f>
        <v>Región de Planeación y Gestión de Occidente</v>
      </c>
      <c r="AB448" s="17" t="str">
        <f>IF($E448="","",INDEX([1]Esquemas_NORM!$H$2:$K$126,MATCH($E448,[1]Esquemas_NORM!$A$2:$A$126,0),MATCH(AB$4,[1]Esquemas_NORM!$H$1:$K$1,0)))</f>
        <v>A la fecha no ha conformado un EAT Área Metropolitana</v>
      </c>
      <c r="AC448" s="17" t="str">
        <f>IF($E448="","",INDEX([1]Esquemas_NORM!$H$2:$K$126,MATCH($E448,[1]Esquemas_NORM!$A$2:$A$126,0),MATCH(AC$4,[1]Esquemas_NORM!$H$1:$K$1,0)))</f>
        <v>ASOCIACION DE MUNICIPIOS DEL OCCIDENTE ANTIOQUEÑO - AMOCCIDENTE</v>
      </c>
      <c r="AD448" s="23"/>
    </row>
    <row r="449" spans="1:30" x14ac:dyDescent="0.25">
      <c r="A449" s="24">
        <v>2018</v>
      </c>
      <c r="B449" s="25" t="s">
        <v>36</v>
      </c>
      <c r="C449" s="25" t="s">
        <v>158</v>
      </c>
      <c r="D449" s="25" t="s">
        <v>163</v>
      </c>
      <c r="E449" s="25" t="s">
        <v>194</v>
      </c>
      <c r="F449" s="25" t="s">
        <v>161</v>
      </c>
      <c r="G449" s="25" t="s">
        <v>195</v>
      </c>
      <c r="H449" s="26">
        <v>23.7223665419742</v>
      </c>
      <c r="I449" s="26">
        <v>0</v>
      </c>
      <c r="J449" s="27">
        <v>23.7223665419742</v>
      </c>
      <c r="K449" s="26">
        <v>4.6087315085681659</v>
      </c>
      <c r="L449" s="26">
        <v>21.493268701789017</v>
      </c>
      <c r="M449" s="27">
        <v>26.102000210357183</v>
      </c>
      <c r="N449" s="26">
        <v>13.88982170115221</v>
      </c>
      <c r="O449" s="26">
        <v>71.275953778428018</v>
      </c>
      <c r="P449" s="26">
        <v>9.4227337905812742</v>
      </c>
      <c r="Q449" s="26">
        <v>7.8407394794642338</v>
      </c>
      <c r="R449" s="26">
        <v>25.133328665376283</v>
      </c>
      <c r="S449" s="26">
        <v>29.628490338880773</v>
      </c>
      <c r="T449" s="26">
        <v>60.95646894409802</v>
      </c>
      <c r="U449" s="26">
        <v>7.7606815195951553</v>
      </c>
      <c r="V449" s="27">
        <v>225.90821821757598</v>
      </c>
      <c r="W449" s="27">
        <v>282.18088097697415</v>
      </c>
      <c r="X449" s="26">
        <v>27.497621412015917</v>
      </c>
      <c r="Y449" s="28">
        <v>309.68528086959623</v>
      </c>
      <c r="Z449" s="17" t="str">
        <f>SUBSTITUTE(SUBSTITUTE(SUBSTITUTE(SUBSTITUTE(IF(E449="","",VLOOKUP(E449,[1]Esquemas_NORM!$A$2:$H$126,8,FALSE)),"PROVINCIA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449" s="17" t="str">
        <f>IF($E449="","",INDEX([1]Esquemas_NORM!$H$2:$K$126,MATCH($E449,[1]Esquemas_NORM!$A$2:$A$126,0),MATCH(AA$4,[1]Esquemas_NORM!$H$1:$K$1,0)))</f>
        <v>A la fecha no ha conformado un EAT Región</v>
      </c>
      <c r="AB449" s="17" t="str">
        <f>IF($E449="","",INDEX([1]Esquemas_NORM!$H$2:$K$126,MATCH($E449,[1]Esquemas_NORM!$A$2:$A$126,0),MATCH(AB$4,[1]Esquemas_NORM!$H$1:$K$1,0)))</f>
        <v>A la fecha no ha conformado un EAT Área Metropolitana</v>
      </c>
      <c r="AC449" s="17" t="str">
        <f>IF($E449="","",INDEX([1]Esquemas_NORM!$H$2:$K$126,MATCH($E449,[1]Esquemas_NORM!$A$2:$A$126,0),MATCH(AC$4,[1]Esquemas_NORM!$H$1:$K$1,0)))</f>
        <v>ASOCIACION DE MUNICIPIOS DEL OCCIDENTE ANTIOQUEÑO - AMOCCIDENTE</v>
      </c>
      <c r="AD449" s="23"/>
    </row>
    <row r="450" spans="1:30" x14ac:dyDescent="0.25">
      <c r="A450" s="24">
        <v>2018</v>
      </c>
      <c r="B450" s="25" t="s">
        <v>36</v>
      </c>
      <c r="C450" s="25" t="s">
        <v>158</v>
      </c>
      <c r="D450" s="25" t="s">
        <v>163</v>
      </c>
      <c r="E450" s="25" t="s">
        <v>196</v>
      </c>
      <c r="F450" s="25" t="s">
        <v>161</v>
      </c>
      <c r="G450" s="25" t="s">
        <v>197</v>
      </c>
      <c r="H450" s="26">
        <v>16.070189210717707</v>
      </c>
      <c r="I450" s="26">
        <v>0.29757797741179809</v>
      </c>
      <c r="J450" s="27">
        <v>16.367767188129505</v>
      </c>
      <c r="K450" s="26">
        <v>1.0202857383383679</v>
      </c>
      <c r="L450" s="26">
        <v>13.381747723344951</v>
      </c>
      <c r="M450" s="27">
        <v>14.402033461683319</v>
      </c>
      <c r="N450" s="26">
        <v>6.1699298779590084</v>
      </c>
      <c r="O450" s="26">
        <v>30.247232073511178</v>
      </c>
      <c r="P450" s="26">
        <v>5.9158997484276208</v>
      </c>
      <c r="Q450" s="26">
        <v>2.7712924895399502</v>
      </c>
      <c r="R450" s="26">
        <v>17.057475681360756</v>
      </c>
      <c r="S450" s="26">
        <v>17.311498718209187</v>
      </c>
      <c r="T450" s="26">
        <v>31.104667824510535</v>
      </c>
      <c r="U450" s="26">
        <v>5.7141980440808782</v>
      </c>
      <c r="V450" s="27">
        <v>116.29219445759911</v>
      </c>
      <c r="W450" s="27">
        <v>150.07770690506246</v>
      </c>
      <c r="X450" s="26">
        <v>14.624590980690144</v>
      </c>
      <c r="Y450" s="28">
        <v>164.70590301598739</v>
      </c>
      <c r="Z450" s="17" t="str">
        <f>SUBSTITUTE(SUBSTITUTE(SUBSTITUTE(SUBSTITUTE(IF(E450="","",VLOOKUP(E450,[1]Esquemas_NORM!$A$2:$H$126,8,FALSE)),"PROVINCIA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50" s="17" t="str">
        <f>IF($E450="","",INDEX([1]Esquemas_NORM!$H$2:$K$126,MATCH($E450,[1]Esquemas_NORM!$A$2:$A$126,0),MATCH(AA$4,[1]Esquemas_NORM!$H$1:$K$1,0)))</f>
        <v>A la fecha no ha conformado un EAT Región</v>
      </c>
      <c r="AB450" s="17" t="str">
        <f>IF($E450="","",INDEX([1]Esquemas_NORM!$H$2:$K$126,MATCH($E450,[1]Esquemas_NORM!$A$2:$A$126,0),MATCH(AB$4,[1]Esquemas_NORM!$H$1:$K$1,0)))</f>
        <v>A la fecha no ha conformado un EAT Área Metropolitana</v>
      </c>
      <c r="AC450" s="17" t="str">
        <f>IF($E450="","",INDEX([1]Esquemas_NORM!$H$2:$K$126,MATCH($E450,[1]Esquemas_NORM!$A$2:$A$126,0),MATCH(AC$4,[1]Esquemas_NORM!$H$1:$K$1,0)))</f>
        <v>ASOCIACION DE MUNICIPIOS DEL OCCIDENTE ANTIOQUEÑO - AMOCCIDENTE</v>
      </c>
      <c r="AD450" s="23"/>
    </row>
    <row r="451" spans="1:30" x14ac:dyDescent="0.25">
      <c r="A451" s="24">
        <v>2018</v>
      </c>
      <c r="B451" s="25" t="s">
        <v>36</v>
      </c>
      <c r="C451" s="25" t="s">
        <v>158</v>
      </c>
      <c r="D451" s="25" t="s">
        <v>159</v>
      </c>
      <c r="E451" s="25" t="s">
        <v>198</v>
      </c>
      <c r="F451" s="25" t="s">
        <v>161</v>
      </c>
      <c r="G451" s="25" t="s">
        <v>199</v>
      </c>
      <c r="H451" s="26">
        <v>18.058806706881178</v>
      </c>
      <c r="I451" s="26">
        <v>0</v>
      </c>
      <c r="J451" s="27">
        <v>18.058806706881178</v>
      </c>
      <c r="K451" s="26">
        <v>0.39193215198701498</v>
      </c>
      <c r="L451" s="26">
        <v>6.0157543656656758</v>
      </c>
      <c r="M451" s="27">
        <v>6.4076865176526905</v>
      </c>
      <c r="N451" s="26">
        <v>2.0337907240966278</v>
      </c>
      <c r="O451" s="26">
        <v>7.6608287280506699</v>
      </c>
      <c r="P451" s="26">
        <v>2.5194629832411364</v>
      </c>
      <c r="Q451" s="26">
        <v>0.95697206103591614</v>
      </c>
      <c r="R451" s="26">
        <v>4.0363777271423933</v>
      </c>
      <c r="S451" s="26">
        <v>5.7466105430628405</v>
      </c>
      <c r="T451" s="26">
        <v>12.361562726771837</v>
      </c>
      <c r="U451" s="26">
        <v>2.3034037779121084</v>
      </c>
      <c r="V451" s="27">
        <v>37.61900927131353</v>
      </c>
      <c r="W451" s="27">
        <v>63.571443112688918</v>
      </c>
      <c r="X451" s="26">
        <v>6.1948331484270645</v>
      </c>
      <c r="Y451" s="28">
        <v>69.767803358886596</v>
      </c>
      <c r="Z451" s="17" t="str">
        <f>SUBSTITUTE(SUBSTITUTE(SUBSTITUTE(SUBSTITUTE(IF(E451="","",VLOOKUP(E451,[1]Esquemas_NORM!$A$2:$H$126,8,FALSE)),"PROVINCIA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451" s="17" t="str">
        <f>IF($E451="","",INDEX([1]Esquemas_NORM!$H$2:$K$126,MATCH($E451,[1]Esquemas_NORM!$A$2:$A$126,0),MATCH(AA$4,[1]Esquemas_NORM!$H$1:$K$1,0)))</f>
        <v>Región de Planeación y Gestión de Occidente</v>
      </c>
      <c r="AB451" s="17" t="str">
        <f>IF($E451="","",INDEX([1]Esquemas_NORM!$H$2:$K$126,MATCH($E451,[1]Esquemas_NORM!$A$2:$A$126,0),MATCH(AB$4,[1]Esquemas_NORM!$H$1:$K$1,0)))</f>
        <v>A la fecha no ha conformado un EAT Área Metropolitana</v>
      </c>
      <c r="AC451" s="17" t="str">
        <f>IF($E451="","",INDEX([1]Esquemas_NORM!$H$2:$K$126,MATCH($E451,[1]Esquemas_NORM!$A$2:$A$126,0),MATCH(AC$4,[1]Esquemas_NORM!$H$1:$K$1,0)))</f>
        <v>ASOCIACION DE MUNICIPIOS DEL OCCIDENTE ANTIOQUEÑO - AMOCCIDENTE</v>
      </c>
      <c r="AD451" s="23"/>
    </row>
    <row r="452" spans="1:30" x14ac:dyDescent="0.25">
      <c r="A452" s="24">
        <v>2018</v>
      </c>
      <c r="B452" s="25" t="s">
        <v>36</v>
      </c>
      <c r="C452" s="25" t="s">
        <v>200</v>
      </c>
      <c r="D452" s="25" t="s">
        <v>201</v>
      </c>
      <c r="E452" s="25" t="s">
        <v>202</v>
      </c>
      <c r="F452" s="25" t="s">
        <v>203</v>
      </c>
      <c r="G452" s="25" t="s">
        <v>204</v>
      </c>
      <c r="H452" s="26">
        <v>64.922571687503989</v>
      </c>
      <c r="I452" s="26">
        <v>0.54436147517620359</v>
      </c>
      <c r="J452" s="27">
        <v>65.466933162680192</v>
      </c>
      <c r="K452" s="26">
        <v>4.1180210900950627</v>
      </c>
      <c r="L452" s="26">
        <v>15.48529846019299</v>
      </c>
      <c r="M452" s="27">
        <v>19.603319550288052</v>
      </c>
      <c r="N452" s="26">
        <v>4.1531574421662434</v>
      </c>
      <c r="O452" s="26">
        <v>19.509643374993939</v>
      </c>
      <c r="P452" s="26">
        <v>8.2440105119956737</v>
      </c>
      <c r="Q452" s="26">
        <v>4.3161607124045389</v>
      </c>
      <c r="R452" s="26">
        <v>20.82000700114542</v>
      </c>
      <c r="S452" s="26">
        <v>17.151590499209338</v>
      </c>
      <c r="T452" s="26">
        <v>33.798450205637451</v>
      </c>
      <c r="U452" s="26">
        <v>6.9667815254974368</v>
      </c>
      <c r="V452" s="27">
        <v>114.95980127305005</v>
      </c>
      <c r="W452" s="27">
        <v>204.53377072019899</v>
      </c>
      <c r="X452" s="26">
        <v>19.93115966526738</v>
      </c>
      <c r="Y452" s="28">
        <v>224.46984364604361</v>
      </c>
      <c r="Z452" s="17" t="str">
        <f>SUBSTITUTE(SUBSTITUTE(SUBSTITUTE(SUBSTITUTE(IF(E452="","",VLOOKUP(E452,[1]Esquemas_NORM!$A$2:$H$126,8,FALSE)),"PROVINCIA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452" s="17" t="str">
        <f>IF($E452="","",INDEX([1]Esquemas_NORM!$H$2:$K$126,MATCH($E452,[1]Esquemas_NORM!$A$2:$A$126,0),MATCH(AA$4,[1]Esquemas_NORM!$H$1:$K$1,0)))</f>
        <v>A la fecha no ha conformado un EAT Región</v>
      </c>
      <c r="AB452" s="17" t="str">
        <f>IF($E452="","",INDEX([1]Esquemas_NORM!$H$2:$K$126,MATCH($E452,[1]Esquemas_NORM!$A$2:$A$126,0),MATCH(AB$4,[1]Esquemas_NORM!$H$1:$K$1,0)))</f>
        <v>A la fecha no ha conformado un EAT Área Metropolitana</v>
      </c>
      <c r="AC452" s="17" t="str">
        <f>IF($E452="","",INDEX([1]Esquemas_NORM!$H$2:$K$126,MATCH($E452,[1]Esquemas_NORM!$A$2:$A$126,0),MATCH(AC$4,[1]Esquemas_NORM!$H$1:$K$1,0)))</f>
        <v>MUNICIPIOS UNIDOS DEL SUR DE ANTIOQUIA - MUSA</v>
      </c>
      <c r="AD452" s="23"/>
    </row>
    <row r="453" spans="1:30" x14ac:dyDescent="0.25">
      <c r="A453" s="24">
        <v>2018</v>
      </c>
      <c r="B453" s="25" t="s">
        <v>36</v>
      </c>
      <c r="C453" s="25" t="s">
        <v>200</v>
      </c>
      <c r="D453" s="25" t="s">
        <v>205</v>
      </c>
      <c r="E453" s="25" t="s">
        <v>206</v>
      </c>
      <c r="F453" s="25" t="s">
        <v>203</v>
      </c>
      <c r="G453" s="25" t="s">
        <v>207</v>
      </c>
      <c r="H453" s="26">
        <v>6.4451230106275919</v>
      </c>
      <c r="I453" s="26">
        <v>0</v>
      </c>
      <c r="J453" s="27">
        <v>6.4451230106275919</v>
      </c>
      <c r="K453" s="26">
        <v>0.5824705726955548</v>
      </c>
      <c r="L453" s="26">
        <v>4.1053741329161948</v>
      </c>
      <c r="M453" s="27">
        <v>4.6878447056117496</v>
      </c>
      <c r="N453" s="26">
        <v>7.4337191652419641</v>
      </c>
      <c r="O453" s="26">
        <v>5.1798298116232528</v>
      </c>
      <c r="P453" s="26">
        <v>1.381574075334014</v>
      </c>
      <c r="Q453" s="26">
        <v>0.73117257799481239</v>
      </c>
      <c r="R453" s="26">
        <v>4.5932381512535452</v>
      </c>
      <c r="S453" s="26">
        <v>4.3567815826983143</v>
      </c>
      <c r="T453" s="26">
        <v>9.1499048204646733</v>
      </c>
      <c r="U453" s="26">
        <v>1.2107537435771938</v>
      </c>
      <c r="V453" s="27">
        <v>34.03697392818777</v>
      </c>
      <c r="W453" s="27">
        <v>46.30377858624211</v>
      </c>
      <c r="X453" s="26">
        <v>4.5121546474092469</v>
      </c>
      <c r="Y453" s="28">
        <v>50.817045531777488</v>
      </c>
      <c r="Z453" s="17" t="str">
        <f>SUBSTITUTE(SUBSTITUTE(SUBSTITUTE(SUBSTITUTE(IF(E453="","",VLOOKUP(E453,[1]Esquemas_NORM!$A$2:$H$126,8,FALSE)),"PROVINCIA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53" s="17" t="str">
        <f>IF($E453="","",INDEX([1]Esquemas_NORM!$H$2:$K$126,MATCH($E453,[1]Esquemas_NORM!$A$2:$A$126,0),MATCH(AA$4,[1]Esquemas_NORM!$H$1:$K$1,0)))</f>
        <v>A la fecha no ha conformado un EAT Región</v>
      </c>
      <c r="AB453" s="17" t="str">
        <f>IF($E453="","",INDEX([1]Esquemas_NORM!$H$2:$K$126,MATCH($E453,[1]Esquemas_NORM!$A$2:$A$126,0),MATCH(AB$4,[1]Esquemas_NORM!$H$1:$K$1,0)))</f>
        <v>A la fecha no ha conformado un EAT Área Metropolitana</v>
      </c>
      <c r="AC453" s="17" t="str">
        <f>IF($E453="","",INDEX([1]Esquemas_NORM!$H$2:$K$126,MATCH($E453,[1]Esquemas_NORM!$A$2:$A$126,0),MATCH(AC$4,[1]Esquemas_NORM!$H$1:$K$1,0)))</f>
        <v>A la fecha no ha conformado un EAT asociación - unión</v>
      </c>
      <c r="AD453" s="23"/>
    </row>
    <row r="454" spans="1:30" x14ac:dyDescent="0.25">
      <c r="A454" s="24">
        <v>2018</v>
      </c>
      <c r="B454" s="25" t="s">
        <v>36</v>
      </c>
      <c r="C454" s="25" t="s">
        <v>200</v>
      </c>
      <c r="D454" s="25" t="s">
        <v>201</v>
      </c>
      <c r="E454" s="25" t="s">
        <v>208</v>
      </c>
      <c r="F454" s="25" t="s">
        <v>203</v>
      </c>
      <c r="G454" s="25" t="s">
        <v>209</v>
      </c>
      <c r="H454" s="26">
        <v>17.39813414786564</v>
      </c>
      <c r="I454" s="26">
        <v>0</v>
      </c>
      <c r="J454" s="27">
        <v>17.39813414786564</v>
      </c>
      <c r="K454" s="26">
        <v>2.0651184611101243</v>
      </c>
      <c r="L454" s="26">
        <v>4.2273590171991096</v>
      </c>
      <c r="M454" s="27">
        <v>6.2924774783092339</v>
      </c>
      <c r="N454" s="26">
        <v>1.2092507298486241</v>
      </c>
      <c r="O454" s="26">
        <v>5.0620023011789383</v>
      </c>
      <c r="P454" s="26">
        <v>2.9189093067396383</v>
      </c>
      <c r="Q454" s="26">
        <v>1.5897511986101083</v>
      </c>
      <c r="R454" s="26">
        <v>8.2765354958648203</v>
      </c>
      <c r="S454" s="26">
        <v>5.9860801199198308</v>
      </c>
      <c r="T454" s="26">
        <v>13.875488037287125</v>
      </c>
      <c r="U454" s="26">
        <v>1.6353502550812915</v>
      </c>
      <c r="V454" s="27">
        <v>40.553367444530373</v>
      </c>
      <c r="W454" s="27">
        <v>65.52117798308808</v>
      </c>
      <c r="X454" s="26">
        <v>6.3848285553964601</v>
      </c>
      <c r="Y454" s="28">
        <v>71.907580472312802</v>
      </c>
      <c r="Z454" s="17" t="str">
        <f>SUBSTITUTE(SUBSTITUTE(SUBSTITUTE(SUBSTITUTE(IF(E454="","",VLOOKUP(E454,[1]Esquemas_NORM!$A$2:$H$126,8,FALSE)),"PROVINCIA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454" s="17" t="str">
        <f>IF($E454="","",INDEX([1]Esquemas_NORM!$H$2:$K$126,MATCH($E454,[1]Esquemas_NORM!$A$2:$A$126,0),MATCH(AA$4,[1]Esquemas_NORM!$H$1:$K$1,0)))</f>
        <v>A la fecha no ha conformado un EAT Región</v>
      </c>
      <c r="AB454" s="17" t="str">
        <f>IF($E454="","",INDEX([1]Esquemas_NORM!$H$2:$K$126,MATCH($E454,[1]Esquemas_NORM!$A$2:$A$126,0),MATCH(AB$4,[1]Esquemas_NORM!$H$1:$K$1,0)))</f>
        <v>A la fecha no ha conformado un EAT Área Metropolitana</v>
      </c>
      <c r="AC454" s="17" t="str">
        <f>IF($E454="","",INDEX([1]Esquemas_NORM!$H$2:$K$126,MATCH($E454,[1]Esquemas_NORM!$A$2:$A$126,0),MATCH(AC$4,[1]Esquemas_NORM!$H$1:$K$1,0)))</f>
        <v>MUNICIPIOS UNIDOS DEL SUR DE ANTIOQUIA - MUSA</v>
      </c>
      <c r="AD454" s="23"/>
    </row>
    <row r="455" spans="1:30" x14ac:dyDescent="0.25">
      <c r="A455" s="24">
        <v>2018</v>
      </c>
      <c r="B455" s="25" t="s">
        <v>36</v>
      </c>
      <c r="C455" s="25" t="s">
        <v>200</v>
      </c>
      <c r="D455" s="25" t="s">
        <v>210</v>
      </c>
      <c r="E455" s="25" t="s">
        <v>211</v>
      </c>
      <c r="F455" s="25" t="s">
        <v>203</v>
      </c>
      <c r="G455" s="25" t="s">
        <v>212</v>
      </c>
      <c r="H455" s="26">
        <v>12.956505553627871</v>
      </c>
      <c r="I455" s="26">
        <v>0</v>
      </c>
      <c r="J455" s="27">
        <v>12.956505553627871</v>
      </c>
      <c r="K455" s="26">
        <v>2.9236249554723126</v>
      </c>
      <c r="L455" s="26">
        <v>14.672111266857865</v>
      </c>
      <c r="M455" s="27">
        <v>17.595736222330178</v>
      </c>
      <c r="N455" s="26">
        <v>42.534729541102699</v>
      </c>
      <c r="O455" s="26">
        <v>12.899289552044639</v>
      </c>
      <c r="P455" s="26">
        <v>3.5582034463967087</v>
      </c>
      <c r="Q455" s="26">
        <v>1.8094601722280006</v>
      </c>
      <c r="R455" s="26">
        <v>13.275462291035744</v>
      </c>
      <c r="S455" s="26">
        <v>8.6434554715645522</v>
      </c>
      <c r="T455" s="26">
        <v>14.114120226555924</v>
      </c>
      <c r="U455" s="26">
        <v>2.5226064223851421</v>
      </c>
      <c r="V455" s="27">
        <v>99.357327123313411</v>
      </c>
      <c r="W455" s="27">
        <v>133.54432819359434</v>
      </c>
      <c r="X455" s="26">
        <v>13.013466276226737</v>
      </c>
      <c r="Y455" s="28">
        <v>146.56100243924695</v>
      </c>
      <c r="Z455" s="17" t="str">
        <f>SUBSTITUTE(SUBSTITUTE(SUBSTITUTE(SUBSTITUTE(IF(E455="","",VLOOKUP(E455,[1]Esquemas_NORM!$A$2:$H$126,8,FALSE)),"PROVINCIA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55" s="17" t="str">
        <f>IF($E455="","",INDEX([1]Esquemas_NORM!$H$2:$K$126,MATCH($E455,[1]Esquemas_NORM!$A$2:$A$126,0),MATCH(AA$4,[1]Esquemas_NORM!$H$1:$K$1,0)))</f>
        <v>A la fecha no ha conformado un EAT Región</v>
      </c>
      <c r="AB455" s="17" t="str">
        <f>IF($E455="","",INDEX([1]Esquemas_NORM!$H$2:$K$126,MATCH($E455,[1]Esquemas_NORM!$A$2:$A$126,0),MATCH(AB$4,[1]Esquemas_NORM!$H$1:$K$1,0)))</f>
        <v>A la fecha no ha conformado un EAT Área Metropolitana</v>
      </c>
      <c r="AC455" s="17" t="str">
        <f>IF($E455="","",INDEX([1]Esquemas_NORM!$H$2:$K$126,MATCH($E455,[1]Esquemas_NORM!$A$2:$A$126,0),MATCH(AC$4,[1]Esquemas_NORM!$H$1:$K$1,0)))</f>
        <v>A la fecha no ha conformado un EAT asociación - unión</v>
      </c>
      <c r="AD455" s="23"/>
    </row>
    <row r="456" spans="1:30" x14ac:dyDescent="0.25">
      <c r="A456" s="24">
        <v>2018</v>
      </c>
      <c r="B456" s="25" t="s">
        <v>36</v>
      </c>
      <c r="C456" s="25" t="s">
        <v>200</v>
      </c>
      <c r="D456" s="25" t="s">
        <v>205</v>
      </c>
      <c r="E456" s="25" t="s">
        <v>213</v>
      </c>
      <c r="F456" s="25" t="s">
        <v>203</v>
      </c>
      <c r="G456" s="25" t="s">
        <v>214</v>
      </c>
      <c r="H456" s="26">
        <v>12.047845267583257</v>
      </c>
      <c r="I456" s="26">
        <v>0</v>
      </c>
      <c r="J456" s="27">
        <v>12.047845267583257</v>
      </c>
      <c r="K456" s="26">
        <v>1.7979716091300539</v>
      </c>
      <c r="L456" s="26">
        <v>3.7809090686249318</v>
      </c>
      <c r="M456" s="27">
        <v>5.5788806777549862</v>
      </c>
      <c r="N456" s="26">
        <v>0.98182138218850423</v>
      </c>
      <c r="O456" s="26">
        <v>3.7955161461981364</v>
      </c>
      <c r="P456" s="26">
        <v>1.5742588940526201</v>
      </c>
      <c r="Q456" s="26">
        <v>0.69493749823651341</v>
      </c>
      <c r="R456" s="26">
        <v>6.6132630643996961</v>
      </c>
      <c r="S456" s="26">
        <v>6.9526449736556097</v>
      </c>
      <c r="T456" s="26">
        <v>8.4710693503660206</v>
      </c>
      <c r="U456" s="26">
        <v>1.5203241985275058</v>
      </c>
      <c r="V456" s="27">
        <v>30.603835507624602</v>
      </c>
      <c r="W456" s="27">
        <v>49.029856515165221</v>
      </c>
      <c r="X456" s="26">
        <v>4.7778021943655196</v>
      </c>
      <c r="Y456" s="28">
        <v>53.808836492838971</v>
      </c>
      <c r="Z456" s="17" t="str">
        <f>SUBSTITUTE(SUBSTITUTE(SUBSTITUTE(SUBSTITUTE(IF(E456="","",VLOOKUP(E456,[1]Esquemas_NORM!$A$2:$H$126,8,FALSE)),"PROVINCIA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56" s="17" t="str">
        <f>IF($E456="","",INDEX([1]Esquemas_NORM!$H$2:$K$126,MATCH($E456,[1]Esquemas_NORM!$A$2:$A$126,0),MATCH(AA$4,[1]Esquemas_NORM!$H$1:$K$1,0)))</f>
        <v>A la fecha no ha conformado un EAT Región</v>
      </c>
      <c r="AB456" s="17" t="str">
        <f>IF($E456="","",INDEX([1]Esquemas_NORM!$H$2:$K$126,MATCH($E456,[1]Esquemas_NORM!$A$2:$A$126,0),MATCH(AB$4,[1]Esquemas_NORM!$H$1:$K$1,0)))</f>
        <v>A la fecha no ha conformado un EAT Área Metropolitana</v>
      </c>
      <c r="AC456" s="17" t="str">
        <f>IF($E456="","",INDEX([1]Esquemas_NORM!$H$2:$K$126,MATCH($E456,[1]Esquemas_NORM!$A$2:$A$126,0),MATCH(AC$4,[1]Esquemas_NORM!$H$1:$K$1,0)))</f>
        <v>A la fecha no ha conformado un EAT asociación - unión</v>
      </c>
      <c r="AD456" s="23"/>
    </row>
    <row r="457" spans="1:30" x14ac:dyDescent="0.25">
      <c r="A457" s="24">
        <v>2018</v>
      </c>
      <c r="B457" s="25" t="s">
        <v>36</v>
      </c>
      <c r="C457" s="25" t="s">
        <v>200</v>
      </c>
      <c r="D457" s="25" t="s">
        <v>215</v>
      </c>
      <c r="E457" s="25" t="s">
        <v>216</v>
      </c>
      <c r="F457" s="25" t="s">
        <v>203</v>
      </c>
      <c r="G457" s="25" t="s">
        <v>217</v>
      </c>
      <c r="H457" s="26">
        <v>43.039734450299648</v>
      </c>
      <c r="I457" s="26">
        <v>0</v>
      </c>
      <c r="J457" s="27">
        <v>43.039734450299648</v>
      </c>
      <c r="K457" s="26">
        <v>24.902962909073583</v>
      </c>
      <c r="L457" s="26">
        <v>29.714514523185258</v>
      </c>
      <c r="M457" s="27">
        <v>54.617477432258838</v>
      </c>
      <c r="N457" s="26">
        <v>22.72122526865661</v>
      </c>
      <c r="O457" s="26">
        <v>129.62215498535636</v>
      </c>
      <c r="P457" s="26">
        <v>26.695432630686909</v>
      </c>
      <c r="Q457" s="26">
        <v>18.572953963607468</v>
      </c>
      <c r="R457" s="26">
        <v>85.645134965976595</v>
      </c>
      <c r="S457" s="26">
        <v>50.014286919614754</v>
      </c>
      <c r="T457" s="26">
        <v>60.10890176156007</v>
      </c>
      <c r="U457" s="26">
        <v>24.69061158795472</v>
      </c>
      <c r="V457" s="27">
        <v>418.07070208341344</v>
      </c>
      <c r="W457" s="27">
        <v>524.50741211133766</v>
      </c>
      <c r="X457" s="26">
        <v>51.111564313283189</v>
      </c>
      <c r="Y457" s="28">
        <v>575.6315760143184</v>
      </c>
      <c r="Z457" s="17" t="str">
        <f>SUBSTITUTE(SUBSTITUTE(SUBSTITUTE(SUBSTITUTE(IF(E457="","",VLOOKUP(E457,[1]Esquemas_NORM!$A$2:$H$126,8,FALSE)),"PROVINCIA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57" s="17" t="str">
        <f>IF($E457="","",INDEX([1]Esquemas_NORM!$H$2:$K$126,MATCH($E457,[1]Esquemas_NORM!$A$2:$A$126,0),MATCH(AA$4,[1]Esquemas_NORM!$H$1:$K$1,0)))</f>
        <v>A la fecha no ha conformado un EAT Región</v>
      </c>
      <c r="AB457" s="17" t="str">
        <f>IF($E457="","",INDEX([1]Esquemas_NORM!$H$2:$K$126,MATCH($E457,[1]Esquemas_NORM!$A$2:$A$126,0),MATCH(AB$4,[1]Esquemas_NORM!$H$1:$K$1,0)))</f>
        <v>A la fecha no ha conformado un EAT Área Metropolitana</v>
      </c>
      <c r="AC457" s="17" t="str">
        <f>IF($E457="","",INDEX([1]Esquemas_NORM!$H$2:$K$126,MATCH($E457,[1]Esquemas_NORM!$A$2:$A$126,0),MATCH(AC$4,[1]Esquemas_NORM!$H$1:$K$1,0)))</f>
        <v>MUNICIPIOS ASOCIADOS DEL ALTIPLANO DEL ORIENTE ANTIOQUEÑO - MASORA</v>
      </c>
      <c r="AD457" s="23"/>
    </row>
    <row r="458" spans="1:30" x14ac:dyDescent="0.25">
      <c r="A458" s="24">
        <v>2018</v>
      </c>
      <c r="B458" s="25" t="s">
        <v>36</v>
      </c>
      <c r="C458" s="25" t="s">
        <v>200</v>
      </c>
      <c r="D458" s="25" t="s">
        <v>205</v>
      </c>
      <c r="E458" s="25" t="s">
        <v>218</v>
      </c>
      <c r="F458" s="25" t="s">
        <v>203</v>
      </c>
      <c r="G458" s="25" t="s">
        <v>219</v>
      </c>
      <c r="H458" s="26">
        <v>277.20699227343357</v>
      </c>
      <c r="I458" s="26">
        <v>0</v>
      </c>
      <c r="J458" s="27">
        <v>277.20699227343357</v>
      </c>
      <c r="K458" s="26">
        <v>5.2766148965416217</v>
      </c>
      <c r="L458" s="26">
        <v>39.911159712549569</v>
      </c>
      <c r="M458" s="27">
        <v>45.187774609091193</v>
      </c>
      <c r="N458" s="26">
        <v>4.801396144004765</v>
      </c>
      <c r="O458" s="26">
        <v>32.152172435451206</v>
      </c>
      <c r="P458" s="26">
        <v>7.1229325253601932</v>
      </c>
      <c r="Q458" s="26">
        <v>4.6825079874537989</v>
      </c>
      <c r="R458" s="26">
        <v>27.128534478698327</v>
      </c>
      <c r="S458" s="26">
        <v>19.167619037775662</v>
      </c>
      <c r="T458" s="26">
        <v>25.433342300718984</v>
      </c>
      <c r="U458" s="26">
        <v>6.7553076843513749</v>
      </c>
      <c r="V458" s="27">
        <v>127.24381259381431</v>
      </c>
      <c r="W458" s="27">
        <v>463.98766366078667</v>
      </c>
      <c r="X458" s="26">
        <v>45.214109017680322</v>
      </c>
      <c r="Y458" s="28">
        <v>509.21291847746255</v>
      </c>
      <c r="Z458" s="17" t="str">
        <f>SUBSTITUTE(SUBSTITUTE(SUBSTITUTE(SUBSTITUTE(IF(E458="","",VLOOKUP(E458,[1]Esquemas_NORM!$A$2:$H$126,8,FALSE)),"PROVINCIA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58" s="17" t="str">
        <f>IF($E458="","",INDEX([1]Esquemas_NORM!$H$2:$K$126,MATCH($E458,[1]Esquemas_NORM!$A$2:$A$126,0),MATCH(AA$4,[1]Esquemas_NORM!$H$1:$K$1,0)))</f>
        <v>A la fecha no ha conformado un EAT Región</v>
      </c>
      <c r="AB458" s="17" t="str">
        <f>IF($E458="","",INDEX([1]Esquemas_NORM!$H$2:$K$126,MATCH($E458,[1]Esquemas_NORM!$A$2:$A$126,0),MATCH(AB$4,[1]Esquemas_NORM!$H$1:$K$1,0)))</f>
        <v>A la fecha no ha conformado un EAT Área Metropolitana</v>
      </c>
      <c r="AC458" s="17" t="str">
        <f>IF($E458="","",INDEX([1]Esquemas_NORM!$H$2:$K$126,MATCH($E458,[1]Esquemas_NORM!$A$2:$A$126,0),MATCH(AC$4,[1]Esquemas_NORM!$H$1:$K$1,0)))</f>
        <v>A la fecha no ha conformado un EAT asociación - unión</v>
      </c>
      <c r="AD458" s="23"/>
    </row>
    <row r="459" spans="1:30" x14ac:dyDescent="0.25">
      <c r="A459" s="24">
        <v>2018</v>
      </c>
      <c r="B459" s="25" t="s">
        <v>36</v>
      </c>
      <c r="C459" s="25" t="s">
        <v>200</v>
      </c>
      <c r="D459" s="25" t="s">
        <v>215</v>
      </c>
      <c r="E459" s="25" t="s">
        <v>220</v>
      </c>
      <c r="F459" s="25" t="s">
        <v>203</v>
      </c>
      <c r="G459" s="25" t="s">
        <v>221</v>
      </c>
      <c r="H459" s="26">
        <v>43.144818330447691</v>
      </c>
      <c r="I459" s="26">
        <v>0.25570225078952896</v>
      </c>
      <c r="J459" s="27">
        <v>43.400520581237217</v>
      </c>
      <c r="K459" s="26">
        <v>14.821137499018263</v>
      </c>
      <c r="L459" s="26">
        <v>33.383536083669796</v>
      </c>
      <c r="M459" s="27">
        <v>48.204673582688059</v>
      </c>
      <c r="N459" s="26">
        <v>20.707499798902997</v>
      </c>
      <c r="O459" s="26">
        <v>82.591178568934922</v>
      </c>
      <c r="P459" s="26">
        <v>18.891307166778574</v>
      </c>
      <c r="Q459" s="26">
        <v>11.118618836571084</v>
      </c>
      <c r="R459" s="26">
        <v>66.335154734249045</v>
      </c>
      <c r="S459" s="26">
        <v>42.836621011045104</v>
      </c>
      <c r="T459" s="26">
        <v>49.218288239102307</v>
      </c>
      <c r="U459" s="26">
        <v>12.418207836616409</v>
      </c>
      <c r="V459" s="27">
        <v>304.11687619220049</v>
      </c>
      <c r="W459" s="27">
        <v>402.07047999829496</v>
      </c>
      <c r="X459" s="26">
        <v>39.180478144595668</v>
      </c>
      <c r="Y459" s="28">
        <v>441.26061658233402</v>
      </c>
      <c r="Z459" s="17" t="str">
        <f>SUBSTITUTE(SUBSTITUTE(SUBSTITUTE(SUBSTITUTE(IF(E459="","",VLOOKUP(E459,[1]Esquemas_NORM!$A$2:$H$126,8,FALSE)),"PROVINCIA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59" s="17" t="str">
        <f>IF($E459="","",INDEX([1]Esquemas_NORM!$H$2:$K$126,MATCH($E459,[1]Esquemas_NORM!$A$2:$A$126,0),MATCH(AA$4,[1]Esquemas_NORM!$H$1:$K$1,0)))</f>
        <v>A la fecha no ha conformado un EAT Región</v>
      </c>
      <c r="AB459" s="17" t="str">
        <f>IF($E459="","",INDEX([1]Esquemas_NORM!$H$2:$K$126,MATCH($E459,[1]Esquemas_NORM!$A$2:$A$126,0),MATCH(AB$4,[1]Esquemas_NORM!$H$1:$K$1,0)))</f>
        <v>A la fecha no ha conformado un EAT Área Metropolitana</v>
      </c>
      <c r="AC459" s="17" t="str">
        <f>IF($E459="","",INDEX([1]Esquemas_NORM!$H$2:$K$126,MATCH($E459,[1]Esquemas_NORM!$A$2:$A$126,0),MATCH(AC$4,[1]Esquemas_NORM!$H$1:$K$1,0)))</f>
        <v>MUNICIPIOS ASOCIADOS DEL ALTIPLANO DEL ORIENTE ANTIOQUEÑO - MASORA</v>
      </c>
      <c r="AD459" s="23"/>
    </row>
    <row r="460" spans="1:30" x14ac:dyDescent="0.25">
      <c r="A460" s="24">
        <v>2018</v>
      </c>
      <c r="B460" s="25" t="s">
        <v>36</v>
      </c>
      <c r="C460" s="25" t="s">
        <v>200</v>
      </c>
      <c r="D460" s="25" t="s">
        <v>215</v>
      </c>
      <c r="E460" s="25" t="s">
        <v>222</v>
      </c>
      <c r="F460" s="25" t="s">
        <v>203</v>
      </c>
      <c r="G460" s="25" t="s">
        <v>223</v>
      </c>
      <c r="H460" s="26">
        <v>15.106234458813759</v>
      </c>
      <c r="I460" s="26">
        <v>0</v>
      </c>
      <c r="J460" s="27">
        <v>15.106234458813759</v>
      </c>
      <c r="K460" s="26">
        <v>20.403633823220268</v>
      </c>
      <c r="L460" s="26">
        <v>16.53075504787617</v>
      </c>
      <c r="M460" s="27">
        <v>36.934388871096438</v>
      </c>
      <c r="N460" s="26">
        <v>8.3766694896630423</v>
      </c>
      <c r="O460" s="26">
        <v>66.283266929234287</v>
      </c>
      <c r="P460" s="26">
        <v>11.879898891295447</v>
      </c>
      <c r="Q460" s="26">
        <v>10.739405252924701</v>
      </c>
      <c r="R460" s="26">
        <v>43.212649551438581</v>
      </c>
      <c r="S460" s="26">
        <v>28.094336089314805</v>
      </c>
      <c r="T460" s="26">
        <v>42.779114727225412</v>
      </c>
      <c r="U460" s="26">
        <v>8.9094952097729578</v>
      </c>
      <c r="V460" s="27">
        <v>220.27483614086924</v>
      </c>
      <c r="W460" s="27">
        <v>275.91224403083277</v>
      </c>
      <c r="X460" s="26">
        <v>26.886762855909254</v>
      </c>
      <c r="Y460" s="28">
        <v>302.80563478367355</v>
      </c>
      <c r="Z460" s="17" t="str">
        <f>SUBSTITUTE(SUBSTITUTE(SUBSTITUTE(SUBSTITUTE(IF(E460="","",VLOOKUP(E460,[1]Esquemas_NORM!$A$2:$H$126,8,FALSE)),"PROVINCIA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60" s="17" t="str">
        <f>IF($E460="","",INDEX([1]Esquemas_NORM!$H$2:$K$126,MATCH($E460,[1]Esquemas_NORM!$A$2:$A$126,0),MATCH(AA$4,[1]Esquemas_NORM!$H$1:$K$1,0)))</f>
        <v>Región de Planeación y Gestión Aeroportuaria de Oriente</v>
      </c>
      <c r="AB460" s="17" t="str">
        <f>IF($E460="","",INDEX([1]Esquemas_NORM!$H$2:$K$126,MATCH($E460,[1]Esquemas_NORM!$A$2:$A$126,0),MATCH(AB$4,[1]Esquemas_NORM!$H$1:$K$1,0)))</f>
        <v>A la fecha no ha conformado un EAT Área Metropolitana</v>
      </c>
      <c r="AC460" s="17" t="str">
        <f>IF($E460="","",INDEX([1]Esquemas_NORM!$H$2:$K$126,MATCH($E460,[1]Esquemas_NORM!$A$2:$A$126,0),MATCH(AC$4,[1]Esquemas_NORM!$H$1:$K$1,0)))</f>
        <v>MUNICIPIOS ASOCIADOS DEL ALTIPLANO DEL ORIENTE ANTIOQUEÑO - MASORA</v>
      </c>
      <c r="AD460" s="23"/>
    </row>
    <row r="461" spans="1:30" x14ac:dyDescent="0.25">
      <c r="A461" s="24">
        <v>2018</v>
      </c>
      <c r="B461" s="25" t="s">
        <v>36</v>
      </c>
      <c r="C461" s="25" t="s">
        <v>200</v>
      </c>
      <c r="D461" s="25" t="s">
        <v>205</v>
      </c>
      <c r="E461" s="25" t="s">
        <v>224</v>
      </c>
      <c r="F461" s="25" t="s">
        <v>203</v>
      </c>
      <c r="G461" s="25" t="s">
        <v>225</v>
      </c>
      <c r="H461" s="26">
        <v>10.792395879422861</v>
      </c>
      <c r="I461" s="26">
        <v>0</v>
      </c>
      <c r="J461" s="27">
        <v>10.792395879422861</v>
      </c>
      <c r="K461" s="26">
        <v>1.0808326659503804</v>
      </c>
      <c r="L461" s="26">
        <v>5.6732186728830252</v>
      </c>
      <c r="M461" s="27">
        <v>6.7540513388334054</v>
      </c>
      <c r="N461" s="26">
        <v>5.5394521002378241</v>
      </c>
      <c r="O461" s="26">
        <v>6.7517249729958726</v>
      </c>
      <c r="P461" s="26">
        <v>2.7657697385365041</v>
      </c>
      <c r="Q461" s="26">
        <v>1.6470825668170477</v>
      </c>
      <c r="R461" s="26">
        <v>14.420215686977993</v>
      </c>
      <c r="S461" s="26">
        <v>7.8170570609134611</v>
      </c>
      <c r="T461" s="26">
        <v>11.224104141438065</v>
      </c>
      <c r="U461" s="26">
        <v>2.3516179452739618</v>
      </c>
      <c r="V461" s="27">
        <v>52.51702421319073</v>
      </c>
      <c r="W461" s="27">
        <v>71.229371269739445</v>
      </c>
      <c r="X461" s="26">
        <v>6.9410736751918023</v>
      </c>
      <c r="Y461" s="28">
        <v>78.172155999592633</v>
      </c>
      <c r="Z461" s="17" t="str">
        <f>SUBSTITUTE(SUBSTITUTE(SUBSTITUTE(SUBSTITUTE(IF(E461="","",VLOOKUP(E461,[1]Esquemas_NORM!$A$2:$H$126,8,FALSE)),"PROVINCIA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61" s="17" t="str">
        <f>IF($E461="","",INDEX([1]Esquemas_NORM!$H$2:$K$126,MATCH($E461,[1]Esquemas_NORM!$A$2:$A$126,0),MATCH(AA$4,[1]Esquemas_NORM!$H$1:$K$1,0)))</f>
        <v>A la fecha no ha conformado un EAT Región</v>
      </c>
      <c r="AB461" s="17" t="str">
        <f>IF($E461="","",INDEX([1]Esquemas_NORM!$H$2:$K$126,MATCH($E461,[1]Esquemas_NORM!$A$2:$A$126,0),MATCH(AB$4,[1]Esquemas_NORM!$H$1:$K$1,0)))</f>
        <v>A la fecha no ha conformado un EAT Área Metropolitana</v>
      </c>
      <c r="AC461" s="17" t="str">
        <f>IF($E461="","",INDEX([1]Esquemas_NORM!$H$2:$K$126,MATCH($E461,[1]Esquemas_NORM!$A$2:$A$126,0),MATCH(AC$4,[1]Esquemas_NORM!$H$1:$K$1,0)))</f>
        <v>A la fecha no ha conformado un EAT asociación - unión</v>
      </c>
      <c r="AD461" s="23"/>
    </row>
    <row r="462" spans="1:30" x14ac:dyDescent="0.25">
      <c r="A462" s="24">
        <v>2018</v>
      </c>
      <c r="B462" s="25" t="s">
        <v>36</v>
      </c>
      <c r="C462" s="25" t="s">
        <v>200</v>
      </c>
      <c r="D462" s="25" t="s">
        <v>215</v>
      </c>
      <c r="E462" s="25" t="s">
        <v>226</v>
      </c>
      <c r="F462" s="25" t="s">
        <v>203</v>
      </c>
      <c r="G462" s="25" t="s">
        <v>227</v>
      </c>
      <c r="H462" s="26">
        <v>67.133756662825732</v>
      </c>
      <c r="I462" s="26">
        <v>0</v>
      </c>
      <c r="J462" s="27">
        <v>67.133756662825732</v>
      </c>
      <c r="K462" s="26">
        <v>532.12147119025985</v>
      </c>
      <c r="L462" s="26">
        <v>177.95226418219067</v>
      </c>
      <c r="M462" s="27">
        <v>710.07373537245053</v>
      </c>
      <c r="N462" s="26">
        <v>32.540113154969788</v>
      </c>
      <c r="O462" s="26">
        <v>134.98856841807086</v>
      </c>
      <c r="P462" s="26">
        <v>24.872956981688766</v>
      </c>
      <c r="Q462" s="26">
        <v>12.612146695965283</v>
      </c>
      <c r="R462" s="26">
        <v>92.221188580522636</v>
      </c>
      <c r="S462" s="26">
        <v>79.267256528211476</v>
      </c>
      <c r="T462" s="26">
        <v>56.266010428489089</v>
      </c>
      <c r="U462" s="26">
        <v>18.616732370142145</v>
      </c>
      <c r="V462" s="27">
        <v>451.38497315806001</v>
      </c>
      <c r="W462" s="27">
        <v>1187.5636181927223</v>
      </c>
      <c r="X462" s="26">
        <v>115.72426403478157</v>
      </c>
      <c r="Y462" s="28">
        <v>1303.3164095923864</v>
      </c>
      <c r="Z462" s="17" t="str">
        <f>SUBSTITUTE(SUBSTITUTE(SUBSTITUTE(SUBSTITUTE(IF(E462="","",VLOOKUP(E462,[1]Esquemas_NORM!$A$2:$H$126,8,FALSE)),"PROVINCIA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62" s="17" t="str">
        <f>IF($E462="","",INDEX([1]Esquemas_NORM!$H$2:$K$126,MATCH($E462,[1]Esquemas_NORM!$A$2:$A$126,0),MATCH(AA$4,[1]Esquemas_NORM!$H$1:$K$1,0)))</f>
        <v>A la fecha no ha conformado un EAT Región</v>
      </c>
      <c r="AB462" s="17" t="str">
        <f>IF($E462="","",INDEX([1]Esquemas_NORM!$H$2:$K$126,MATCH($E462,[1]Esquemas_NORM!$A$2:$A$126,0),MATCH(AB$4,[1]Esquemas_NORM!$H$1:$K$1,0)))</f>
        <v>A la fecha no ha conformado un EAT Área Metropolitana</v>
      </c>
      <c r="AC462" s="17" t="str">
        <f>IF($E462="","",INDEX([1]Esquemas_NORM!$H$2:$K$126,MATCH($E462,[1]Esquemas_NORM!$A$2:$A$126,0),MATCH(AC$4,[1]Esquemas_NORM!$H$1:$K$1,0)))</f>
        <v>MUNICIPIOS ASOCIADOS DEL ALTIPLANO DEL ORIENTE ANTIOQUEÑO - MASORA</v>
      </c>
      <c r="AD462" s="23"/>
    </row>
    <row r="463" spans="1:30" x14ac:dyDescent="0.25">
      <c r="A463" s="24">
        <v>2018</v>
      </c>
      <c r="B463" s="25" t="s">
        <v>36</v>
      </c>
      <c r="C463" s="25" t="s">
        <v>200</v>
      </c>
      <c r="D463" s="25" t="s">
        <v>205</v>
      </c>
      <c r="E463" s="25" t="s">
        <v>228</v>
      </c>
      <c r="F463" s="25" t="s">
        <v>203</v>
      </c>
      <c r="G463" s="25" t="s">
        <v>229</v>
      </c>
      <c r="H463" s="26">
        <v>3.3749255368333726</v>
      </c>
      <c r="I463" s="26">
        <v>0</v>
      </c>
      <c r="J463" s="27">
        <v>3.3749255368333726</v>
      </c>
      <c r="K463" s="26">
        <v>6.1530243605414672</v>
      </c>
      <c r="L463" s="26">
        <v>21.982787786916351</v>
      </c>
      <c r="M463" s="27">
        <v>28.13581214745782</v>
      </c>
      <c r="N463" s="26">
        <v>10.394097906776119</v>
      </c>
      <c r="O463" s="26">
        <v>99.829019636929104</v>
      </c>
      <c r="P463" s="26">
        <v>11.148016375757699</v>
      </c>
      <c r="Q463" s="26">
        <v>4.6339461690466317</v>
      </c>
      <c r="R463" s="26">
        <v>52.972536901051235</v>
      </c>
      <c r="S463" s="26">
        <v>37.616509247471164</v>
      </c>
      <c r="T463" s="26">
        <v>34.296589058427315</v>
      </c>
      <c r="U463" s="26">
        <v>11.319656607742345</v>
      </c>
      <c r="V463" s="27">
        <v>262.21037190320163</v>
      </c>
      <c r="W463" s="27">
        <v>299.43490635491673</v>
      </c>
      <c r="X463" s="26">
        <v>29.178970821773714</v>
      </c>
      <c r="Y463" s="28">
        <v>328.62107012930477</v>
      </c>
      <c r="Z463" s="17" t="str">
        <f>SUBSTITUTE(SUBSTITUTE(SUBSTITUTE(SUBSTITUTE(IF(E463="","",VLOOKUP(E463,[1]Esquemas_NORM!$A$2:$H$126,8,FALSE)),"PROVINCIA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63" s="17" t="str">
        <f>IF($E463="","",INDEX([1]Esquemas_NORM!$H$2:$K$126,MATCH($E463,[1]Esquemas_NORM!$A$2:$A$126,0),MATCH(AA$4,[1]Esquemas_NORM!$H$1:$K$1,0)))</f>
        <v>A la fecha no ha conformado un EAT Región</v>
      </c>
      <c r="AB463" s="17" t="str">
        <f>IF($E463="","",INDEX([1]Esquemas_NORM!$H$2:$K$126,MATCH($E463,[1]Esquemas_NORM!$A$2:$A$126,0),MATCH(AB$4,[1]Esquemas_NORM!$H$1:$K$1,0)))</f>
        <v>A la fecha no ha conformado un EAT Área Metropolitana</v>
      </c>
      <c r="AC463" s="17" t="str">
        <f>IF($E463="","",INDEX([1]Esquemas_NORM!$H$2:$K$126,MATCH($E463,[1]Esquemas_NORM!$A$2:$A$126,0),MATCH(AC$4,[1]Esquemas_NORM!$H$1:$K$1,0)))</f>
        <v>A la fecha no ha conformado un EAT asociación - unión</v>
      </c>
      <c r="AD463" s="23"/>
    </row>
    <row r="464" spans="1:30" x14ac:dyDescent="0.25">
      <c r="A464" s="24">
        <v>2018</v>
      </c>
      <c r="B464" s="25" t="s">
        <v>36</v>
      </c>
      <c r="C464" s="25" t="s">
        <v>200</v>
      </c>
      <c r="D464" s="25" t="s">
        <v>215</v>
      </c>
      <c r="E464" s="25" t="s">
        <v>230</v>
      </c>
      <c r="F464" s="25" t="s">
        <v>203</v>
      </c>
      <c r="G464" s="25" t="s">
        <v>231</v>
      </c>
      <c r="H464" s="26">
        <v>45.75861105100013</v>
      </c>
      <c r="I464" s="26">
        <v>0</v>
      </c>
      <c r="J464" s="27">
        <v>45.75861105100013</v>
      </c>
      <c r="K464" s="26">
        <v>42.374420327293322</v>
      </c>
      <c r="L464" s="26">
        <v>49.394717845542765</v>
      </c>
      <c r="M464" s="27">
        <v>91.76913817283608</v>
      </c>
      <c r="N464" s="26">
        <v>33.589973971939195</v>
      </c>
      <c r="O464" s="26">
        <v>147.55858730060652</v>
      </c>
      <c r="P464" s="26">
        <v>35.015734846719226</v>
      </c>
      <c r="Q464" s="26">
        <v>39.937156055925527</v>
      </c>
      <c r="R464" s="26">
        <v>118.84659257629967</v>
      </c>
      <c r="S464" s="26">
        <v>71.667307962462459</v>
      </c>
      <c r="T464" s="26">
        <v>83.43948982133233</v>
      </c>
      <c r="U464" s="26">
        <v>26.523199605525196</v>
      </c>
      <c r="V464" s="27">
        <v>556.57804214081011</v>
      </c>
      <c r="W464" s="27">
        <v>702.04437951525324</v>
      </c>
      <c r="X464" s="26">
        <v>68.411972120531985</v>
      </c>
      <c r="Y464" s="28">
        <v>770.47321597540576</v>
      </c>
      <c r="Z464" s="17" t="str">
        <f>SUBSTITUTE(SUBSTITUTE(SUBSTITUTE(SUBSTITUTE(IF(E464="","",VLOOKUP(E464,[1]Esquemas_NORM!$A$2:$H$126,8,FALSE)),"PROVINCIA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64" s="17" t="str">
        <f>IF($E464="","",INDEX([1]Esquemas_NORM!$H$2:$K$126,MATCH($E464,[1]Esquemas_NORM!$A$2:$A$126,0),MATCH(AA$4,[1]Esquemas_NORM!$H$1:$K$1,0)))</f>
        <v>Región de Planeación y Gestión Aeroportuaria de Oriente</v>
      </c>
      <c r="AB464" s="17" t="str">
        <f>IF($E464="","",INDEX([1]Esquemas_NORM!$H$2:$K$126,MATCH($E464,[1]Esquemas_NORM!$A$2:$A$126,0),MATCH(AB$4,[1]Esquemas_NORM!$H$1:$K$1,0)))</f>
        <v>A la fecha no ha conformado un EAT Área Metropolitana</v>
      </c>
      <c r="AC464" s="17" t="str">
        <f>IF($E464="","",INDEX([1]Esquemas_NORM!$H$2:$K$126,MATCH($E464,[1]Esquemas_NORM!$A$2:$A$126,0),MATCH(AC$4,[1]Esquemas_NORM!$H$1:$K$1,0)))</f>
        <v>MUNICIPIOS ASOCIADOS DEL ALTIPLANO DEL ORIENTE ANTIOQUEÑO - MASORA</v>
      </c>
      <c r="AD464" s="23"/>
    </row>
    <row r="465" spans="1:30" x14ac:dyDescent="0.25">
      <c r="A465" s="24">
        <v>2018</v>
      </c>
      <c r="B465" s="25" t="s">
        <v>36</v>
      </c>
      <c r="C465" s="25" t="s">
        <v>200</v>
      </c>
      <c r="D465" s="25" t="s">
        <v>215</v>
      </c>
      <c r="E465" s="25" t="s">
        <v>232</v>
      </c>
      <c r="F465" s="25" t="s">
        <v>203</v>
      </c>
      <c r="G465" s="25" t="s">
        <v>233</v>
      </c>
      <c r="H465" s="26">
        <v>22.567873969486232</v>
      </c>
      <c r="I465" s="26">
        <v>2.0361220364062474E-2</v>
      </c>
      <c r="J465" s="27">
        <v>22.588235189850295</v>
      </c>
      <c r="K465" s="26">
        <v>28.529173390989868</v>
      </c>
      <c r="L465" s="26">
        <v>11.122096380484932</v>
      </c>
      <c r="M465" s="27">
        <v>39.651269771474801</v>
      </c>
      <c r="N465" s="26">
        <v>8.6202914519551186</v>
      </c>
      <c r="O465" s="26">
        <v>48.425000331454434</v>
      </c>
      <c r="P465" s="26">
        <v>9.8860074222471095</v>
      </c>
      <c r="Q465" s="26">
        <v>8.5739956172070269</v>
      </c>
      <c r="R465" s="26">
        <v>25.371854751704465</v>
      </c>
      <c r="S465" s="26">
        <v>20.433705055112853</v>
      </c>
      <c r="T465" s="26">
        <v>25.299368294144521</v>
      </c>
      <c r="U465" s="26">
        <v>7.990008138500305</v>
      </c>
      <c r="V465" s="27">
        <v>154.60023106232583</v>
      </c>
      <c r="W465" s="27">
        <v>219.09981964917995</v>
      </c>
      <c r="X465" s="26">
        <v>21.350574395030311</v>
      </c>
      <c r="Y465" s="28">
        <v>240.45565720687804</v>
      </c>
      <c r="Z465" s="17" t="str">
        <f>SUBSTITUTE(SUBSTITUTE(SUBSTITUTE(SUBSTITUTE(IF(E465="","",VLOOKUP(E465,[1]Esquemas_NORM!$A$2:$H$126,8,FALSE)),"PROVINCIA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465" s="17" t="str">
        <f>IF($E465="","",INDEX([1]Esquemas_NORM!$H$2:$K$126,MATCH($E465,[1]Esquemas_NORM!$A$2:$A$126,0),MATCH(AA$4,[1]Esquemas_NORM!$H$1:$K$1,0)))</f>
        <v>Región de Planeación y Gestión Aeroportuaria de Oriente</v>
      </c>
      <c r="AB465" s="17" t="str">
        <f>IF($E465="","",INDEX([1]Esquemas_NORM!$H$2:$K$126,MATCH($E465,[1]Esquemas_NORM!$A$2:$A$126,0),MATCH(AB$4,[1]Esquemas_NORM!$H$1:$K$1,0)))</f>
        <v>A la fecha no ha conformado un EAT Área Metropolitana</v>
      </c>
      <c r="AC465" s="17" t="str">
        <f>IF($E465="","",INDEX([1]Esquemas_NORM!$H$2:$K$126,MATCH($E465,[1]Esquemas_NORM!$A$2:$A$126,0),MATCH(AC$4,[1]Esquemas_NORM!$H$1:$K$1,0)))</f>
        <v>MUNICIPIOS ASOCIADOS DEL ALTIPLANO DEL ORIENTE ANTIOQUEÑO - MASORA</v>
      </c>
      <c r="AD465" s="23"/>
    </row>
    <row r="466" spans="1:30" x14ac:dyDescent="0.25">
      <c r="A466" s="24">
        <v>2018</v>
      </c>
      <c r="B466" s="25" t="s">
        <v>36</v>
      </c>
      <c r="C466" s="25" t="s">
        <v>200</v>
      </c>
      <c r="D466" s="25" t="s">
        <v>215</v>
      </c>
      <c r="E466" s="25" t="s">
        <v>234</v>
      </c>
      <c r="F466" s="25" t="s">
        <v>203</v>
      </c>
      <c r="G466" s="25" t="s">
        <v>235</v>
      </c>
      <c r="H466" s="26">
        <v>165.39024504391759</v>
      </c>
      <c r="I466" s="26">
        <v>0</v>
      </c>
      <c r="J466" s="27">
        <v>165.39024504391759</v>
      </c>
      <c r="K466" s="26">
        <v>208.95914964778456</v>
      </c>
      <c r="L466" s="26">
        <v>97.643793285623602</v>
      </c>
      <c r="M466" s="27">
        <v>306.60294293340814</v>
      </c>
      <c r="N466" s="26">
        <v>26.57178746317749</v>
      </c>
      <c r="O466" s="26">
        <v>124.12639026023687</v>
      </c>
      <c r="P466" s="26">
        <v>25.005064506363066</v>
      </c>
      <c r="Q466" s="26">
        <v>22.112563093261674</v>
      </c>
      <c r="R466" s="26">
        <v>81.154759518470854</v>
      </c>
      <c r="S466" s="26">
        <v>73.484233772155292</v>
      </c>
      <c r="T466" s="26">
        <v>95.019456572332942</v>
      </c>
      <c r="U466" s="26">
        <v>21.404751122543235</v>
      </c>
      <c r="V466" s="27">
        <v>468.87900630854142</v>
      </c>
      <c r="W466" s="27">
        <v>937.38273569430294</v>
      </c>
      <c r="X466" s="26">
        <v>91.344939795505695</v>
      </c>
      <c r="Y466" s="28">
        <v>1028.7501930702786</v>
      </c>
      <c r="Z466" s="17" t="str">
        <f>SUBSTITUTE(SUBSTITUTE(SUBSTITUTE(SUBSTITUTE(IF(E466="","",VLOOKUP(E466,[1]Esquemas_NORM!$A$2:$H$126,8,FALSE)),"PROVINCIA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66" s="17" t="str">
        <f>IF($E466="","",INDEX([1]Esquemas_NORM!$H$2:$K$126,MATCH($E466,[1]Esquemas_NORM!$A$2:$A$126,0),MATCH(AA$4,[1]Esquemas_NORM!$H$1:$K$1,0)))</f>
        <v>A la fecha no ha conformado un EAT Región</v>
      </c>
      <c r="AB466" s="17" t="str">
        <f>IF($E466="","",INDEX([1]Esquemas_NORM!$H$2:$K$126,MATCH($E466,[1]Esquemas_NORM!$A$2:$A$126,0),MATCH(AB$4,[1]Esquemas_NORM!$H$1:$K$1,0)))</f>
        <v>A la fecha no ha conformado un EAT Área Metropolitana</v>
      </c>
      <c r="AC466" s="17" t="str">
        <f>IF($E466="","",INDEX([1]Esquemas_NORM!$H$2:$K$126,MATCH($E466,[1]Esquemas_NORM!$A$2:$A$126,0),MATCH(AC$4,[1]Esquemas_NORM!$H$1:$K$1,0)))</f>
        <v>MUNICIPIOS ASOCIADOS DEL ALTIPLANO DEL ORIENTE ANTIOQUEÑO - MASORA</v>
      </c>
      <c r="AD466" s="23"/>
    </row>
    <row r="467" spans="1:30" x14ac:dyDescent="0.25">
      <c r="A467" s="24">
        <v>2018</v>
      </c>
      <c r="B467" s="25" t="s">
        <v>36</v>
      </c>
      <c r="C467" s="25" t="s">
        <v>200</v>
      </c>
      <c r="D467" s="25" t="s">
        <v>201</v>
      </c>
      <c r="E467" s="25" t="s">
        <v>236</v>
      </c>
      <c r="F467" s="25" t="s">
        <v>203</v>
      </c>
      <c r="G467" s="25" t="s">
        <v>237</v>
      </c>
      <c r="H467" s="26">
        <v>14.686426594586694</v>
      </c>
      <c r="I467" s="26">
        <v>0</v>
      </c>
      <c r="J467" s="27">
        <v>14.686426594586694</v>
      </c>
      <c r="K467" s="26">
        <v>6.4023748199574975</v>
      </c>
      <c r="L467" s="26">
        <v>6.1292480755612111</v>
      </c>
      <c r="M467" s="27">
        <v>12.531622895518709</v>
      </c>
      <c r="N467" s="26">
        <v>1.1310432432044033</v>
      </c>
      <c r="O467" s="26">
        <v>9.3602614930664512</v>
      </c>
      <c r="P467" s="26">
        <v>3.3339949596735647</v>
      </c>
      <c r="Q467" s="26">
        <v>1.7024208061197554</v>
      </c>
      <c r="R467" s="26">
        <v>9.3152049114748383</v>
      </c>
      <c r="S467" s="26">
        <v>15.897074059904961</v>
      </c>
      <c r="T467" s="26">
        <v>16.958148315276613</v>
      </c>
      <c r="U467" s="26">
        <v>2.3035853528608961</v>
      </c>
      <c r="V467" s="27">
        <v>60.001733141581482</v>
      </c>
      <c r="W467" s="27">
        <v>88.312992273790954</v>
      </c>
      <c r="X467" s="26">
        <v>8.6058177254941128</v>
      </c>
      <c r="Y467" s="28">
        <v>96.920931432542119</v>
      </c>
      <c r="Z467" s="17" t="str">
        <f>SUBSTITUTE(SUBSTITUTE(SUBSTITUTE(SUBSTITUTE(IF(E467="","",VLOOKUP(E467,[1]Esquemas_NORM!$A$2:$H$126,8,FALSE)),"PROVINCIA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467" s="17" t="str">
        <f>IF($E467="","",INDEX([1]Esquemas_NORM!$H$2:$K$126,MATCH($E467,[1]Esquemas_NORM!$A$2:$A$126,0),MATCH(AA$4,[1]Esquemas_NORM!$H$1:$K$1,0)))</f>
        <v>A la fecha no ha conformado un EAT Región</v>
      </c>
      <c r="AB467" s="17" t="str">
        <f>IF($E467="","",INDEX([1]Esquemas_NORM!$H$2:$K$126,MATCH($E467,[1]Esquemas_NORM!$A$2:$A$126,0),MATCH(AB$4,[1]Esquemas_NORM!$H$1:$K$1,0)))</f>
        <v>A la fecha no ha conformado un EAT Área Metropolitana</v>
      </c>
      <c r="AC467" s="17" t="str">
        <f>IF($E467="","",INDEX([1]Esquemas_NORM!$H$2:$K$126,MATCH($E467,[1]Esquemas_NORM!$A$2:$A$126,0),MATCH(AC$4,[1]Esquemas_NORM!$H$1:$K$1,0)))</f>
        <v>MUNICIPIOS UNIDOS DEL SUR DE ANTIOQUIA - MUSA</v>
      </c>
      <c r="AD467" s="23"/>
    </row>
    <row r="468" spans="1:30" x14ac:dyDescent="0.25">
      <c r="A468" s="24">
        <v>2018</v>
      </c>
      <c r="B468" s="25" t="s">
        <v>36</v>
      </c>
      <c r="C468" s="25" t="s">
        <v>200</v>
      </c>
      <c r="D468" s="25" t="s">
        <v>215</v>
      </c>
      <c r="E468" s="25" t="s">
        <v>238</v>
      </c>
      <c r="F468" s="25" t="s">
        <v>203</v>
      </c>
      <c r="G468" s="25" t="s">
        <v>239</v>
      </c>
      <c r="H468" s="26">
        <v>47.853367187707214</v>
      </c>
      <c r="I468" s="26">
        <v>2.4877034562871169E-2</v>
      </c>
      <c r="J468" s="27">
        <v>47.878244222270084</v>
      </c>
      <c r="K468" s="26">
        <v>1337.9435885645673</v>
      </c>
      <c r="L468" s="26">
        <v>422.32961219929075</v>
      </c>
      <c r="M468" s="27">
        <v>1760.2732007638581</v>
      </c>
      <c r="N468" s="26">
        <v>80.46252629966088</v>
      </c>
      <c r="O468" s="26">
        <v>395.76265456732625</v>
      </c>
      <c r="P468" s="26">
        <v>54.486455514368032</v>
      </c>
      <c r="Q468" s="26">
        <v>64.82396721147424</v>
      </c>
      <c r="R468" s="26">
        <v>214.59975321441587</v>
      </c>
      <c r="S468" s="26">
        <v>245.8745668610315</v>
      </c>
      <c r="T468" s="26">
        <v>314.97444977046149</v>
      </c>
      <c r="U468" s="26">
        <v>43.155836695509748</v>
      </c>
      <c r="V468" s="27">
        <v>1414.140210134248</v>
      </c>
      <c r="W468" s="27">
        <v>3123.3089625680836</v>
      </c>
      <c r="X468" s="26">
        <v>304.35643658102612</v>
      </c>
      <c r="Y468" s="28">
        <v>3427.7404265186342</v>
      </c>
      <c r="Z468" s="17" t="str">
        <f>SUBSTITUTE(SUBSTITUTE(SUBSTITUTE(SUBSTITUTE(IF(E468="","",VLOOKUP(E468,[1]Esquemas_NORM!$A$2:$H$126,8,FALSE)),"PROVINCIA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68" s="17" t="str">
        <f>IF($E468="","",INDEX([1]Esquemas_NORM!$H$2:$K$126,MATCH($E468,[1]Esquemas_NORM!$A$2:$A$126,0),MATCH(AA$4,[1]Esquemas_NORM!$H$1:$K$1,0)))</f>
        <v>Región de Planeación y Gestión Aeroportuaria de Oriente</v>
      </c>
      <c r="AB468" s="17" t="str">
        <f>IF($E468="","",INDEX([1]Esquemas_NORM!$H$2:$K$126,MATCH($E468,[1]Esquemas_NORM!$A$2:$A$126,0),MATCH(AB$4,[1]Esquemas_NORM!$H$1:$K$1,0)))</f>
        <v>A la fecha no ha conformado un EAT Área Metropolitana</v>
      </c>
      <c r="AC468" s="17" t="str">
        <f>IF($E468="","",INDEX([1]Esquemas_NORM!$H$2:$K$126,MATCH($E468,[1]Esquemas_NORM!$A$2:$A$126,0),MATCH(AC$4,[1]Esquemas_NORM!$H$1:$K$1,0)))</f>
        <v>MUNICIPIOS ASOCIADOS DEL ALTIPLANO DEL ORIENTE ANTIOQUEÑO - MASORA</v>
      </c>
      <c r="AD468" s="23"/>
    </row>
    <row r="469" spans="1:30" x14ac:dyDescent="0.25">
      <c r="A469" s="24">
        <v>2018</v>
      </c>
      <c r="B469" s="25" t="s">
        <v>36</v>
      </c>
      <c r="C469" s="25" t="s">
        <v>200</v>
      </c>
      <c r="D469" s="25" t="s">
        <v>205</v>
      </c>
      <c r="E469" s="25" t="s">
        <v>240</v>
      </c>
      <c r="F469" s="25" t="s">
        <v>203</v>
      </c>
      <c r="G469" s="25" t="s">
        <v>241</v>
      </c>
      <c r="H469" s="26">
        <v>13.177133573176215</v>
      </c>
      <c r="I469" s="26">
        <v>1.3772295721896831E-2</v>
      </c>
      <c r="J469" s="27">
        <v>13.190905868898112</v>
      </c>
      <c r="K469" s="26">
        <v>3.4999633989253387</v>
      </c>
      <c r="L469" s="26">
        <v>59.398914094786065</v>
      </c>
      <c r="M469" s="27">
        <v>62.898877493711403</v>
      </c>
      <c r="N469" s="26">
        <v>500.50341901024018</v>
      </c>
      <c r="O469" s="26">
        <v>15.271086718776827</v>
      </c>
      <c r="P469" s="26">
        <v>3.672092371844637</v>
      </c>
      <c r="Q469" s="26">
        <v>1.918446165064587</v>
      </c>
      <c r="R469" s="26">
        <v>12.602801678358405</v>
      </c>
      <c r="S469" s="26">
        <v>8.3960065804905994</v>
      </c>
      <c r="T469" s="26">
        <v>15.31125308732315</v>
      </c>
      <c r="U469" s="26">
        <v>3.4080196991485106</v>
      </c>
      <c r="V469" s="27">
        <v>561.08312531124704</v>
      </c>
      <c r="W469" s="27">
        <v>671.43974841224451</v>
      </c>
      <c r="X469" s="26">
        <v>65.429649021198571</v>
      </c>
      <c r="Y469" s="28">
        <v>736.88552659604625</v>
      </c>
      <c r="Z469" s="17" t="str">
        <f>SUBSTITUTE(SUBSTITUTE(SUBSTITUTE(SUBSTITUTE(IF(E469="","",VLOOKUP(E469,[1]Esquemas_NORM!$A$2:$H$126,8,FALSE)),"PROVINCIA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69" s="17" t="str">
        <f>IF($E469="","",INDEX([1]Esquemas_NORM!$H$2:$K$126,MATCH($E469,[1]Esquemas_NORM!$A$2:$A$126,0),MATCH(AA$4,[1]Esquemas_NORM!$H$1:$K$1,0)))</f>
        <v>A la fecha no ha conformado un EAT Región</v>
      </c>
      <c r="AB469" s="17" t="str">
        <f>IF($E469="","",INDEX([1]Esquemas_NORM!$H$2:$K$126,MATCH($E469,[1]Esquemas_NORM!$A$2:$A$126,0),MATCH(AB$4,[1]Esquemas_NORM!$H$1:$K$1,0)))</f>
        <v>A la fecha no ha conformado un EAT Área Metropolitana</v>
      </c>
      <c r="AC469" s="17" t="str">
        <f>IF($E469="","",INDEX([1]Esquemas_NORM!$H$2:$K$126,MATCH($E469,[1]Esquemas_NORM!$A$2:$A$126,0),MATCH(AC$4,[1]Esquemas_NORM!$H$1:$K$1,0)))</f>
        <v>A la fecha no ha conformado un EAT asociación - unión</v>
      </c>
      <c r="AD469" s="23"/>
    </row>
    <row r="470" spans="1:30" x14ac:dyDescent="0.25">
      <c r="A470" s="24">
        <v>2018</v>
      </c>
      <c r="B470" s="25" t="s">
        <v>36</v>
      </c>
      <c r="C470" s="25" t="s">
        <v>200</v>
      </c>
      <c r="D470" s="25" t="s">
        <v>210</v>
      </c>
      <c r="E470" s="25" t="s">
        <v>242</v>
      </c>
      <c r="F470" s="25" t="s">
        <v>203</v>
      </c>
      <c r="G470" s="25" t="s">
        <v>243</v>
      </c>
      <c r="H470" s="26">
        <v>4.5992776372568116</v>
      </c>
      <c r="I470" s="26">
        <v>0</v>
      </c>
      <c r="J470" s="27">
        <v>4.5992776372568116</v>
      </c>
      <c r="K470" s="26">
        <v>4.2990450266535585E-2</v>
      </c>
      <c r="L470" s="26">
        <v>5.5283089188581895</v>
      </c>
      <c r="M470" s="27">
        <v>5.5712993691247252</v>
      </c>
      <c r="N470" s="26">
        <v>1.1516765253318999</v>
      </c>
      <c r="O470" s="26">
        <v>10.223512505516606</v>
      </c>
      <c r="P470" s="26">
        <v>2.7018928280222312</v>
      </c>
      <c r="Q470" s="26">
        <v>1.2160162961242711</v>
      </c>
      <c r="R470" s="26">
        <v>8.4333557935021446</v>
      </c>
      <c r="S470" s="26">
        <v>6.4348434905110965</v>
      </c>
      <c r="T470" s="26">
        <v>14.436190175703441</v>
      </c>
      <c r="U470" s="26">
        <v>2.0798300196611943</v>
      </c>
      <c r="V470" s="27">
        <v>46.677317634372884</v>
      </c>
      <c r="W470" s="27">
        <v>57.804447632778924</v>
      </c>
      <c r="X470" s="26">
        <v>5.63285794357735</v>
      </c>
      <c r="Y470" s="28">
        <v>63.438694140761747</v>
      </c>
      <c r="Z470" s="17" t="str">
        <f>SUBSTITUTE(SUBSTITUTE(SUBSTITUTE(SUBSTITUTE(IF(E470="","",VLOOKUP(E470,[1]Esquemas_NORM!$A$2:$H$126,8,FALSE)),"PROVINCIA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70" s="17" t="str">
        <f>IF($E470="","",INDEX([1]Esquemas_NORM!$H$2:$K$126,MATCH($E470,[1]Esquemas_NORM!$A$2:$A$126,0),MATCH(AA$4,[1]Esquemas_NORM!$H$1:$K$1,0)))</f>
        <v>A la fecha no ha conformado un EAT Región</v>
      </c>
      <c r="AB470" s="17" t="str">
        <f>IF($E470="","",INDEX([1]Esquemas_NORM!$H$2:$K$126,MATCH($E470,[1]Esquemas_NORM!$A$2:$A$126,0),MATCH(AB$4,[1]Esquemas_NORM!$H$1:$K$1,0)))</f>
        <v>A la fecha no ha conformado un EAT Área Metropolitana</v>
      </c>
      <c r="AC470" s="17" t="str">
        <f>IF($E470="","",INDEX([1]Esquemas_NORM!$H$2:$K$126,MATCH($E470,[1]Esquemas_NORM!$A$2:$A$126,0),MATCH(AC$4,[1]Esquemas_NORM!$H$1:$K$1,0)))</f>
        <v>A la fecha no ha conformado un EAT asociación - unión</v>
      </c>
      <c r="AD470" s="23"/>
    </row>
    <row r="471" spans="1:30" x14ac:dyDescent="0.25">
      <c r="A471" s="24">
        <v>2018</v>
      </c>
      <c r="B471" s="25" t="s">
        <v>36</v>
      </c>
      <c r="C471" s="25" t="s">
        <v>200</v>
      </c>
      <c r="D471" s="25" t="s">
        <v>210</v>
      </c>
      <c r="E471" s="25" t="s">
        <v>244</v>
      </c>
      <c r="F471" s="25" t="s">
        <v>203</v>
      </c>
      <c r="G471" s="25" t="s">
        <v>245</v>
      </c>
      <c r="H471" s="26">
        <v>5.7966330313556549</v>
      </c>
      <c r="I471" s="26">
        <v>0.2913255468196615</v>
      </c>
      <c r="J471" s="27">
        <v>6.087958578175316</v>
      </c>
      <c r="K471" s="26">
        <v>2.4717970310356314</v>
      </c>
      <c r="L471" s="26">
        <v>8.7544322322726043</v>
      </c>
      <c r="M471" s="27">
        <v>11.226229263308236</v>
      </c>
      <c r="N471" s="26">
        <v>2.7658010780393854</v>
      </c>
      <c r="O471" s="26">
        <v>17.584065079065311</v>
      </c>
      <c r="P471" s="26">
        <v>4.1936271115523551</v>
      </c>
      <c r="Q471" s="26">
        <v>2.5598083602788679</v>
      </c>
      <c r="R471" s="26">
        <v>10.214488022633605</v>
      </c>
      <c r="S471" s="26">
        <v>21.520693986661929</v>
      </c>
      <c r="T471" s="26">
        <v>20.740882607244796</v>
      </c>
      <c r="U471" s="26">
        <v>3.1651770390792873</v>
      </c>
      <c r="V471" s="27">
        <v>82.744543284555533</v>
      </c>
      <c r="W471" s="27">
        <v>101.55388130977857</v>
      </c>
      <c r="X471" s="26">
        <v>9.8960998757582868</v>
      </c>
      <c r="Y471" s="28">
        <v>111.4524206882153</v>
      </c>
      <c r="Z471" s="17" t="str">
        <f>SUBSTITUTE(SUBSTITUTE(SUBSTITUTE(SUBSTITUTE(IF(E471="","",VLOOKUP(E471,[1]Esquemas_NORM!$A$2:$H$126,8,FALSE)),"PROVINCIA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71" s="17" t="str">
        <f>IF($E471="","",INDEX([1]Esquemas_NORM!$H$2:$K$126,MATCH($E471,[1]Esquemas_NORM!$A$2:$A$126,0),MATCH(AA$4,[1]Esquemas_NORM!$H$1:$K$1,0)))</f>
        <v>A la fecha no ha conformado un EAT Región</v>
      </c>
      <c r="AB471" s="17" t="str">
        <f>IF($E471="","",INDEX([1]Esquemas_NORM!$H$2:$K$126,MATCH($E471,[1]Esquemas_NORM!$A$2:$A$126,0),MATCH(AB$4,[1]Esquemas_NORM!$H$1:$K$1,0)))</f>
        <v>A la fecha no ha conformado un EAT Área Metropolitana</v>
      </c>
      <c r="AC471" s="17" t="str">
        <f>IF($E471="","",INDEX([1]Esquemas_NORM!$H$2:$K$126,MATCH($E471,[1]Esquemas_NORM!$A$2:$A$126,0),MATCH(AC$4,[1]Esquemas_NORM!$H$1:$K$1,0)))</f>
        <v>A la fecha no ha conformado un EAT asociación - unión</v>
      </c>
      <c r="AD471" s="23"/>
    </row>
    <row r="472" spans="1:30" x14ac:dyDescent="0.25">
      <c r="A472" s="24">
        <v>2018</v>
      </c>
      <c r="B472" s="25" t="s">
        <v>36</v>
      </c>
      <c r="C472" s="25" t="s">
        <v>200</v>
      </c>
      <c r="D472" s="25" t="s">
        <v>205</v>
      </c>
      <c r="E472" s="25" t="s">
        <v>246</v>
      </c>
      <c r="F472" s="25" t="s">
        <v>203</v>
      </c>
      <c r="G472" s="25" t="s">
        <v>247</v>
      </c>
      <c r="H472" s="26">
        <v>10.009030714919284</v>
      </c>
      <c r="I472" s="26">
        <v>0</v>
      </c>
      <c r="J472" s="27">
        <v>10.009030714919284</v>
      </c>
      <c r="K472" s="26">
        <v>3.1296234127861093</v>
      </c>
      <c r="L472" s="26">
        <v>15.562591355817728</v>
      </c>
      <c r="M472" s="27">
        <v>18.692214768603836</v>
      </c>
      <c r="N472" s="26">
        <v>106.81358679655682</v>
      </c>
      <c r="O472" s="26">
        <v>8.9290083570960501</v>
      </c>
      <c r="P472" s="26">
        <v>2.2814339091310836</v>
      </c>
      <c r="Q472" s="26">
        <v>1.2207032343371733</v>
      </c>
      <c r="R472" s="26">
        <v>7.9486337747804647</v>
      </c>
      <c r="S472" s="26">
        <v>5.5389686026072509</v>
      </c>
      <c r="T472" s="26">
        <v>10.567529400674784</v>
      </c>
      <c r="U472" s="26">
        <v>2.0752645686653963</v>
      </c>
      <c r="V472" s="27">
        <v>145.37512864384902</v>
      </c>
      <c r="W472" s="27">
        <v>181.92004565426086</v>
      </c>
      <c r="X472" s="26">
        <v>17.727524718676065</v>
      </c>
      <c r="Y472" s="28">
        <v>199.65194041210137</v>
      </c>
      <c r="Z472" s="17" t="str">
        <f>SUBSTITUTE(SUBSTITUTE(SUBSTITUTE(SUBSTITUTE(IF(E472="","",VLOOKUP(E472,[1]Esquemas_NORM!$A$2:$H$126,8,FALSE)),"PROVINCIA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72" s="17" t="str">
        <f>IF($E472="","",INDEX([1]Esquemas_NORM!$H$2:$K$126,MATCH($E472,[1]Esquemas_NORM!$A$2:$A$126,0),MATCH(AA$4,[1]Esquemas_NORM!$H$1:$K$1,0)))</f>
        <v>A la fecha no ha conformado un EAT Región</v>
      </c>
      <c r="AB472" s="17" t="str">
        <f>IF($E472="","",INDEX([1]Esquemas_NORM!$H$2:$K$126,MATCH($E472,[1]Esquemas_NORM!$A$2:$A$126,0),MATCH(AB$4,[1]Esquemas_NORM!$H$1:$K$1,0)))</f>
        <v>A la fecha no ha conformado un EAT Área Metropolitana</v>
      </c>
      <c r="AC472" s="17" t="str">
        <f>IF($E472="","",INDEX([1]Esquemas_NORM!$H$2:$K$126,MATCH($E472,[1]Esquemas_NORM!$A$2:$A$126,0),MATCH(AC$4,[1]Esquemas_NORM!$H$1:$K$1,0)))</f>
        <v>A la fecha no ha conformado un EAT asociación - unión</v>
      </c>
      <c r="AD472" s="23"/>
    </row>
    <row r="473" spans="1:30" x14ac:dyDescent="0.25">
      <c r="A473" s="24">
        <v>2018</v>
      </c>
      <c r="B473" s="25" t="s">
        <v>36</v>
      </c>
      <c r="C473" s="25" t="s">
        <v>200</v>
      </c>
      <c r="D473" s="25" t="s">
        <v>215</v>
      </c>
      <c r="E473" s="25" t="s">
        <v>248</v>
      </c>
      <c r="F473" s="25" t="s">
        <v>203</v>
      </c>
      <c r="G473" s="25" t="s">
        <v>249</v>
      </c>
      <c r="H473" s="26">
        <v>75.875899056066203</v>
      </c>
      <c r="I473" s="26">
        <v>0</v>
      </c>
      <c r="J473" s="27">
        <v>75.875899056066203</v>
      </c>
      <c r="K473" s="26">
        <v>3.9523314131411444</v>
      </c>
      <c r="L473" s="26">
        <v>17.439893020089425</v>
      </c>
      <c r="M473" s="27">
        <v>21.39222443323057</v>
      </c>
      <c r="N473" s="26">
        <v>4.1030152438223384</v>
      </c>
      <c r="O473" s="26">
        <v>25.424045506469419</v>
      </c>
      <c r="P473" s="26">
        <v>7.953113353273543</v>
      </c>
      <c r="Q473" s="26">
        <v>3.2804347266518739</v>
      </c>
      <c r="R473" s="26">
        <v>27.845489596161418</v>
      </c>
      <c r="S473" s="26">
        <v>17.711076477282194</v>
      </c>
      <c r="T473" s="26">
        <v>32.335202092230858</v>
      </c>
      <c r="U473" s="26">
        <v>6.6860297410770162</v>
      </c>
      <c r="V473" s="27">
        <v>125.33840673696866</v>
      </c>
      <c r="W473" s="27">
        <v>227.81351731400719</v>
      </c>
      <c r="X473" s="26">
        <v>22.199696272666642</v>
      </c>
      <c r="Y473" s="28">
        <v>250.01868606767118</v>
      </c>
      <c r="Z473" s="17" t="str">
        <f>SUBSTITUTE(SUBSTITUTE(SUBSTITUTE(SUBSTITUTE(IF(E473="","",VLOOKUP(E473,[1]Esquemas_NORM!$A$2:$H$126,8,FALSE)),"PROVINCIA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473" s="17" t="str">
        <f>IF($E473="","",INDEX([1]Esquemas_NORM!$H$2:$K$126,MATCH($E473,[1]Esquemas_NORM!$A$2:$A$126,0),MATCH(AA$4,[1]Esquemas_NORM!$H$1:$K$1,0)))</f>
        <v>A la fecha no ha conformado un EAT Región</v>
      </c>
      <c r="AB473" s="17" t="str">
        <f>IF($E473="","",INDEX([1]Esquemas_NORM!$H$2:$K$126,MATCH($E473,[1]Esquemas_NORM!$A$2:$A$126,0),MATCH(AB$4,[1]Esquemas_NORM!$H$1:$K$1,0)))</f>
        <v>A la fecha no ha conformado un EAT Área Metropolitana</v>
      </c>
      <c r="AC473" s="17" t="str">
        <f>IF($E473="","",INDEX([1]Esquemas_NORM!$H$2:$K$126,MATCH($E473,[1]Esquemas_NORM!$A$2:$A$126,0),MATCH(AC$4,[1]Esquemas_NORM!$H$1:$K$1,0)))</f>
        <v>MUNICIPIOS ASOCIADOS DEL ALTIPLANO DEL ORIENTE ANTIOQUEÑO - MASORA</v>
      </c>
      <c r="AD473" s="23"/>
    </row>
    <row r="474" spans="1:30" x14ac:dyDescent="0.25">
      <c r="A474" s="24">
        <v>2018</v>
      </c>
      <c r="B474" s="25" t="s">
        <v>36</v>
      </c>
      <c r="C474" s="25" t="s">
        <v>200</v>
      </c>
      <c r="D474" s="25" t="s">
        <v>201</v>
      </c>
      <c r="E474" s="25" t="s">
        <v>250</v>
      </c>
      <c r="F474" s="25" t="s">
        <v>203</v>
      </c>
      <c r="G474" s="25" t="s">
        <v>251</v>
      </c>
      <c r="H474" s="26">
        <v>140.56106328704402</v>
      </c>
      <c r="I474" s="26">
        <v>4.0556396644800765</v>
      </c>
      <c r="J474" s="27">
        <v>144.6167029515241</v>
      </c>
      <c r="K474" s="26">
        <v>279.94405692749302</v>
      </c>
      <c r="L474" s="26">
        <v>25.886425581059829</v>
      </c>
      <c r="M474" s="27">
        <v>305.83048250855285</v>
      </c>
      <c r="N474" s="26">
        <v>35.768976454809319</v>
      </c>
      <c r="O474" s="26">
        <v>51.578077106415883</v>
      </c>
      <c r="P474" s="26">
        <v>12.651544664814468</v>
      </c>
      <c r="Q474" s="26">
        <v>8.575301928760501</v>
      </c>
      <c r="R474" s="26">
        <v>36.625144084312204</v>
      </c>
      <c r="S474" s="26">
        <v>48.672974964601032</v>
      </c>
      <c r="T474" s="26">
        <v>57.128510429417986</v>
      </c>
      <c r="U474" s="26">
        <v>9.4443470144407762</v>
      </c>
      <c r="V474" s="27">
        <v>260.44487664757213</v>
      </c>
      <c r="W474" s="27">
        <v>702.44797540419052</v>
      </c>
      <c r="X474" s="26">
        <v>68.451301244894097</v>
      </c>
      <c r="Y474" s="28">
        <v>770.91615068378769</v>
      </c>
      <c r="Z474" s="17" t="str">
        <f>SUBSTITUTE(SUBSTITUTE(SUBSTITUTE(SUBSTITUTE(IF(E474="","",VLOOKUP(E474,[1]Esquemas_NORM!$A$2:$H$126,8,FALSE)),"PROVINCIA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474" s="17" t="str">
        <f>IF($E474="","",INDEX([1]Esquemas_NORM!$H$2:$K$126,MATCH($E474,[1]Esquemas_NORM!$A$2:$A$126,0),MATCH(AA$4,[1]Esquemas_NORM!$H$1:$K$1,0)))</f>
        <v>A la fecha no ha conformado un EAT Región</v>
      </c>
      <c r="AB474" s="17" t="str">
        <f>IF($E474="","",INDEX([1]Esquemas_NORM!$H$2:$K$126,MATCH($E474,[1]Esquemas_NORM!$A$2:$A$126,0),MATCH(AB$4,[1]Esquemas_NORM!$H$1:$K$1,0)))</f>
        <v>A la fecha no ha conformado un EAT Área Metropolitana</v>
      </c>
      <c r="AC474" s="17" t="str">
        <f>IF($E474="","",INDEX([1]Esquemas_NORM!$H$2:$K$126,MATCH($E474,[1]Esquemas_NORM!$A$2:$A$126,0),MATCH(AC$4,[1]Esquemas_NORM!$H$1:$K$1,0)))</f>
        <v>A la fecha no ha conformado un EAT asociación - unión</v>
      </c>
      <c r="AD474" s="23"/>
    </row>
    <row r="475" spans="1:30" x14ac:dyDescent="0.25">
      <c r="A475" s="24">
        <v>2018</v>
      </c>
      <c r="B475" s="25" t="s">
        <v>36</v>
      </c>
      <c r="C475" s="25" t="s">
        <v>252</v>
      </c>
      <c r="D475" s="25" t="s">
        <v>253</v>
      </c>
      <c r="E475" s="25" t="s">
        <v>254</v>
      </c>
      <c r="F475" s="25" t="s">
        <v>255</v>
      </c>
      <c r="G475" s="25" t="s">
        <v>256</v>
      </c>
      <c r="H475" s="26">
        <v>47.066773860782845</v>
      </c>
      <c r="I475" s="26">
        <v>0.73017734721479077</v>
      </c>
      <c r="J475" s="27">
        <v>47.796951207997637</v>
      </c>
      <c r="K475" s="26">
        <v>136.8028762352985</v>
      </c>
      <c r="L475" s="26">
        <v>47.829358163292241</v>
      </c>
      <c r="M475" s="27">
        <v>184.63223439859075</v>
      </c>
      <c r="N475" s="26">
        <v>19.830409838012685</v>
      </c>
      <c r="O475" s="26">
        <v>48.277887354399155</v>
      </c>
      <c r="P475" s="26">
        <v>11.352861911145945</v>
      </c>
      <c r="Q475" s="26">
        <v>7.2732940094038954</v>
      </c>
      <c r="R475" s="26">
        <v>27.713430498604303</v>
      </c>
      <c r="S475" s="26">
        <v>35.975398127111276</v>
      </c>
      <c r="T475" s="26">
        <v>47.414979796656674</v>
      </c>
      <c r="U475" s="26">
        <v>11.387930573408106</v>
      </c>
      <c r="V475" s="27">
        <v>209.22619210874205</v>
      </c>
      <c r="W475" s="27">
        <v>435.39347014272187</v>
      </c>
      <c r="X475" s="26">
        <v>42.427696610053658</v>
      </c>
      <c r="Y475" s="28">
        <v>477.83162566899694</v>
      </c>
      <c r="Z475" s="17" t="str">
        <f>SUBSTITUTE(SUBSTITUTE(SUBSTITUTE(SUBSTITUTE(IF(E475="","",VLOOKUP(E475,[1]Esquemas_NORM!$A$2:$H$126,8,FALSE)),"PROVINCIA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475" s="17" t="str">
        <f>IF($E475="","",INDEX([1]Esquemas_NORM!$H$2:$K$126,MATCH($E475,[1]Esquemas_NORM!$A$2:$A$126,0),MATCH(AA$4,[1]Esquemas_NORM!$H$1:$K$1,0)))</f>
        <v>A la fecha no ha conformado un EAT Región</v>
      </c>
      <c r="AB475" s="17" t="str">
        <f>IF($E475="","",INDEX([1]Esquemas_NORM!$H$2:$K$126,MATCH($E475,[1]Esquemas_NORM!$A$2:$A$126,0),MATCH(AB$4,[1]Esquemas_NORM!$H$1:$K$1,0)))</f>
        <v>A la fecha no ha conformado un EAT Área Metropolitana</v>
      </c>
      <c r="AC475" s="17" t="str">
        <f>IF($E475="","",INDEX([1]Esquemas_NORM!$H$2:$K$126,MATCH($E475,[1]Esquemas_NORM!$A$2:$A$126,0),MATCH(AC$4,[1]Esquemas_NORM!$H$1:$K$1,0)))</f>
        <v>A la fecha no ha conformado un EAT asociación - unión</v>
      </c>
      <c r="AD475" s="23"/>
    </row>
    <row r="476" spans="1:30" x14ac:dyDescent="0.25">
      <c r="A476" s="24">
        <v>2018</v>
      </c>
      <c r="B476" s="25" t="s">
        <v>36</v>
      </c>
      <c r="C476" s="25" t="s">
        <v>252</v>
      </c>
      <c r="D476" s="25" t="s">
        <v>257</v>
      </c>
      <c r="E476" s="25" t="s">
        <v>258</v>
      </c>
      <c r="F476" s="25" t="s">
        <v>255</v>
      </c>
      <c r="G476" s="25" t="s">
        <v>259</v>
      </c>
      <c r="H476" s="26">
        <v>112.29988214147073</v>
      </c>
      <c r="I476" s="26">
        <v>0</v>
      </c>
      <c r="J476" s="27">
        <v>112.29988214147073</v>
      </c>
      <c r="K476" s="26">
        <v>88.790821377948831</v>
      </c>
      <c r="L476" s="26">
        <v>111.81855337280557</v>
      </c>
      <c r="M476" s="27">
        <v>200.6093747507544</v>
      </c>
      <c r="N476" s="26">
        <v>9.6771669154227133</v>
      </c>
      <c r="O476" s="26">
        <v>88.397338733991475</v>
      </c>
      <c r="P476" s="26">
        <v>17.232425994570541</v>
      </c>
      <c r="Q476" s="26">
        <v>19.876860052587929</v>
      </c>
      <c r="R476" s="26">
        <v>30.293242187176205</v>
      </c>
      <c r="S476" s="26">
        <v>47.679398256816846</v>
      </c>
      <c r="T476" s="26">
        <v>66.536109423794002</v>
      </c>
      <c r="U476" s="26">
        <v>11.633973929648439</v>
      </c>
      <c r="V476" s="27">
        <v>291.32651549400816</v>
      </c>
      <c r="W476" s="27">
        <v>601.85932837586984</v>
      </c>
      <c r="X476" s="26">
        <v>58.649260352696139</v>
      </c>
      <c r="Y476" s="28">
        <v>660.52304644721414</v>
      </c>
      <c r="Z476" s="17" t="str">
        <f>SUBSTITUTE(SUBSTITUTE(SUBSTITUTE(SUBSTITUTE(IF(E476="","",VLOOKUP(E476,[1]Esquemas_NORM!$A$2:$H$126,8,FALSE)),"PROVINCIA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476" s="17" t="str">
        <f>IF($E476="","",INDEX([1]Esquemas_NORM!$H$2:$K$126,MATCH($E476,[1]Esquemas_NORM!$A$2:$A$126,0),MATCH(AA$4,[1]Esquemas_NORM!$H$1:$K$1,0)))</f>
        <v>A la fecha no ha conformado un EAT Región</v>
      </c>
      <c r="AB476" s="17" t="str">
        <f>IF($E476="","",INDEX([1]Esquemas_NORM!$H$2:$K$126,MATCH($E476,[1]Esquemas_NORM!$A$2:$A$126,0),MATCH(AB$4,[1]Esquemas_NORM!$H$1:$K$1,0)))</f>
        <v>A la fecha no ha conformado un EAT Área Metropolitana</v>
      </c>
      <c r="AC476" s="17" t="str">
        <f>IF($E476="","",INDEX([1]Esquemas_NORM!$H$2:$K$126,MATCH($E476,[1]Esquemas_NORM!$A$2:$A$126,0),MATCH(AC$4,[1]Esquemas_NORM!$H$1:$K$1,0)))</f>
        <v>A la fecha no ha conformado un EAT asociación - unión</v>
      </c>
      <c r="AD476" s="23"/>
    </row>
    <row r="477" spans="1:30" x14ac:dyDescent="0.25">
      <c r="A477" s="24">
        <v>2018</v>
      </c>
      <c r="B477" s="25" t="s">
        <v>36</v>
      </c>
      <c r="C477" s="25" t="s">
        <v>252</v>
      </c>
      <c r="D477" s="25" t="s">
        <v>253</v>
      </c>
      <c r="E477" s="25" t="s">
        <v>260</v>
      </c>
      <c r="F477" s="25" t="s">
        <v>255</v>
      </c>
      <c r="G477" s="25" t="s">
        <v>261</v>
      </c>
      <c r="H477" s="26">
        <v>26.36957778453656</v>
      </c>
      <c r="I477" s="26">
        <v>0.39770486060778154</v>
      </c>
      <c r="J477" s="27">
        <v>26.767282645144341</v>
      </c>
      <c r="K477" s="26">
        <v>4.7493251204759686</v>
      </c>
      <c r="L477" s="26">
        <v>2.2392475316583105</v>
      </c>
      <c r="M477" s="27">
        <v>6.9885726521342786</v>
      </c>
      <c r="N477" s="26">
        <v>2.7906081732090731</v>
      </c>
      <c r="O477" s="26">
        <v>10.053698911653395</v>
      </c>
      <c r="P477" s="26">
        <v>2.1854410055628524</v>
      </c>
      <c r="Q477" s="26">
        <v>0.98512814029200757</v>
      </c>
      <c r="R477" s="26">
        <v>4.7960938043904022</v>
      </c>
      <c r="S477" s="26">
        <v>5.4808539959098823</v>
      </c>
      <c r="T477" s="26">
        <v>8.518040795864092</v>
      </c>
      <c r="U477" s="26">
        <v>2.1414950037021563</v>
      </c>
      <c r="V477" s="27">
        <v>36.951359830583861</v>
      </c>
      <c r="W477" s="27">
        <v>72.716383906402399</v>
      </c>
      <c r="X477" s="26">
        <v>7.0859782852295314</v>
      </c>
      <c r="Y477" s="28">
        <v>79.804108966949826</v>
      </c>
      <c r="Z477" s="17" t="str">
        <f>SUBSTITUTE(SUBSTITUTE(SUBSTITUTE(SUBSTITUTE(IF(E477="","",VLOOKUP(E477,[1]Esquemas_NORM!$A$2:$H$126,8,FALSE)),"PROVINCIA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477" s="17" t="str">
        <f>IF($E477="","",INDEX([1]Esquemas_NORM!$H$2:$K$126,MATCH($E477,[1]Esquemas_NORM!$A$2:$A$126,0),MATCH(AA$4,[1]Esquemas_NORM!$H$1:$K$1,0)))</f>
        <v>A la fecha no ha conformado un EAT Región</v>
      </c>
      <c r="AB477" s="17" t="str">
        <f>IF($E477="","",INDEX([1]Esquemas_NORM!$H$2:$K$126,MATCH($E477,[1]Esquemas_NORM!$A$2:$A$126,0),MATCH(AB$4,[1]Esquemas_NORM!$H$1:$K$1,0)))</f>
        <v>A la fecha no ha conformado un EAT Área Metropolitana</v>
      </c>
      <c r="AC477" s="17" t="str">
        <f>IF($E477="","",INDEX([1]Esquemas_NORM!$H$2:$K$126,MATCH($E477,[1]Esquemas_NORM!$A$2:$A$126,0),MATCH(AC$4,[1]Esquemas_NORM!$H$1:$K$1,0)))</f>
        <v>A la fecha no ha conformado un EAT asociación - unión</v>
      </c>
      <c r="AD477" s="23"/>
    </row>
    <row r="478" spans="1:30" x14ac:dyDescent="0.25">
      <c r="A478" s="24">
        <v>2018</v>
      </c>
      <c r="B478" s="25" t="s">
        <v>36</v>
      </c>
      <c r="C478" s="25" t="s">
        <v>252</v>
      </c>
      <c r="D478" s="25" t="s">
        <v>257</v>
      </c>
      <c r="E478" s="25" t="s">
        <v>262</v>
      </c>
      <c r="F478" s="25" t="s">
        <v>255</v>
      </c>
      <c r="G478" s="25" t="s">
        <v>263</v>
      </c>
      <c r="H478" s="26">
        <v>50.541207198056703</v>
      </c>
      <c r="I478" s="26">
        <v>0</v>
      </c>
      <c r="J478" s="27">
        <v>50.541207198056703</v>
      </c>
      <c r="K478" s="26">
        <v>8.692358299172783</v>
      </c>
      <c r="L478" s="26">
        <v>3.9760607532178969</v>
      </c>
      <c r="M478" s="27">
        <v>12.66841905239068</v>
      </c>
      <c r="N478" s="26">
        <v>2.1913408314497045</v>
      </c>
      <c r="O478" s="26">
        <v>14.623116394250143</v>
      </c>
      <c r="P478" s="26">
        <v>4.2234218078671111</v>
      </c>
      <c r="Q478" s="26">
        <v>2.069597748465323</v>
      </c>
      <c r="R478" s="26">
        <v>7.4951367885439941</v>
      </c>
      <c r="S478" s="26">
        <v>10.730650327424234</v>
      </c>
      <c r="T478" s="26">
        <v>20.088510345858019</v>
      </c>
      <c r="U478" s="26">
        <v>3.1408920714271709</v>
      </c>
      <c r="V478" s="27">
        <v>64.562666315285696</v>
      </c>
      <c r="W478" s="27">
        <v>131.26545861940008</v>
      </c>
      <c r="X478" s="26">
        <v>12.791397748476818</v>
      </c>
      <c r="Y478" s="28">
        <v>144.06000959485121</v>
      </c>
      <c r="Z478" s="17" t="str">
        <f>SUBSTITUTE(SUBSTITUTE(SUBSTITUTE(SUBSTITUTE(IF(E478="","",VLOOKUP(E478,[1]Esquemas_NORM!$A$2:$H$126,8,FALSE)),"PROVINCIA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478" s="17" t="str">
        <f>IF($E478="","",INDEX([1]Esquemas_NORM!$H$2:$K$126,MATCH($E478,[1]Esquemas_NORM!$A$2:$A$126,0),MATCH(AA$4,[1]Esquemas_NORM!$H$1:$K$1,0)))</f>
        <v>A la fecha no ha conformado un EAT Región</v>
      </c>
      <c r="AB478" s="17" t="str">
        <f>IF($E478="","",INDEX([1]Esquemas_NORM!$H$2:$K$126,MATCH($E478,[1]Esquemas_NORM!$A$2:$A$126,0),MATCH(AB$4,[1]Esquemas_NORM!$H$1:$K$1,0)))</f>
        <v>A la fecha no ha conformado un EAT Área Metropolitana</v>
      </c>
      <c r="AC478" s="17" t="str">
        <f>IF($E478="","",INDEX([1]Esquemas_NORM!$H$2:$K$126,MATCH($E478,[1]Esquemas_NORM!$A$2:$A$126,0),MATCH(AC$4,[1]Esquemas_NORM!$H$1:$K$1,0)))</f>
        <v>A la fecha no ha conformado un EAT asociación - unión</v>
      </c>
      <c r="AD478" s="23"/>
    </row>
    <row r="479" spans="1:30" x14ac:dyDescent="0.25">
      <c r="A479" s="24">
        <v>2018</v>
      </c>
      <c r="B479" s="25" t="s">
        <v>36</v>
      </c>
      <c r="C479" s="25" t="s">
        <v>252</v>
      </c>
      <c r="D479" s="25" t="s">
        <v>264</v>
      </c>
      <c r="E479" s="25" t="s">
        <v>265</v>
      </c>
      <c r="F479" s="25" t="s">
        <v>255</v>
      </c>
      <c r="G479" s="25" t="s">
        <v>266</v>
      </c>
      <c r="H479" s="26">
        <v>80.750099643003637</v>
      </c>
      <c r="I479" s="26">
        <v>0</v>
      </c>
      <c r="J479" s="27">
        <v>80.750099643003637</v>
      </c>
      <c r="K479" s="26">
        <v>6.9859514009529597</v>
      </c>
      <c r="L479" s="26">
        <v>11.695659647495193</v>
      </c>
      <c r="M479" s="27">
        <v>18.681611048448154</v>
      </c>
      <c r="N479" s="26">
        <v>3.3213863688657481</v>
      </c>
      <c r="O479" s="26">
        <v>18.837325542050941</v>
      </c>
      <c r="P479" s="26">
        <v>6.1944531286871323</v>
      </c>
      <c r="Q479" s="26">
        <v>3.4508714067952195</v>
      </c>
      <c r="R479" s="26">
        <v>11.723038518962936</v>
      </c>
      <c r="S479" s="26">
        <v>14.774943559180356</v>
      </c>
      <c r="T479" s="26">
        <v>30.792716265189785</v>
      </c>
      <c r="U479" s="26">
        <v>4.5053207891248954</v>
      </c>
      <c r="V479" s="27">
        <v>93.60005557885701</v>
      </c>
      <c r="W479" s="27">
        <v>198.33150312744155</v>
      </c>
      <c r="X479" s="26">
        <v>19.326768589689582</v>
      </c>
      <c r="Y479" s="28">
        <v>217.66303598834233</v>
      </c>
      <c r="Z479" s="17" t="str">
        <f>SUBSTITUTE(SUBSTITUTE(SUBSTITUTE(SUBSTITUTE(IF(E479="","",VLOOKUP(E479,[1]Esquemas_NORM!$A$2:$H$126,8,FALSE)),"PROVINCIA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479" s="17" t="str">
        <f>IF($E479="","",INDEX([1]Esquemas_NORM!$H$2:$K$126,MATCH($E479,[1]Esquemas_NORM!$A$2:$A$126,0),MATCH(AA$4,[1]Esquemas_NORM!$H$1:$K$1,0)))</f>
        <v>A la fecha no ha conformado un EAT Región</v>
      </c>
      <c r="AB479" s="17" t="str">
        <f>IF($E479="","",INDEX([1]Esquemas_NORM!$H$2:$K$126,MATCH($E479,[1]Esquemas_NORM!$A$2:$A$126,0),MATCH(AB$4,[1]Esquemas_NORM!$H$1:$K$1,0)))</f>
        <v>A la fecha no ha conformado un EAT Área Metropolitana</v>
      </c>
      <c r="AC479" s="17" t="str">
        <f>IF($E479="","",INDEX([1]Esquemas_NORM!$H$2:$K$126,MATCH($E479,[1]Esquemas_NORM!$A$2:$A$126,0),MATCH(AC$4,[1]Esquemas_NORM!$H$1:$K$1,0)))</f>
        <v>A la fecha no ha conformado un EAT asociación - unión</v>
      </c>
      <c r="AD479" s="23"/>
    </row>
    <row r="480" spans="1:30" x14ac:dyDescent="0.25">
      <c r="A480" s="24">
        <v>2018</v>
      </c>
      <c r="B480" s="25" t="s">
        <v>36</v>
      </c>
      <c r="C480" s="25" t="s">
        <v>252</v>
      </c>
      <c r="D480" s="25" t="s">
        <v>267</v>
      </c>
      <c r="E480" s="25" t="s">
        <v>268</v>
      </c>
      <c r="F480" s="25" t="s">
        <v>255</v>
      </c>
      <c r="G480" s="25" t="s">
        <v>269</v>
      </c>
      <c r="H480" s="26">
        <v>12.570756315645289</v>
      </c>
      <c r="I480" s="26">
        <v>0</v>
      </c>
      <c r="J480" s="27">
        <v>12.570756315645289</v>
      </c>
      <c r="K480" s="26">
        <v>2.1376821426460832</v>
      </c>
      <c r="L480" s="26">
        <v>3.6008791604766532</v>
      </c>
      <c r="M480" s="27">
        <v>5.7385613031227365</v>
      </c>
      <c r="N480" s="26">
        <v>1.3397197806591088</v>
      </c>
      <c r="O480" s="26">
        <v>8.0433579175578522</v>
      </c>
      <c r="P480" s="26">
        <v>2.2749053996924626</v>
      </c>
      <c r="Q480" s="26">
        <v>1.4565477097091954</v>
      </c>
      <c r="R480" s="26">
        <v>4.1339520844661823</v>
      </c>
      <c r="S480" s="26">
        <v>6.5707513037292991</v>
      </c>
      <c r="T480" s="26">
        <v>12.353965358928461</v>
      </c>
      <c r="U480" s="26">
        <v>1.7140142267483451</v>
      </c>
      <c r="V480" s="27">
        <v>37.887213781490907</v>
      </c>
      <c r="W480" s="27">
        <v>57.423088816437371</v>
      </c>
      <c r="X480" s="26">
        <v>5.5956957505990008</v>
      </c>
      <c r="Y480" s="28">
        <v>63.02016397053297</v>
      </c>
      <c r="Z480" s="17" t="str">
        <f>SUBSTITUTE(SUBSTITUTE(SUBSTITUTE(SUBSTITUTE(IF(E480="","",VLOOKUP(E480,[1]Esquemas_NORM!$A$2:$H$126,8,FALSE)),"PROVINCIA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80" s="17" t="str">
        <f>IF($E480="","",INDEX([1]Esquemas_NORM!$H$2:$K$126,MATCH($E480,[1]Esquemas_NORM!$A$2:$A$126,0),MATCH(AA$4,[1]Esquemas_NORM!$H$1:$K$1,0)))</f>
        <v>A la fecha no ha conformado un EAT Región</v>
      </c>
      <c r="AB480" s="17" t="str">
        <f>IF($E480="","",INDEX([1]Esquemas_NORM!$H$2:$K$126,MATCH($E480,[1]Esquemas_NORM!$A$2:$A$126,0),MATCH(AB$4,[1]Esquemas_NORM!$H$1:$K$1,0)))</f>
        <v>A la fecha no ha conformado un EAT Área Metropolitana</v>
      </c>
      <c r="AC480" s="17" t="str">
        <f>IF($E480="","",INDEX([1]Esquemas_NORM!$H$2:$K$126,MATCH($E480,[1]Esquemas_NORM!$A$2:$A$126,0),MATCH(AC$4,[1]Esquemas_NORM!$H$1:$K$1,0)))</f>
        <v>A la fecha no ha conformado un EAT asociación - unión</v>
      </c>
      <c r="AD480" s="23"/>
    </row>
    <row r="481" spans="1:30" x14ac:dyDescent="0.25">
      <c r="A481" s="24">
        <v>2018</v>
      </c>
      <c r="B481" s="25" t="s">
        <v>36</v>
      </c>
      <c r="C481" s="25" t="s">
        <v>252</v>
      </c>
      <c r="D481" s="25" t="s">
        <v>257</v>
      </c>
      <c r="E481" s="25" t="s">
        <v>270</v>
      </c>
      <c r="F481" s="25" t="s">
        <v>255</v>
      </c>
      <c r="G481" s="25" t="s">
        <v>271</v>
      </c>
      <c r="H481" s="26">
        <v>77.10546314689023</v>
      </c>
      <c r="I481" s="26">
        <v>0</v>
      </c>
      <c r="J481" s="27">
        <v>77.10546314689023</v>
      </c>
      <c r="K481" s="26">
        <v>7.988688253410956</v>
      </c>
      <c r="L481" s="26">
        <v>19.820229874923776</v>
      </c>
      <c r="M481" s="27">
        <v>27.808918128334732</v>
      </c>
      <c r="N481" s="26">
        <v>6.7804536480691677</v>
      </c>
      <c r="O481" s="26">
        <v>51.028038235267452</v>
      </c>
      <c r="P481" s="26">
        <v>10.095643982961704</v>
      </c>
      <c r="Q481" s="26">
        <v>10.47198598541063</v>
      </c>
      <c r="R481" s="26">
        <v>22.699039531176929</v>
      </c>
      <c r="S481" s="26">
        <v>24.796763909763857</v>
      </c>
      <c r="T481" s="26">
        <v>51.366824121621391</v>
      </c>
      <c r="U481" s="26">
        <v>7.9203914338019237</v>
      </c>
      <c r="V481" s="27">
        <v>185.15914084807304</v>
      </c>
      <c r="W481" s="27">
        <v>297.09947935262346</v>
      </c>
      <c r="X481" s="26">
        <v>28.951390954136098</v>
      </c>
      <c r="Y481" s="28">
        <v>326.05800715831361</v>
      </c>
      <c r="Z481" s="17" t="str">
        <f>SUBSTITUTE(SUBSTITUTE(SUBSTITUTE(SUBSTITUTE(IF(E481="","",VLOOKUP(E481,[1]Esquemas_NORM!$A$2:$H$126,8,FALSE)),"PROVINCIA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481" s="17" t="str">
        <f>IF($E481="","",INDEX([1]Esquemas_NORM!$H$2:$K$126,MATCH($E481,[1]Esquemas_NORM!$A$2:$A$126,0),MATCH(AA$4,[1]Esquemas_NORM!$H$1:$K$1,0)))</f>
        <v>A la fecha no ha conformado un EAT Región</v>
      </c>
      <c r="AB481" s="17" t="str">
        <f>IF($E481="","",INDEX([1]Esquemas_NORM!$H$2:$K$126,MATCH($E481,[1]Esquemas_NORM!$A$2:$A$126,0),MATCH(AB$4,[1]Esquemas_NORM!$H$1:$K$1,0)))</f>
        <v>A la fecha no ha conformado un EAT Área Metropolitana</v>
      </c>
      <c r="AC481" s="17" t="str">
        <f>IF($E481="","",INDEX([1]Esquemas_NORM!$H$2:$K$126,MATCH($E481,[1]Esquemas_NORM!$A$2:$A$126,0),MATCH(AC$4,[1]Esquemas_NORM!$H$1:$K$1,0)))</f>
        <v>A la fecha no ha conformado un EAT asociación - unión</v>
      </c>
      <c r="AD481" s="23"/>
    </row>
    <row r="482" spans="1:30" x14ac:dyDescent="0.25">
      <c r="A482" s="24">
        <v>2018</v>
      </c>
      <c r="B482" s="25" t="s">
        <v>36</v>
      </c>
      <c r="C482" s="25" t="s">
        <v>252</v>
      </c>
      <c r="D482" s="25" t="s">
        <v>264</v>
      </c>
      <c r="E482" s="25" t="s">
        <v>272</v>
      </c>
      <c r="F482" s="25" t="s">
        <v>255</v>
      </c>
      <c r="G482" s="25" t="s">
        <v>273</v>
      </c>
      <c r="H482" s="26">
        <v>92.975239142933304</v>
      </c>
      <c r="I482" s="26">
        <v>0</v>
      </c>
      <c r="J482" s="27">
        <v>92.975239142933304</v>
      </c>
      <c r="K482" s="26">
        <v>8.578420611931648</v>
      </c>
      <c r="L482" s="26">
        <v>16.35895464268571</v>
      </c>
      <c r="M482" s="27">
        <v>24.937375254617358</v>
      </c>
      <c r="N482" s="26">
        <v>8.1149455067760901</v>
      </c>
      <c r="O482" s="26">
        <v>30.866002328972833</v>
      </c>
      <c r="P482" s="26">
        <v>9.6151987044927996</v>
      </c>
      <c r="Q482" s="26">
        <v>5.2290504643678677</v>
      </c>
      <c r="R482" s="26">
        <v>15.785205153566519</v>
      </c>
      <c r="S482" s="26">
        <v>19.92145853733231</v>
      </c>
      <c r="T482" s="26">
        <v>34.065552142090588</v>
      </c>
      <c r="U482" s="26">
        <v>6.5293184515107665</v>
      </c>
      <c r="V482" s="27">
        <v>130.12673128910976</v>
      </c>
      <c r="W482" s="27">
        <v>254.67585984805262</v>
      </c>
      <c r="X482" s="26">
        <v>24.8173453588985</v>
      </c>
      <c r="Y482" s="28">
        <v>279.4993229686184</v>
      </c>
      <c r="Z482" s="17" t="str">
        <f>SUBSTITUTE(SUBSTITUTE(SUBSTITUTE(SUBSTITUTE(IF(E482="","",VLOOKUP(E482,[1]Esquemas_NORM!$A$2:$H$126,8,FALSE)),"PROVINCIA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482" s="17" t="str">
        <f>IF($E482="","",INDEX([1]Esquemas_NORM!$H$2:$K$126,MATCH($E482,[1]Esquemas_NORM!$A$2:$A$126,0),MATCH(AA$4,[1]Esquemas_NORM!$H$1:$K$1,0)))</f>
        <v>A la fecha no ha conformado un EAT Región</v>
      </c>
      <c r="AB482" s="17" t="str">
        <f>IF($E482="","",INDEX([1]Esquemas_NORM!$H$2:$K$126,MATCH($E482,[1]Esquemas_NORM!$A$2:$A$126,0),MATCH(AB$4,[1]Esquemas_NORM!$H$1:$K$1,0)))</f>
        <v>A la fecha no ha conformado un EAT Área Metropolitana</v>
      </c>
      <c r="AC482" s="17" t="str">
        <f>IF($E482="","",INDEX([1]Esquemas_NORM!$H$2:$K$126,MATCH($E482,[1]Esquemas_NORM!$A$2:$A$126,0),MATCH(AC$4,[1]Esquemas_NORM!$H$1:$K$1,0)))</f>
        <v>A la fecha no ha conformado un EAT asociación - unión</v>
      </c>
      <c r="AD482" s="23"/>
    </row>
    <row r="483" spans="1:30" x14ac:dyDescent="0.25">
      <c r="A483" s="24">
        <v>2018</v>
      </c>
      <c r="B483" s="25" t="s">
        <v>36</v>
      </c>
      <c r="C483" s="25" t="s">
        <v>252</v>
      </c>
      <c r="D483" s="25" t="s">
        <v>253</v>
      </c>
      <c r="E483" s="25" t="s">
        <v>274</v>
      </c>
      <c r="F483" s="25" t="s">
        <v>255</v>
      </c>
      <c r="G483" s="25" t="s">
        <v>275</v>
      </c>
      <c r="H483" s="26">
        <v>110.90862872975721</v>
      </c>
      <c r="I483" s="26">
        <v>0</v>
      </c>
      <c r="J483" s="27">
        <v>110.90862872975721</v>
      </c>
      <c r="K483" s="26">
        <v>10.040224886618869</v>
      </c>
      <c r="L483" s="26">
        <v>21.62841561808661</v>
      </c>
      <c r="M483" s="27">
        <v>31.668640504705479</v>
      </c>
      <c r="N483" s="26">
        <v>6.9376286815888726</v>
      </c>
      <c r="O483" s="26">
        <v>39.442811445631357</v>
      </c>
      <c r="P483" s="26">
        <v>10.486551805842659</v>
      </c>
      <c r="Q483" s="26">
        <v>5.8011965882048377</v>
      </c>
      <c r="R483" s="26">
        <v>21.502990273407157</v>
      </c>
      <c r="S483" s="26">
        <v>26.098235039998517</v>
      </c>
      <c r="T483" s="26">
        <v>40.2657284927975</v>
      </c>
      <c r="U483" s="26">
        <v>9.4115319928178085</v>
      </c>
      <c r="V483" s="27">
        <v>159.94667432028871</v>
      </c>
      <c r="W483" s="27">
        <v>310.18624225793599</v>
      </c>
      <c r="X483" s="26">
        <v>30.226654007516991</v>
      </c>
      <c r="Y483" s="28">
        <v>340.42034748404797</v>
      </c>
      <c r="Z483" s="17" t="str">
        <f>SUBSTITUTE(SUBSTITUTE(SUBSTITUTE(SUBSTITUTE(IF(E483="","",VLOOKUP(E483,[1]Esquemas_NORM!$A$2:$H$126,8,FALSE)),"PROVINCIA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83" s="17" t="str">
        <f>IF($E483="","",INDEX([1]Esquemas_NORM!$H$2:$K$126,MATCH($E483,[1]Esquemas_NORM!$A$2:$A$126,0),MATCH(AA$4,[1]Esquemas_NORM!$H$1:$K$1,0)))</f>
        <v>A la fecha no ha conformado un EAT Región</v>
      </c>
      <c r="AB483" s="17" t="str">
        <f>IF($E483="","",INDEX([1]Esquemas_NORM!$H$2:$K$126,MATCH($E483,[1]Esquemas_NORM!$A$2:$A$126,0),MATCH(AB$4,[1]Esquemas_NORM!$H$1:$K$1,0)))</f>
        <v>A la fecha no ha conformado un EAT Área Metropolitana</v>
      </c>
      <c r="AC483" s="17" t="str">
        <f>IF($E483="","",INDEX([1]Esquemas_NORM!$H$2:$K$126,MATCH($E483,[1]Esquemas_NORM!$A$2:$A$126,0),MATCH(AC$4,[1]Esquemas_NORM!$H$1:$K$1,0)))</f>
        <v>A la fecha no ha conformado un EAT asociación - unión</v>
      </c>
      <c r="AD483" s="23"/>
    </row>
    <row r="484" spans="1:30" x14ac:dyDescent="0.25">
      <c r="A484" s="24">
        <v>2018</v>
      </c>
      <c r="B484" s="25" t="s">
        <v>36</v>
      </c>
      <c r="C484" s="25" t="s">
        <v>252</v>
      </c>
      <c r="D484" s="25" t="s">
        <v>257</v>
      </c>
      <c r="E484" s="25" t="s">
        <v>276</v>
      </c>
      <c r="F484" s="25" t="s">
        <v>255</v>
      </c>
      <c r="G484" s="25" t="s">
        <v>277</v>
      </c>
      <c r="H484" s="26">
        <v>13.733767682263244</v>
      </c>
      <c r="I484" s="26">
        <v>0</v>
      </c>
      <c r="J484" s="27">
        <v>13.733767682263244</v>
      </c>
      <c r="K484" s="26">
        <v>2.3555039422404551</v>
      </c>
      <c r="L484" s="26">
        <v>3.4588826412926639</v>
      </c>
      <c r="M484" s="27">
        <v>5.8143865835331194</v>
      </c>
      <c r="N484" s="26">
        <v>1.95907910381909</v>
      </c>
      <c r="O484" s="26">
        <v>9.9341405833112475</v>
      </c>
      <c r="P484" s="26">
        <v>2.0852440206692964</v>
      </c>
      <c r="Q484" s="26">
        <v>1.0349185577777749</v>
      </c>
      <c r="R484" s="26">
        <v>5.3662024947682374</v>
      </c>
      <c r="S484" s="26">
        <v>5.369935113909734</v>
      </c>
      <c r="T484" s="26">
        <v>9.465751988100271</v>
      </c>
      <c r="U484" s="26">
        <v>1.583955935185317</v>
      </c>
      <c r="V484" s="27">
        <v>36.799227797540965</v>
      </c>
      <c r="W484" s="27">
        <v>57.685521838816889</v>
      </c>
      <c r="X484" s="26">
        <v>5.6212690065555009</v>
      </c>
      <c r="Y484" s="28">
        <v>63.308176552971325</v>
      </c>
      <c r="Z484" s="17" t="str">
        <f>SUBSTITUTE(SUBSTITUTE(SUBSTITUTE(SUBSTITUTE(IF(E484="","",VLOOKUP(E484,[1]Esquemas_NORM!$A$2:$H$126,8,FALSE)),"PROVINCIA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484" s="17" t="str">
        <f>IF($E484="","",INDEX([1]Esquemas_NORM!$H$2:$K$126,MATCH($E484,[1]Esquemas_NORM!$A$2:$A$126,0),MATCH(AA$4,[1]Esquemas_NORM!$H$1:$K$1,0)))</f>
        <v>A la fecha no ha conformado un EAT Región</v>
      </c>
      <c r="AB484" s="17" t="str">
        <f>IF($E484="","",INDEX([1]Esquemas_NORM!$H$2:$K$126,MATCH($E484,[1]Esquemas_NORM!$A$2:$A$126,0),MATCH(AB$4,[1]Esquemas_NORM!$H$1:$K$1,0)))</f>
        <v>A la fecha no ha conformado un EAT Área Metropolitana</v>
      </c>
      <c r="AC484" s="17" t="str">
        <f>IF($E484="","",INDEX([1]Esquemas_NORM!$H$2:$K$126,MATCH($E484,[1]Esquemas_NORM!$A$2:$A$126,0),MATCH(AC$4,[1]Esquemas_NORM!$H$1:$K$1,0)))</f>
        <v>A la fecha no ha conformado un EAT asociación - unión</v>
      </c>
      <c r="AD484" s="23"/>
    </row>
    <row r="485" spans="1:30" x14ac:dyDescent="0.25">
      <c r="A485" s="24">
        <v>2018</v>
      </c>
      <c r="B485" s="25" t="s">
        <v>36</v>
      </c>
      <c r="C485" s="25" t="s">
        <v>252</v>
      </c>
      <c r="D485" s="25" t="s">
        <v>257</v>
      </c>
      <c r="E485" s="25" t="s">
        <v>278</v>
      </c>
      <c r="F485" s="25" t="s">
        <v>255</v>
      </c>
      <c r="G485" s="25" t="s">
        <v>279</v>
      </c>
      <c r="H485" s="26">
        <v>44.815943194141063</v>
      </c>
      <c r="I485" s="26">
        <v>0</v>
      </c>
      <c r="J485" s="27">
        <v>44.815943194141063</v>
      </c>
      <c r="K485" s="26">
        <v>10.254749872990068</v>
      </c>
      <c r="L485" s="26">
        <v>6.9195803118853041</v>
      </c>
      <c r="M485" s="27">
        <v>17.174330184875373</v>
      </c>
      <c r="N485" s="26">
        <v>3.998177678876591</v>
      </c>
      <c r="O485" s="26">
        <v>30.28843836602174</v>
      </c>
      <c r="P485" s="26">
        <v>6.1639806889205904</v>
      </c>
      <c r="Q485" s="26">
        <v>4.7435864132273826</v>
      </c>
      <c r="R485" s="26">
        <v>16.799831784044166</v>
      </c>
      <c r="S485" s="26">
        <v>14.379175621738284</v>
      </c>
      <c r="T485" s="26">
        <v>23.185430639904762</v>
      </c>
      <c r="U485" s="26">
        <v>4.6275369775225066</v>
      </c>
      <c r="V485" s="27">
        <v>104.18615817025604</v>
      </c>
      <c r="W485" s="27">
        <v>170.05848805898847</v>
      </c>
      <c r="X485" s="26">
        <v>16.57165399142913</v>
      </c>
      <c r="Y485" s="28">
        <v>186.63422715412571</v>
      </c>
      <c r="Z485" s="17" t="str">
        <f>SUBSTITUTE(SUBSTITUTE(SUBSTITUTE(SUBSTITUTE(IF(E485="","",VLOOKUP(E485,[1]Esquemas_NORM!$A$2:$H$126,8,FALSE)),"PROVINCIA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485" s="17" t="str">
        <f>IF($E485="","",INDEX([1]Esquemas_NORM!$H$2:$K$126,MATCH($E485,[1]Esquemas_NORM!$A$2:$A$126,0),MATCH(AA$4,[1]Esquemas_NORM!$H$1:$K$1,0)))</f>
        <v>A la fecha no ha conformado un EAT Región</v>
      </c>
      <c r="AB485" s="17" t="str">
        <f>IF($E485="","",INDEX([1]Esquemas_NORM!$H$2:$K$126,MATCH($E485,[1]Esquemas_NORM!$A$2:$A$126,0),MATCH(AB$4,[1]Esquemas_NORM!$H$1:$K$1,0)))</f>
        <v>A la fecha no ha conformado un EAT Área Metropolitana</v>
      </c>
      <c r="AC485" s="17" t="str">
        <f>IF($E485="","",INDEX([1]Esquemas_NORM!$H$2:$K$126,MATCH($E485,[1]Esquemas_NORM!$A$2:$A$126,0),MATCH(AC$4,[1]Esquemas_NORM!$H$1:$K$1,0)))</f>
        <v>A la fecha no ha conformado un EAT asociación - unión</v>
      </c>
      <c r="AD485" s="23"/>
    </row>
    <row r="486" spans="1:30" x14ac:dyDescent="0.25">
      <c r="A486" s="24">
        <v>2018</v>
      </c>
      <c r="B486" s="25" t="s">
        <v>36</v>
      </c>
      <c r="C486" s="25" t="s">
        <v>252</v>
      </c>
      <c r="D486" s="25" t="s">
        <v>267</v>
      </c>
      <c r="E486" s="25" t="s">
        <v>280</v>
      </c>
      <c r="F486" s="25" t="s">
        <v>255</v>
      </c>
      <c r="G486" s="25" t="s">
        <v>281</v>
      </c>
      <c r="H486" s="26">
        <v>53.439707437426584</v>
      </c>
      <c r="I486" s="26">
        <v>0</v>
      </c>
      <c r="J486" s="27">
        <v>53.439707437426584</v>
      </c>
      <c r="K486" s="26">
        <v>3.6661270323052224</v>
      </c>
      <c r="L486" s="26">
        <v>13.604534620348705</v>
      </c>
      <c r="M486" s="27">
        <v>17.270661652653928</v>
      </c>
      <c r="N486" s="26">
        <v>19.274473918859556</v>
      </c>
      <c r="O486" s="26">
        <v>20.243873353520005</v>
      </c>
      <c r="P486" s="26">
        <v>4.5581484910419086</v>
      </c>
      <c r="Q486" s="26">
        <v>2.9400574237926995</v>
      </c>
      <c r="R486" s="26">
        <v>10.8267242197774</v>
      </c>
      <c r="S486" s="26">
        <v>13.807149485989971</v>
      </c>
      <c r="T486" s="26">
        <v>23.794988564848481</v>
      </c>
      <c r="U486" s="26">
        <v>4.513527883818</v>
      </c>
      <c r="V486" s="27">
        <v>99.958943341648009</v>
      </c>
      <c r="W486" s="27">
        <v>175.59690820799702</v>
      </c>
      <c r="X486" s="26">
        <v>17.111355263716316</v>
      </c>
      <c r="Y486" s="28">
        <v>192.71248161800551</v>
      </c>
      <c r="Z486" s="17" t="str">
        <f>SUBSTITUTE(SUBSTITUTE(SUBSTITUTE(SUBSTITUTE(IF(E486="","",VLOOKUP(E486,[1]Esquemas_NORM!$A$2:$H$126,8,FALSE)),"PROVINCIA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86" s="17" t="str">
        <f>IF($E486="","",INDEX([1]Esquemas_NORM!$H$2:$K$126,MATCH($E486,[1]Esquemas_NORM!$A$2:$A$126,0),MATCH(AA$4,[1]Esquemas_NORM!$H$1:$K$1,0)))</f>
        <v>A la fecha no ha conformado un EAT Región</v>
      </c>
      <c r="AB486" s="17" t="str">
        <f>IF($E486="","",INDEX([1]Esquemas_NORM!$H$2:$K$126,MATCH($E486,[1]Esquemas_NORM!$A$2:$A$126,0),MATCH(AB$4,[1]Esquemas_NORM!$H$1:$K$1,0)))</f>
        <v>A la fecha no ha conformado un EAT Área Metropolitana</v>
      </c>
      <c r="AC486" s="17" t="str">
        <f>IF($E486="","",INDEX([1]Esquemas_NORM!$H$2:$K$126,MATCH($E486,[1]Esquemas_NORM!$A$2:$A$126,0),MATCH(AC$4,[1]Esquemas_NORM!$H$1:$K$1,0)))</f>
        <v>A la fecha no ha conformado un EAT asociación - unión</v>
      </c>
      <c r="AD486" s="23"/>
    </row>
    <row r="487" spans="1:30" x14ac:dyDescent="0.25">
      <c r="A487" s="24">
        <v>2018</v>
      </c>
      <c r="B487" s="25" t="s">
        <v>36</v>
      </c>
      <c r="C487" s="25" t="s">
        <v>252</v>
      </c>
      <c r="D487" s="25" t="s">
        <v>267</v>
      </c>
      <c r="E487" s="25" t="s">
        <v>282</v>
      </c>
      <c r="F487" s="25" t="s">
        <v>255</v>
      </c>
      <c r="G487" s="25" t="s">
        <v>283</v>
      </c>
      <c r="H487" s="26">
        <v>5.5706117267524053</v>
      </c>
      <c r="I487" s="26">
        <v>7.3396814735889579</v>
      </c>
      <c r="J487" s="27">
        <v>12.910293200341364</v>
      </c>
      <c r="K487" s="26">
        <v>19.667340291645587</v>
      </c>
      <c r="L487" s="26">
        <v>50.624746957812697</v>
      </c>
      <c r="M487" s="27">
        <v>70.292087249458291</v>
      </c>
      <c r="N487" s="26">
        <v>5.7016669976088838</v>
      </c>
      <c r="O487" s="26">
        <v>41.125421797766457</v>
      </c>
      <c r="P487" s="26">
        <v>3.3785669200429269</v>
      </c>
      <c r="Q487" s="26">
        <v>1.9392086379229259</v>
      </c>
      <c r="R487" s="26">
        <v>7.6464680540040542</v>
      </c>
      <c r="S487" s="26">
        <v>12.865396544131</v>
      </c>
      <c r="T487" s="26">
        <v>15.284062863276425</v>
      </c>
      <c r="U487" s="26">
        <v>2.95200008088004</v>
      </c>
      <c r="V487" s="27">
        <v>90.892791895632698</v>
      </c>
      <c r="W487" s="27">
        <v>172.53013110559772</v>
      </c>
      <c r="X487" s="26">
        <v>16.812507675503607</v>
      </c>
      <c r="Y487" s="28">
        <v>189.34678325801843</v>
      </c>
      <c r="Z487" s="17" t="str">
        <f>SUBSTITUTE(SUBSTITUTE(SUBSTITUTE(SUBSTITUTE(IF(E487="","",VLOOKUP(E487,[1]Esquemas_NORM!$A$2:$H$126,8,FALSE)),"PROVINCIA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87" s="17" t="str">
        <f>IF($E487="","",INDEX([1]Esquemas_NORM!$H$2:$K$126,MATCH($E487,[1]Esquemas_NORM!$A$2:$A$126,0),MATCH(AA$4,[1]Esquemas_NORM!$H$1:$K$1,0)))</f>
        <v>A la fecha no ha conformado un EAT Región</v>
      </c>
      <c r="AB487" s="17" t="str">
        <f>IF($E487="","",INDEX([1]Esquemas_NORM!$H$2:$K$126,MATCH($E487,[1]Esquemas_NORM!$A$2:$A$126,0),MATCH(AB$4,[1]Esquemas_NORM!$H$1:$K$1,0)))</f>
        <v>A la fecha no ha conformado un EAT Área Metropolitana</v>
      </c>
      <c r="AC487" s="17" t="str">
        <f>IF($E487="","",INDEX([1]Esquemas_NORM!$H$2:$K$126,MATCH($E487,[1]Esquemas_NORM!$A$2:$A$126,0),MATCH(AC$4,[1]Esquemas_NORM!$H$1:$K$1,0)))</f>
        <v>A la fecha no ha conformado un EAT asociación - unión</v>
      </c>
      <c r="AD487" s="23"/>
    </row>
    <row r="488" spans="1:30" x14ac:dyDescent="0.25">
      <c r="A488" s="24">
        <v>2018</v>
      </c>
      <c r="B488" s="25" t="s">
        <v>36</v>
      </c>
      <c r="C488" s="25" t="s">
        <v>252</v>
      </c>
      <c r="D488" s="25" t="s">
        <v>267</v>
      </c>
      <c r="E488" s="25" t="s">
        <v>284</v>
      </c>
      <c r="F488" s="25" t="s">
        <v>255</v>
      </c>
      <c r="G488" s="25" t="s">
        <v>285</v>
      </c>
      <c r="H488" s="26">
        <v>13.174365362840783</v>
      </c>
      <c r="I488" s="26">
        <v>0</v>
      </c>
      <c r="J488" s="27">
        <v>13.174365362840783</v>
      </c>
      <c r="K488" s="26">
        <v>7.4300736620026901</v>
      </c>
      <c r="L488" s="26">
        <v>25.520738716899935</v>
      </c>
      <c r="M488" s="27">
        <v>32.950812378902626</v>
      </c>
      <c r="N488" s="26">
        <v>1.0697610280461716</v>
      </c>
      <c r="O488" s="26">
        <v>7.4148498919410359</v>
      </c>
      <c r="P488" s="26">
        <v>2.6737974016744555</v>
      </c>
      <c r="Q488" s="26">
        <v>1.2887890978575047</v>
      </c>
      <c r="R488" s="26">
        <v>6.2970143047741836</v>
      </c>
      <c r="S488" s="26">
        <v>7.3582959325150252</v>
      </c>
      <c r="T488" s="26">
        <v>14.088431899548532</v>
      </c>
      <c r="U488" s="26">
        <v>2.0736588381397851</v>
      </c>
      <c r="V488" s="27">
        <v>42.264598394496694</v>
      </c>
      <c r="W488" s="27">
        <v>87.349791461475874</v>
      </c>
      <c r="X488" s="26">
        <v>8.5119568969741302</v>
      </c>
      <c r="Y488" s="28">
        <v>95.863846653930992</v>
      </c>
      <c r="Z488" s="17" t="str">
        <f>SUBSTITUTE(SUBSTITUTE(SUBSTITUTE(SUBSTITUTE(IF(E488="","",VLOOKUP(E488,[1]Esquemas_NORM!$A$2:$H$126,8,FALSE)),"PROVINCIA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88" s="17" t="str">
        <f>IF($E488="","",INDEX([1]Esquemas_NORM!$H$2:$K$126,MATCH($E488,[1]Esquemas_NORM!$A$2:$A$126,0),MATCH(AA$4,[1]Esquemas_NORM!$H$1:$K$1,0)))</f>
        <v>A la fecha no ha conformado un EAT Región</v>
      </c>
      <c r="AB488" s="17" t="str">
        <f>IF($E488="","",INDEX([1]Esquemas_NORM!$H$2:$K$126,MATCH($E488,[1]Esquemas_NORM!$A$2:$A$126,0),MATCH(AB$4,[1]Esquemas_NORM!$H$1:$K$1,0)))</f>
        <v>A la fecha no ha conformado un EAT Área Metropolitana</v>
      </c>
      <c r="AC488" s="17" t="str">
        <f>IF($E488="","",INDEX([1]Esquemas_NORM!$H$2:$K$126,MATCH($E488,[1]Esquemas_NORM!$A$2:$A$126,0),MATCH(AC$4,[1]Esquemas_NORM!$H$1:$K$1,0)))</f>
        <v>A la fecha no ha conformado un EAT asociación - unión</v>
      </c>
      <c r="AD488" s="23"/>
    </row>
    <row r="489" spans="1:30" x14ac:dyDescent="0.25">
      <c r="A489" s="24">
        <v>2018</v>
      </c>
      <c r="B489" s="25" t="s">
        <v>36</v>
      </c>
      <c r="C489" s="25" t="s">
        <v>252</v>
      </c>
      <c r="D489" s="25" t="s">
        <v>267</v>
      </c>
      <c r="E489" s="25" t="s">
        <v>286</v>
      </c>
      <c r="F489" s="25" t="s">
        <v>255</v>
      </c>
      <c r="G489" s="25" t="s">
        <v>287</v>
      </c>
      <c r="H489" s="26">
        <v>0.95929175018719326</v>
      </c>
      <c r="I489" s="26">
        <v>0</v>
      </c>
      <c r="J489" s="27">
        <v>0.95929175018719326</v>
      </c>
      <c r="K489" s="26">
        <v>1.1702541775601329</v>
      </c>
      <c r="L489" s="26">
        <v>6.4927656131209863</v>
      </c>
      <c r="M489" s="27">
        <v>7.663019790681119</v>
      </c>
      <c r="N489" s="26">
        <v>1.7782560087596497</v>
      </c>
      <c r="O489" s="26">
        <v>7.6384366602737934</v>
      </c>
      <c r="P489" s="26">
        <v>3.8566934796279631</v>
      </c>
      <c r="Q489" s="26">
        <v>1.8038151366191619</v>
      </c>
      <c r="R489" s="26">
        <v>6.0458793760226337</v>
      </c>
      <c r="S489" s="26">
        <v>8.6638542252407067</v>
      </c>
      <c r="T489" s="26">
        <v>21.447328649684337</v>
      </c>
      <c r="U489" s="26">
        <v>2.7809835029840948</v>
      </c>
      <c r="V489" s="27">
        <v>54.01524703921234</v>
      </c>
      <c r="W489" s="27">
        <v>63.384425681279694</v>
      </c>
      <c r="X489" s="26">
        <v>6.1766088998210877</v>
      </c>
      <c r="Y489" s="28">
        <v>69.562557186384055</v>
      </c>
      <c r="Z489" s="17" t="str">
        <f>SUBSTITUTE(SUBSTITUTE(SUBSTITUTE(SUBSTITUTE(IF(E489="","",VLOOKUP(E489,[1]Esquemas_NORM!$A$2:$H$126,8,FALSE)),"PROVINCIA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89" s="17" t="str">
        <f>IF($E489="","",INDEX([1]Esquemas_NORM!$H$2:$K$126,MATCH($E489,[1]Esquemas_NORM!$A$2:$A$126,0),MATCH(AA$4,[1]Esquemas_NORM!$H$1:$K$1,0)))</f>
        <v>A la fecha no ha conformado un EAT Región</v>
      </c>
      <c r="AB489" s="17" t="str">
        <f>IF($E489="","",INDEX([1]Esquemas_NORM!$H$2:$K$126,MATCH($E489,[1]Esquemas_NORM!$A$2:$A$126,0),MATCH(AB$4,[1]Esquemas_NORM!$H$1:$K$1,0)))</f>
        <v>A la fecha no ha conformado un EAT Área Metropolitana</v>
      </c>
      <c r="AC489" s="17" t="str">
        <f>IF($E489="","",INDEX([1]Esquemas_NORM!$H$2:$K$126,MATCH($E489,[1]Esquemas_NORM!$A$2:$A$126,0),MATCH(AC$4,[1]Esquemas_NORM!$H$1:$K$1,0)))</f>
        <v>A la fecha no ha conformado un EAT asociación - unión</v>
      </c>
      <c r="AD489" s="23"/>
    </row>
    <row r="490" spans="1:30" x14ac:dyDescent="0.25">
      <c r="A490" s="24">
        <v>2018</v>
      </c>
      <c r="B490" s="25" t="s">
        <v>36</v>
      </c>
      <c r="C490" s="25" t="s">
        <v>252</v>
      </c>
      <c r="D490" s="25" t="s">
        <v>264</v>
      </c>
      <c r="E490" s="25" t="s">
        <v>288</v>
      </c>
      <c r="F490" s="25" t="s">
        <v>255</v>
      </c>
      <c r="G490" s="25" t="s">
        <v>289</v>
      </c>
      <c r="H490" s="26">
        <v>69.005488419762585</v>
      </c>
      <c r="I490" s="26">
        <v>0</v>
      </c>
      <c r="J490" s="27">
        <v>69.005488419762585</v>
      </c>
      <c r="K490" s="26">
        <v>5.4366810984138478</v>
      </c>
      <c r="L490" s="26">
        <v>14.075550541943242</v>
      </c>
      <c r="M490" s="27">
        <v>19.51223164035709</v>
      </c>
      <c r="N490" s="26">
        <v>16.769492539517717</v>
      </c>
      <c r="O490" s="26">
        <v>27.198311495046845</v>
      </c>
      <c r="P490" s="26">
        <v>5.9087330902663684</v>
      </c>
      <c r="Q490" s="26">
        <v>3.4907800917371259</v>
      </c>
      <c r="R490" s="26">
        <v>9.8160819031010735</v>
      </c>
      <c r="S490" s="26">
        <v>15.617285137501725</v>
      </c>
      <c r="T490" s="26">
        <v>27.310986442729426</v>
      </c>
      <c r="U490" s="26">
        <v>5.0678313581439287</v>
      </c>
      <c r="V490" s="27">
        <v>111.17950205804422</v>
      </c>
      <c r="W490" s="27">
        <v>205.67288608381327</v>
      </c>
      <c r="X490" s="26">
        <v>20.042162802350006</v>
      </c>
      <c r="Y490" s="28">
        <v>225.7199895102932</v>
      </c>
      <c r="Z490" s="17" t="str">
        <f>SUBSTITUTE(SUBSTITUTE(SUBSTITUTE(SUBSTITUTE(IF(E490="","",VLOOKUP(E490,[1]Esquemas_NORM!$A$2:$H$126,8,FALSE)),"PROVINCIA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490" s="17" t="str">
        <f>IF($E490="","",INDEX([1]Esquemas_NORM!$H$2:$K$126,MATCH($E490,[1]Esquemas_NORM!$A$2:$A$126,0),MATCH(AA$4,[1]Esquemas_NORM!$H$1:$K$1,0)))</f>
        <v>A la fecha no ha conformado un EAT Región</v>
      </c>
      <c r="AB490" s="17" t="str">
        <f>IF($E490="","",INDEX([1]Esquemas_NORM!$H$2:$K$126,MATCH($E490,[1]Esquemas_NORM!$A$2:$A$126,0),MATCH(AB$4,[1]Esquemas_NORM!$H$1:$K$1,0)))</f>
        <v>A la fecha no ha conformado un EAT Área Metropolitana</v>
      </c>
      <c r="AC490" s="17" t="str">
        <f>IF($E490="","",INDEX([1]Esquemas_NORM!$H$2:$K$126,MATCH($E490,[1]Esquemas_NORM!$A$2:$A$126,0),MATCH(AC$4,[1]Esquemas_NORM!$H$1:$K$1,0)))</f>
        <v>A la fecha no ha conformado un EAT asociación - unión</v>
      </c>
      <c r="AD490" s="23"/>
    </row>
    <row r="491" spans="1:30" x14ac:dyDescent="0.25">
      <c r="A491" s="24">
        <v>2018</v>
      </c>
      <c r="B491" s="25" t="s">
        <v>36</v>
      </c>
      <c r="C491" s="25" t="s">
        <v>252</v>
      </c>
      <c r="D491" s="25" t="s">
        <v>267</v>
      </c>
      <c r="E491" s="25" t="s">
        <v>290</v>
      </c>
      <c r="F491" s="25" t="s">
        <v>255</v>
      </c>
      <c r="G491" s="25" t="s">
        <v>291</v>
      </c>
      <c r="H491" s="26">
        <v>63.348028279893619</v>
      </c>
      <c r="I491" s="26">
        <v>0</v>
      </c>
      <c r="J491" s="27">
        <v>63.348028279893619</v>
      </c>
      <c r="K491" s="26">
        <v>9.0616157109936335</v>
      </c>
      <c r="L491" s="26">
        <v>16.443640286239553</v>
      </c>
      <c r="M491" s="27">
        <v>25.505255997233185</v>
      </c>
      <c r="N491" s="26">
        <v>7.1589340701361559</v>
      </c>
      <c r="O491" s="26">
        <v>48.217942280001836</v>
      </c>
      <c r="P491" s="26">
        <v>11.29080000699442</v>
      </c>
      <c r="Q491" s="26">
        <v>6.9830920465646189</v>
      </c>
      <c r="R491" s="26">
        <v>28.643470559561578</v>
      </c>
      <c r="S491" s="26">
        <v>22.65315786741326</v>
      </c>
      <c r="T491" s="26">
        <v>33.327613195237774</v>
      </c>
      <c r="U491" s="26">
        <v>8.7134605135168748</v>
      </c>
      <c r="V491" s="27">
        <v>166.98847053942652</v>
      </c>
      <c r="W491" s="27">
        <v>261.63288237201886</v>
      </c>
      <c r="X491" s="26">
        <v>25.495284880725102</v>
      </c>
      <c r="Y491" s="28">
        <v>287.13445213431703</v>
      </c>
      <c r="Z491" s="17" t="str">
        <f>SUBSTITUTE(SUBSTITUTE(SUBSTITUTE(SUBSTITUTE(IF(E491="","",VLOOKUP(E491,[1]Esquemas_NORM!$A$2:$H$126,8,FALSE)),"PROVINCIA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91" s="17" t="str">
        <f>IF($E491="","",INDEX([1]Esquemas_NORM!$H$2:$K$126,MATCH($E491,[1]Esquemas_NORM!$A$2:$A$126,0),MATCH(AA$4,[1]Esquemas_NORM!$H$1:$K$1,0)))</f>
        <v>A la fecha no ha conformado un EAT Región</v>
      </c>
      <c r="AB491" s="17" t="str">
        <f>IF($E491="","",INDEX([1]Esquemas_NORM!$H$2:$K$126,MATCH($E491,[1]Esquemas_NORM!$A$2:$A$126,0),MATCH(AB$4,[1]Esquemas_NORM!$H$1:$K$1,0)))</f>
        <v>A la fecha no ha conformado un EAT Área Metropolitana</v>
      </c>
      <c r="AC491" s="17" t="str">
        <f>IF($E491="","",INDEX([1]Esquemas_NORM!$H$2:$K$126,MATCH($E491,[1]Esquemas_NORM!$A$2:$A$126,0),MATCH(AC$4,[1]Esquemas_NORM!$H$1:$K$1,0)))</f>
        <v>A la fecha no ha conformado un EAT asociación - unión</v>
      </c>
      <c r="AD491" s="23"/>
    </row>
    <row r="492" spans="1:30" x14ac:dyDescent="0.25">
      <c r="A492" s="24">
        <v>2018</v>
      </c>
      <c r="B492" s="25" t="s">
        <v>36</v>
      </c>
      <c r="C492" s="25" t="s">
        <v>252</v>
      </c>
      <c r="D492" s="25" t="s">
        <v>267</v>
      </c>
      <c r="E492" s="25" t="s">
        <v>292</v>
      </c>
      <c r="F492" s="25" t="s">
        <v>255</v>
      </c>
      <c r="G492" s="25" t="s">
        <v>293</v>
      </c>
      <c r="H492" s="26">
        <v>63.301070252934728</v>
      </c>
      <c r="I492" s="26">
        <v>0</v>
      </c>
      <c r="J492" s="27">
        <v>63.301070252934728</v>
      </c>
      <c r="K492" s="26">
        <v>6.0708272583581788</v>
      </c>
      <c r="L492" s="26">
        <v>25.507334443955575</v>
      </c>
      <c r="M492" s="27">
        <v>31.578161702313754</v>
      </c>
      <c r="N492" s="26">
        <v>5.1213620807545706</v>
      </c>
      <c r="O492" s="26">
        <v>23.431439964834905</v>
      </c>
      <c r="P492" s="26">
        <v>6.916512950348392</v>
      </c>
      <c r="Q492" s="26">
        <v>3.9866920487049149</v>
      </c>
      <c r="R492" s="26">
        <v>13.974403101426839</v>
      </c>
      <c r="S492" s="26">
        <v>15.685390797549575</v>
      </c>
      <c r="T492" s="26">
        <v>28.797708988043649</v>
      </c>
      <c r="U492" s="26">
        <v>5.6238937446863213</v>
      </c>
      <c r="V492" s="27">
        <v>103.53740367634917</v>
      </c>
      <c r="W492" s="27">
        <v>201.95852636358688</v>
      </c>
      <c r="X492" s="26">
        <v>19.680210365950781</v>
      </c>
      <c r="Y492" s="28">
        <v>221.64358812822027</v>
      </c>
      <c r="Z492" s="17" t="str">
        <f>SUBSTITUTE(SUBSTITUTE(SUBSTITUTE(SUBSTITUTE(IF(E492="","",VLOOKUP(E492,[1]Esquemas_NORM!$A$2:$H$126,8,FALSE)),"PROVINCIA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92" s="17" t="str">
        <f>IF($E492="","",INDEX([1]Esquemas_NORM!$H$2:$K$126,MATCH($E492,[1]Esquemas_NORM!$A$2:$A$126,0),MATCH(AA$4,[1]Esquemas_NORM!$H$1:$K$1,0)))</f>
        <v>A la fecha no ha conformado un EAT Región</v>
      </c>
      <c r="AB492" s="17" t="str">
        <f>IF($E492="","",INDEX([1]Esquemas_NORM!$H$2:$K$126,MATCH($E492,[1]Esquemas_NORM!$A$2:$A$126,0),MATCH(AB$4,[1]Esquemas_NORM!$H$1:$K$1,0)))</f>
        <v>A la fecha no ha conformado un EAT Área Metropolitana</v>
      </c>
      <c r="AC492" s="17" t="str">
        <f>IF($E492="","",INDEX([1]Esquemas_NORM!$H$2:$K$126,MATCH($E492,[1]Esquemas_NORM!$A$2:$A$126,0),MATCH(AC$4,[1]Esquemas_NORM!$H$1:$K$1,0)))</f>
        <v>A la fecha no ha conformado un EAT asociación - unión</v>
      </c>
      <c r="AD492" s="23"/>
    </row>
    <row r="493" spans="1:30" x14ac:dyDescent="0.25">
      <c r="A493" s="24">
        <v>2018</v>
      </c>
      <c r="B493" s="25" t="s">
        <v>36</v>
      </c>
      <c r="C493" s="25" t="s">
        <v>252</v>
      </c>
      <c r="D493" s="25" t="s">
        <v>267</v>
      </c>
      <c r="E493" s="25" t="s">
        <v>294</v>
      </c>
      <c r="F493" s="25" t="s">
        <v>255</v>
      </c>
      <c r="G493" s="25" t="s">
        <v>295</v>
      </c>
      <c r="H493" s="26">
        <v>37.801273326580102</v>
      </c>
      <c r="I493" s="26">
        <v>0</v>
      </c>
      <c r="J493" s="27">
        <v>37.801273326580102</v>
      </c>
      <c r="K493" s="26">
        <v>5.2895542569835694</v>
      </c>
      <c r="L493" s="26">
        <v>4.1542073707950395</v>
      </c>
      <c r="M493" s="27">
        <v>9.4437616277786098</v>
      </c>
      <c r="N493" s="26">
        <v>3.3277070958891333</v>
      </c>
      <c r="O493" s="26">
        <v>9.6507778885846243</v>
      </c>
      <c r="P493" s="26">
        <v>2.7585330748431041</v>
      </c>
      <c r="Q493" s="26">
        <v>1.7948809342248371</v>
      </c>
      <c r="R493" s="26">
        <v>6.3662279101893855</v>
      </c>
      <c r="S493" s="26">
        <v>8.4527633933818329</v>
      </c>
      <c r="T493" s="26">
        <v>15.704397551044611</v>
      </c>
      <c r="U493" s="26">
        <v>2.2380038019510238</v>
      </c>
      <c r="V493" s="27">
        <v>50.293291650108543</v>
      </c>
      <c r="W493" s="27">
        <v>100.20234610036006</v>
      </c>
      <c r="X493" s="26">
        <v>9.7643971062983308</v>
      </c>
      <c r="Y493" s="28">
        <v>109.96915024308622</v>
      </c>
      <c r="Z493" s="17" t="str">
        <f>SUBSTITUTE(SUBSTITUTE(SUBSTITUTE(SUBSTITUTE(IF(E493="","",VLOOKUP(E493,[1]Esquemas_NORM!$A$2:$H$126,8,FALSE)),"PROVINCIA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93" s="17" t="str">
        <f>IF($E493="","",INDEX([1]Esquemas_NORM!$H$2:$K$126,MATCH($E493,[1]Esquemas_NORM!$A$2:$A$126,0),MATCH(AA$4,[1]Esquemas_NORM!$H$1:$K$1,0)))</f>
        <v>A la fecha no ha conformado un EAT Región</v>
      </c>
      <c r="AB493" s="17" t="str">
        <f>IF($E493="","",INDEX([1]Esquemas_NORM!$H$2:$K$126,MATCH($E493,[1]Esquemas_NORM!$A$2:$A$126,0),MATCH(AB$4,[1]Esquemas_NORM!$H$1:$K$1,0)))</f>
        <v>A la fecha no ha conformado un EAT Área Metropolitana</v>
      </c>
      <c r="AC493" s="17" t="str">
        <f>IF($E493="","",INDEX([1]Esquemas_NORM!$H$2:$K$126,MATCH($E493,[1]Esquemas_NORM!$A$2:$A$126,0),MATCH(AC$4,[1]Esquemas_NORM!$H$1:$K$1,0)))</f>
        <v>A la fecha no ha conformado un EAT asociación - unión</v>
      </c>
      <c r="AD493" s="23"/>
    </row>
    <row r="494" spans="1:30" x14ac:dyDescent="0.25">
      <c r="A494" s="24">
        <v>2018</v>
      </c>
      <c r="B494" s="25" t="s">
        <v>36</v>
      </c>
      <c r="C494" s="25" t="s">
        <v>252</v>
      </c>
      <c r="D494" s="25" t="s">
        <v>253</v>
      </c>
      <c r="E494" s="25" t="s">
        <v>296</v>
      </c>
      <c r="F494" s="25" t="s">
        <v>255</v>
      </c>
      <c r="G494" s="25" t="s">
        <v>297</v>
      </c>
      <c r="H494" s="26">
        <v>23.713859289699599</v>
      </c>
      <c r="I494" s="26">
        <v>0.72593521838071462</v>
      </c>
      <c r="J494" s="27">
        <v>24.439794508080315</v>
      </c>
      <c r="K494" s="26">
        <v>3.715584108724908</v>
      </c>
      <c r="L494" s="26">
        <v>5.9276469254822075</v>
      </c>
      <c r="M494" s="27">
        <v>9.6432310342071155</v>
      </c>
      <c r="N494" s="26">
        <v>3.6096317104282876</v>
      </c>
      <c r="O494" s="26">
        <v>18.474499816613989</v>
      </c>
      <c r="P494" s="26">
        <v>4.329808821102735</v>
      </c>
      <c r="Q494" s="26">
        <v>1.7747627236913774</v>
      </c>
      <c r="R494" s="26">
        <v>9.4552699289446558</v>
      </c>
      <c r="S494" s="26">
        <v>10.942561278890404</v>
      </c>
      <c r="T494" s="26">
        <v>18.722346328521109</v>
      </c>
      <c r="U494" s="26">
        <v>3.8342126913465959</v>
      </c>
      <c r="V494" s="27">
        <v>71.143093299539146</v>
      </c>
      <c r="W494" s="27">
        <v>107.81207336604437</v>
      </c>
      <c r="X494" s="26">
        <v>10.505940610860405</v>
      </c>
      <c r="Y494" s="28">
        <v>118.32060381235324</v>
      </c>
      <c r="Z494" s="17" t="str">
        <f>SUBSTITUTE(SUBSTITUTE(SUBSTITUTE(SUBSTITUTE(IF(E494="","",VLOOKUP(E494,[1]Esquemas_NORM!$A$2:$H$126,8,FALSE)),"PROVINCIA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494" s="17" t="str">
        <f>IF($E494="","",INDEX([1]Esquemas_NORM!$H$2:$K$126,MATCH($E494,[1]Esquemas_NORM!$A$2:$A$126,0),MATCH(AA$4,[1]Esquemas_NORM!$H$1:$K$1,0)))</f>
        <v>A la fecha no ha conformado un EAT Región</v>
      </c>
      <c r="AB494" s="17" t="str">
        <f>IF($E494="","",INDEX([1]Esquemas_NORM!$H$2:$K$126,MATCH($E494,[1]Esquemas_NORM!$A$2:$A$126,0),MATCH(AB$4,[1]Esquemas_NORM!$H$1:$K$1,0)))</f>
        <v>A la fecha no ha conformado un EAT Área Metropolitana</v>
      </c>
      <c r="AC494" s="17" t="str">
        <f>IF($E494="","",INDEX([1]Esquemas_NORM!$H$2:$K$126,MATCH($E494,[1]Esquemas_NORM!$A$2:$A$126,0),MATCH(AC$4,[1]Esquemas_NORM!$H$1:$K$1,0)))</f>
        <v>A la fecha no ha conformado un EAT asociación - unión</v>
      </c>
      <c r="AD494" s="23"/>
    </row>
    <row r="495" spans="1:30" x14ac:dyDescent="0.25">
      <c r="A495" s="24">
        <v>2018</v>
      </c>
      <c r="B495" s="25" t="s">
        <v>36</v>
      </c>
      <c r="C495" s="25" t="s">
        <v>252</v>
      </c>
      <c r="D495" s="25" t="s">
        <v>264</v>
      </c>
      <c r="E495" s="25" t="s">
        <v>298</v>
      </c>
      <c r="F495" s="25" t="s">
        <v>255</v>
      </c>
      <c r="G495" s="25" t="s">
        <v>299</v>
      </c>
      <c r="H495" s="26">
        <v>202.92428916868445</v>
      </c>
      <c r="I495" s="26">
        <v>0</v>
      </c>
      <c r="J495" s="27">
        <v>202.92428916868445</v>
      </c>
      <c r="K495" s="26">
        <v>23.883839947226342</v>
      </c>
      <c r="L495" s="26">
        <v>26.462090636670748</v>
      </c>
      <c r="M495" s="27">
        <v>50.345930583897086</v>
      </c>
      <c r="N495" s="26">
        <v>7.9879239848323644</v>
      </c>
      <c r="O495" s="26">
        <v>42.789469999634058</v>
      </c>
      <c r="P495" s="26">
        <v>12.289290518768947</v>
      </c>
      <c r="Q495" s="26">
        <v>9.1573505045344099</v>
      </c>
      <c r="R495" s="26">
        <v>23.445762414546248</v>
      </c>
      <c r="S495" s="26">
        <v>31.18477384935947</v>
      </c>
      <c r="T495" s="26">
        <v>59.544311319778856</v>
      </c>
      <c r="U495" s="26">
        <v>8.8071145793571244</v>
      </c>
      <c r="V495" s="27">
        <v>195.20599717081149</v>
      </c>
      <c r="W495" s="27">
        <v>460.57505044329662</v>
      </c>
      <c r="X495" s="26">
        <v>44.881560809743654</v>
      </c>
      <c r="Y495" s="28">
        <v>505.46767507506956</v>
      </c>
      <c r="Z495" s="17" t="str">
        <f>SUBSTITUTE(SUBSTITUTE(SUBSTITUTE(SUBSTITUTE(IF(E495="","",VLOOKUP(E495,[1]Esquemas_NORM!$A$2:$H$126,8,FALSE)),"PROVINCIA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495" s="17" t="str">
        <f>IF($E495="","",INDEX([1]Esquemas_NORM!$H$2:$K$126,MATCH($E495,[1]Esquemas_NORM!$A$2:$A$126,0),MATCH(AA$4,[1]Esquemas_NORM!$H$1:$K$1,0)))</f>
        <v>A la fecha no ha conformado un EAT Región</v>
      </c>
      <c r="AB495" s="17" t="str">
        <f>IF($E495="","",INDEX([1]Esquemas_NORM!$H$2:$K$126,MATCH($E495,[1]Esquemas_NORM!$A$2:$A$126,0),MATCH(AB$4,[1]Esquemas_NORM!$H$1:$K$1,0)))</f>
        <v>A la fecha no ha conformado un EAT Área Metropolitana</v>
      </c>
      <c r="AC495" s="17" t="str">
        <f>IF($E495="","",INDEX([1]Esquemas_NORM!$H$2:$K$126,MATCH($E495,[1]Esquemas_NORM!$A$2:$A$126,0),MATCH(AC$4,[1]Esquemas_NORM!$H$1:$K$1,0)))</f>
        <v>A la fecha no ha conformado un EAT asociación - unión</v>
      </c>
      <c r="AD495" s="23"/>
    </row>
    <row r="496" spans="1:30" x14ac:dyDescent="0.25">
      <c r="A496" s="24">
        <v>2018</v>
      </c>
      <c r="B496" s="25" t="s">
        <v>36</v>
      </c>
      <c r="C496" s="25" t="s">
        <v>252</v>
      </c>
      <c r="D496" s="25" t="s">
        <v>267</v>
      </c>
      <c r="E496" s="25" t="s">
        <v>300</v>
      </c>
      <c r="F496" s="25" t="s">
        <v>255</v>
      </c>
      <c r="G496" s="25" t="s">
        <v>301</v>
      </c>
      <c r="H496" s="26">
        <v>81.20232917423867</v>
      </c>
      <c r="I496" s="26">
        <v>2.1214658541690223</v>
      </c>
      <c r="J496" s="27">
        <v>83.323795028407687</v>
      </c>
      <c r="K496" s="26">
        <v>1.3419391679261083</v>
      </c>
      <c r="L496" s="26">
        <v>12.747110481833129</v>
      </c>
      <c r="M496" s="27">
        <v>14.089049649759238</v>
      </c>
      <c r="N496" s="26">
        <v>2.1201955406817161</v>
      </c>
      <c r="O496" s="26">
        <v>9.6333142408185957</v>
      </c>
      <c r="P496" s="26">
        <v>3.2502291535210976</v>
      </c>
      <c r="Q496" s="26">
        <v>1.5861111193259396</v>
      </c>
      <c r="R496" s="26">
        <v>8.2668502893380129</v>
      </c>
      <c r="S496" s="26">
        <v>8.3130460943730657</v>
      </c>
      <c r="T496" s="26">
        <v>11.910049417104613</v>
      </c>
      <c r="U496" s="26">
        <v>2.9002276698302509</v>
      </c>
      <c r="V496" s="27">
        <v>47.980023524993292</v>
      </c>
      <c r="W496" s="27">
        <v>149.92772436675773</v>
      </c>
      <c r="X496" s="26">
        <v>14.609975663591538</v>
      </c>
      <c r="Y496" s="28">
        <v>164.54130155774001</v>
      </c>
      <c r="Z496" s="17" t="str">
        <f>SUBSTITUTE(SUBSTITUTE(SUBSTITUTE(SUBSTITUTE(IF(E496="","",VLOOKUP(E496,[1]Esquemas_NORM!$A$2:$H$126,8,FALSE)),"PROVINCIA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96" s="17" t="str">
        <f>IF($E496="","",INDEX([1]Esquemas_NORM!$H$2:$K$126,MATCH($E496,[1]Esquemas_NORM!$A$2:$A$126,0),MATCH(AA$4,[1]Esquemas_NORM!$H$1:$K$1,0)))</f>
        <v>A la fecha no ha conformado un EAT Región</v>
      </c>
      <c r="AB496" s="17" t="str">
        <f>IF($E496="","",INDEX([1]Esquemas_NORM!$H$2:$K$126,MATCH($E496,[1]Esquemas_NORM!$A$2:$A$126,0),MATCH(AB$4,[1]Esquemas_NORM!$H$1:$K$1,0)))</f>
        <v>A la fecha no ha conformado un EAT Área Metropolitana</v>
      </c>
      <c r="AC496" s="17" t="str">
        <f>IF($E496="","",INDEX([1]Esquemas_NORM!$H$2:$K$126,MATCH($E496,[1]Esquemas_NORM!$A$2:$A$126,0),MATCH(AC$4,[1]Esquemas_NORM!$H$1:$K$1,0)))</f>
        <v>A la fecha no ha conformado un EAT asociación - unión</v>
      </c>
      <c r="AD496" s="23"/>
    </row>
    <row r="497" spans="1:30" x14ac:dyDescent="0.25">
      <c r="A497" s="24">
        <v>2018</v>
      </c>
      <c r="B497" s="25" t="s">
        <v>36</v>
      </c>
      <c r="C497" s="25" t="s">
        <v>252</v>
      </c>
      <c r="D497" s="25" t="s">
        <v>253</v>
      </c>
      <c r="E497" s="25" t="s">
        <v>302</v>
      </c>
      <c r="F497" s="25" t="s">
        <v>255</v>
      </c>
      <c r="G497" s="25" t="s">
        <v>303</v>
      </c>
      <c r="H497" s="26">
        <v>41.459987683694798</v>
      </c>
      <c r="I497" s="26">
        <v>0</v>
      </c>
      <c r="J497" s="27">
        <v>41.459987683694798</v>
      </c>
      <c r="K497" s="26">
        <v>5.1902546634664182</v>
      </c>
      <c r="L497" s="26">
        <v>14.108225345936724</v>
      </c>
      <c r="M497" s="27">
        <v>19.298480009403143</v>
      </c>
      <c r="N497" s="26">
        <v>5.3977402343414713</v>
      </c>
      <c r="O497" s="26">
        <v>24.673205081801115</v>
      </c>
      <c r="P497" s="26">
        <v>5.2960950477491266</v>
      </c>
      <c r="Q497" s="26">
        <v>2.5797010114750885</v>
      </c>
      <c r="R497" s="26">
        <v>13.351324901642544</v>
      </c>
      <c r="S497" s="26">
        <v>15.341018218355336</v>
      </c>
      <c r="T497" s="26">
        <v>27.124743157433187</v>
      </c>
      <c r="U497" s="26">
        <v>4.9640223297838935</v>
      </c>
      <c r="V497" s="27">
        <v>98.727849982581745</v>
      </c>
      <c r="W497" s="27">
        <v>162.95696536002745</v>
      </c>
      <c r="X497" s="26">
        <v>15.87963339120634</v>
      </c>
      <c r="Y497" s="28">
        <v>178.84051326388797</v>
      </c>
      <c r="Z497" s="17" t="str">
        <f>SUBSTITUTE(SUBSTITUTE(SUBSTITUTE(SUBSTITUTE(IF(E497="","",VLOOKUP(E497,[1]Esquemas_NORM!$A$2:$H$126,8,FALSE)),"PROVINCIA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497" s="17" t="str">
        <f>IF($E497="","",INDEX([1]Esquemas_NORM!$H$2:$K$126,MATCH($E497,[1]Esquemas_NORM!$A$2:$A$126,0),MATCH(AA$4,[1]Esquemas_NORM!$H$1:$K$1,0)))</f>
        <v>A la fecha no ha conformado un EAT Región</v>
      </c>
      <c r="AB497" s="17" t="str">
        <f>IF($E497="","",INDEX([1]Esquemas_NORM!$H$2:$K$126,MATCH($E497,[1]Esquemas_NORM!$A$2:$A$126,0),MATCH(AB$4,[1]Esquemas_NORM!$H$1:$K$1,0)))</f>
        <v>A la fecha no ha conformado un EAT Área Metropolitana</v>
      </c>
      <c r="AC497" s="17" t="str">
        <f>IF($E497="","",INDEX([1]Esquemas_NORM!$H$2:$K$126,MATCH($E497,[1]Esquemas_NORM!$A$2:$A$126,0),MATCH(AC$4,[1]Esquemas_NORM!$H$1:$K$1,0)))</f>
        <v>A la fecha no ha conformado un EAT asociación - unión</v>
      </c>
      <c r="AD497" s="23"/>
    </row>
    <row r="498" spans="1:30" x14ac:dyDescent="0.25">
      <c r="A498" s="24">
        <v>2018</v>
      </c>
      <c r="B498" s="25" t="s">
        <v>36</v>
      </c>
      <c r="C498" s="25" t="s">
        <v>304</v>
      </c>
      <c r="D498" s="25" t="s">
        <v>305</v>
      </c>
      <c r="E498" s="25" t="s">
        <v>306</v>
      </c>
      <c r="F498" s="25" t="s">
        <v>307</v>
      </c>
      <c r="G498" s="25" t="s">
        <v>308</v>
      </c>
      <c r="H498" s="26">
        <v>511.77971877213798</v>
      </c>
      <c r="I498" s="26">
        <v>0.35669261306042027</v>
      </c>
      <c r="J498" s="27">
        <v>512.13641138519836</v>
      </c>
      <c r="K498" s="26">
        <v>87.606968959348663</v>
      </c>
      <c r="L498" s="26">
        <v>184.21815453449926</v>
      </c>
      <c r="M498" s="27">
        <v>271.82512349384791</v>
      </c>
      <c r="N498" s="26">
        <v>66.320054899321121</v>
      </c>
      <c r="O498" s="26">
        <v>461.40298396483928</v>
      </c>
      <c r="P498" s="26">
        <v>55.198234275051924</v>
      </c>
      <c r="Q498" s="26">
        <v>67.318645076296548</v>
      </c>
      <c r="R498" s="26">
        <v>134.60745003111964</v>
      </c>
      <c r="S498" s="26">
        <v>172.93391946499671</v>
      </c>
      <c r="T498" s="26">
        <v>242.06343207951281</v>
      </c>
      <c r="U498" s="26">
        <v>45.540764903989611</v>
      </c>
      <c r="V498" s="27">
        <v>1245.3854846951276</v>
      </c>
      <c r="W498" s="27">
        <v>2074.6267036301383</v>
      </c>
      <c r="X498" s="26">
        <v>202.16571537441087</v>
      </c>
      <c r="Y498" s="28">
        <v>2276.8422551834819</v>
      </c>
      <c r="Z498" s="17" t="str">
        <f>SUBSTITUTE(SUBSTITUTE(SUBSTITUTE(SUBSTITUTE(IF(E498="","",VLOOKUP(E498,[1]Esquemas_NORM!$A$2:$H$126,8,FALSE)),"PROVINCIA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98" s="17" t="str">
        <f>IF($E498="","",INDEX([1]Esquemas_NORM!$H$2:$K$126,MATCH($E498,[1]Esquemas_NORM!$A$2:$A$126,0),MATCH(AA$4,[1]Esquemas_NORM!$H$1:$K$1,0)))</f>
        <v>Región de Planeación y Gestión de Urabá - RPG (Acuerdo de Voluntades)</v>
      </c>
      <c r="AB498" s="17" t="str">
        <f>IF($E498="","",INDEX([1]Esquemas_NORM!$H$2:$K$126,MATCH($E498,[1]Esquemas_NORM!$A$2:$A$126,0),MATCH(AB$4,[1]Esquemas_NORM!$H$1:$K$1,0)))</f>
        <v>A la fecha no ha conformado un EAT Área Metropolitana</v>
      </c>
      <c r="AC498" s="17" t="str">
        <f>IF($E498="","",INDEX([1]Esquemas_NORM!$H$2:$K$126,MATCH($E498,[1]Esquemas_NORM!$A$2:$A$126,0),MATCH(AC$4,[1]Esquemas_NORM!$H$1:$K$1,0)))</f>
        <v>ASOCIACIÓN DE MUNICIPIOS DEL URABÁ ANTIOQUEÑO - ASOMURA</v>
      </c>
      <c r="AD498" s="23"/>
    </row>
    <row r="499" spans="1:30" x14ac:dyDescent="0.25">
      <c r="A499" s="24">
        <v>2018</v>
      </c>
      <c r="B499" s="25" t="s">
        <v>36</v>
      </c>
      <c r="C499" s="25" t="s">
        <v>304</v>
      </c>
      <c r="D499" s="25" t="s">
        <v>309</v>
      </c>
      <c r="E499" s="25" t="s">
        <v>310</v>
      </c>
      <c r="F499" s="25" t="s">
        <v>307</v>
      </c>
      <c r="G499" s="25" t="s">
        <v>311</v>
      </c>
      <c r="H499" s="26">
        <v>51.176597901432054</v>
      </c>
      <c r="I499" s="26">
        <v>0</v>
      </c>
      <c r="J499" s="27">
        <v>51.176597901432054</v>
      </c>
      <c r="K499" s="26">
        <v>2.5761898268716918</v>
      </c>
      <c r="L499" s="26">
        <v>21.55621368422376</v>
      </c>
      <c r="M499" s="27">
        <v>24.13240351109545</v>
      </c>
      <c r="N499" s="26">
        <v>7.2433166381859149</v>
      </c>
      <c r="O499" s="26">
        <v>43.469151437070735</v>
      </c>
      <c r="P499" s="26">
        <v>11.890483743967915</v>
      </c>
      <c r="Q499" s="26">
        <v>5.982495272771887</v>
      </c>
      <c r="R499" s="26">
        <v>16.164700000613443</v>
      </c>
      <c r="S499" s="26">
        <v>24.479998500866362</v>
      </c>
      <c r="T499" s="26">
        <v>56.119086613434945</v>
      </c>
      <c r="U499" s="26">
        <v>6.5475675949892436</v>
      </c>
      <c r="V499" s="27">
        <v>171.89679980190044</v>
      </c>
      <c r="W499" s="27">
        <v>253.10582043045818</v>
      </c>
      <c r="X499" s="26">
        <v>24.66435005546499</v>
      </c>
      <c r="Y499" s="28">
        <v>277.77625053248465</v>
      </c>
      <c r="Z499" s="17" t="str">
        <f>SUBSTITUTE(SUBSTITUTE(SUBSTITUTE(SUBSTITUTE(IF(E499="","",VLOOKUP(E499,[1]Esquemas_NORM!$A$2:$H$126,8,FALSE)),"PROVINCIA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499" s="17" t="str">
        <f>IF($E499="","",INDEX([1]Esquemas_NORM!$H$2:$K$126,MATCH($E499,[1]Esquemas_NORM!$A$2:$A$126,0),MATCH(AA$4,[1]Esquemas_NORM!$H$1:$K$1,0)))</f>
        <v>Región de Planeación y Gestión de Urabá - RPG (Acuerdo de Voluntades)</v>
      </c>
      <c r="AB499" s="17" t="str">
        <f>IF($E499="","",INDEX([1]Esquemas_NORM!$H$2:$K$126,MATCH($E499,[1]Esquemas_NORM!$A$2:$A$126,0),MATCH(AB$4,[1]Esquemas_NORM!$H$1:$K$1,0)))</f>
        <v>A la fecha no ha conformado un EAT Área Metropolitana</v>
      </c>
      <c r="AC499" s="17" t="str">
        <f>IF($E499="","",INDEX([1]Esquemas_NORM!$H$2:$K$126,MATCH($E499,[1]Esquemas_NORM!$A$2:$A$126,0),MATCH(AC$4,[1]Esquemas_NORM!$H$1:$K$1,0)))</f>
        <v>ASOCIACIÓN DE MUNICIPIOS DEL URABÁ ANTIOQUEÑO - ASOMURA /ASOCIACIÓN DE MUNICIPIOS DEL URABÁ NORTE-ASOURANOR</v>
      </c>
      <c r="AD499" s="23"/>
    </row>
    <row r="500" spans="1:30" x14ac:dyDescent="0.25">
      <c r="A500" s="24">
        <v>2018</v>
      </c>
      <c r="B500" s="25" t="s">
        <v>36</v>
      </c>
      <c r="C500" s="25" t="s">
        <v>304</v>
      </c>
      <c r="D500" s="25" t="s">
        <v>305</v>
      </c>
      <c r="E500" s="25" t="s">
        <v>312</v>
      </c>
      <c r="F500" s="25" t="s">
        <v>307</v>
      </c>
      <c r="G500" s="25" t="s">
        <v>313</v>
      </c>
      <c r="H500" s="26">
        <v>494.89666878076662</v>
      </c>
      <c r="I500" s="26">
        <v>0</v>
      </c>
      <c r="J500" s="27">
        <v>494.89666878076662</v>
      </c>
      <c r="K500" s="26">
        <v>43.665387163327409</v>
      </c>
      <c r="L500" s="26">
        <v>45.328293301749682</v>
      </c>
      <c r="M500" s="27">
        <v>88.993680465077091</v>
      </c>
      <c r="N500" s="26">
        <v>22.371366909980903</v>
      </c>
      <c r="O500" s="26">
        <v>115.67321217168502</v>
      </c>
      <c r="P500" s="26">
        <v>20.412172501245131</v>
      </c>
      <c r="Q500" s="26">
        <v>14.263703235855269</v>
      </c>
      <c r="R500" s="26">
        <v>35.207553001360829</v>
      </c>
      <c r="S500" s="26">
        <v>50.31390830988493</v>
      </c>
      <c r="T500" s="26">
        <v>62.667289610273251</v>
      </c>
      <c r="U500" s="26">
        <v>13.555505468028837</v>
      </c>
      <c r="V500" s="27">
        <v>334.46471120831416</v>
      </c>
      <c r="W500" s="27">
        <v>948.85483495877327</v>
      </c>
      <c r="X500" s="26">
        <v>92.462859058123271</v>
      </c>
      <c r="Y500" s="28">
        <v>1041.34048717735</v>
      </c>
      <c r="Z500" s="17" t="str">
        <f>SUBSTITUTE(SUBSTITUTE(SUBSTITUTE(SUBSTITUTE(IF(E500="","",VLOOKUP(E500,[1]Esquemas_NORM!$A$2:$H$126,8,FALSE)),"PROVINCIA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00" s="17" t="str">
        <f>IF($E500="","",INDEX([1]Esquemas_NORM!$H$2:$K$126,MATCH($E500,[1]Esquemas_NORM!$A$2:$A$126,0),MATCH(AA$4,[1]Esquemas_NORM!$H$1:$K$1,0)))</f>
        <v>Región de Planeación y Gestión de Urabá - RPG (Acuerdo de Voluntades)</v>
      </c>
      <c r="AB500" s="17" t="str">
        <f>IF($E500="","",INDEX([1]Esquemas_NORM!$H$2:$K$126,MATCH($E500,[1]Esquemas_NORM!$A$2:$A$126,0),MATCH(AB$4,[1]Esquemas_NORM!$H$1:$K$1,0)))</f>
        <v>A la fecha no ha conformado un EAT Área Metropolitana</v>
      </c>
      <c r="AC500" s="17" t="str">
        <f>IF($E500="","",INDEX([1]Esquemas_NORM!$H$2:$K$126,MATCH($E500,[1]Esquemas_NORM!$A$2:$A$126,0),MATCH(AC$4,[1]Esquemas_NORM!$H$1:$K$1,0)))</f>
        <v>ASOCIACIÓN DE MUNICIPIOS DEL URABÁ ANTIOQUEÑO - ASOMURA / ASOCIACIÓN DE MUNICIPIOS DEL CHOCÓ Y URABÁ - ASUMUCUR</v>
      </c>
      <c r="AD500" s="23"/>
    </row>
    <row r="501" spans="1:30" x14ac:dyDescent="0.25">
      <c r="A501" s="24">
        <v>2018</v>
      </c>
      <c r="B501" s="25" t="s">
        <v>36</v>
      </c>
      <c r="C501" s="25" t="s">
        <v>304</v>
      </c>
      <c r="D501" s="25" t="s">
        <v>305</v>
      </c>
      <c r="E501" s="25" t="s">
        <v>314</v>
      </c>
      <c r="F501" s="25" t="s">
        <v>307</v>
      </c>
      <c r="G501" s="25" t="s">
        <v>315</v>
      </c>
      <c r="H501" s="26">
        <v>274.35316699185347</v>
      </c>
      <c r="I501" s="26">
        <v>0</v>
      </c>
      <c r="J501" s="27">
        <v>274.35316699185347</v>
      </c>
      <c r="K501" s="26">
        <v>19.703311090527539</v>
      </c>
      <c r="L501" s="26">
        <v>54.545811943375064</v>
      </c>
      <c r="M501" s="27">
        <v>74.249123033902606</v>
      </c>
      <c r="N501" s="26">
        <v>24.852116076277717</v>
      </c>
      <c r="O501" s="26">
        <v>126.30813922656789</v>
      </c>
      <c r="P501" s="26">
        <v>24.085170371572701</v>
      </c>
      <c r="Q501" s="26">
        <v>21.791089486380248</v>
      </c>
      <c r="R501" s="26">
        <v>41.408370449412956</v>
      </c>
      <c r="S501" s="26">
        <v>56.977309163578894</v>
      </c>
      <c r="T501" s="26">
        <v>93.968743136781782</v>
      </c>
      <c r="U501" s="26">
        <v>19.697188833150452</v>
      </c>
      <c r="V501" s="27">
        <v>409.08812674372263</v>
      </c>
      <c r="W501" s="27">
        <v>778.83252506644101</v>
      </c>
      <c r="X501" s="26">
        <v>75.89473051292957</v>
      </c>
      <c r="Y501" s="28">
        <v>854.74596450517913</v>
      </c>
      <c r="Z501" s="17" t="str">
        <f>SUBSTITUTE(SUBSTITUTE(SUBSTITUTE(SUBSTITUTE(IF(E501="","",VLOOKUP(E501,[1]Esquemas_NORM!$A$2:$H$126,8,FALSE)),"PROVINCIA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01" s="17" t="str">
        <f>IF($E501="","",INDEX([1]Esquemas_NORM!$H$2:$K$126,MATCH($E501,[1]Esquemas_NORM!$A$2:$A$126,0),MATCH(AA$4,[1]Esquemas_NORM!$H$1:$K$1,0)))</f>
        <v>Región de Planeación y Gestión de Urabá - RPG (Acuerdo de Voluntades)</v>
      </c>
      <c r="AB501" s="17" t="str">
        <f>IF($E501="","",INDEX([1]Esquemas_NORM!$H$2:$K$126,MATCH($E501,[1]Esquemas_NORM!$A$2:$A$126,0),MATCH(AB$4,[1]Esquemas_NORM!$H$1:$K$1,0)))</f>
        <v>A la fecha no ha conformado un EAT Área Metropolitana</v>
      </c>
      <c r="AC501" s="17" t="str">
        <f>IF($E501="","",INDEX([1]Esquemas_NORM!$H$2:$K$126,MATCH($E501,[1]Esquemas_NORM!$A$2:$A$126,0),MATCH(AC$4,[1]Esquemas_NORM!$H$1:$K$1,0)))</f>
        <v>ASOCIACIÓN DE MUNICIPIOS DEL URABÁ ANTIOQUEÑO - ASOMURA</v>
      </c>
      <c r="AD501" s="23"/>
    </row>
    <row r="502" spans="1:30" x14ac:dyDescent="0.25">
      <c r="A502" s="24">
        <v>2018</v>
      </c>
      <c r="B502" s="25" t="s">
        <v>36</v>
      </c>
      <c r="C502" s="25" t="s">
        <v>304</v>
      </c>
      <c r="D502" s="25" t="s">
        <v>316</v>
      </c>
      <c r="E502" s="25" t="s">
        <v>317</v>
      </c>
      <c r="F502" s="25" t="s">
        <v>307</v>
      </c>
      <c r="G502" s="25" t="s">
        <v>318</v>
      </c>
      <c r="H502" s="26">
        <v>1.3154583780142428</v>
      </c>
      <c r="I502" s="26">
        <v>0</v>
      </c>
      <c r="J502" s="27">
        <v>1.3154583780142428</v>
      </c>
      <c r="K502" s="26">
        <v>0.26467535815179855</v>
      </c>
      <c r="L502" s="26">
        <v>2.9116015821300496</v>
      </c>
      <c r="M502" s="27">
        <v>3.176276940281848</v>
      </c>
      <c r="N502" s="26">
        <v>0.63004956022467107</v>
      </c>
      <c r="O502" s="26">
        <v>2.718783433401164</v>
      </c>
      <c r="P502" s="26">
        <v>2.0222818592964869</v>
      </c>
      <c r="Q502" s="26">
        <v>0.68189974295202316</v>
      </c>
      <c r="R502" s="26">
        <v>2.2347618141536958</v>
      </c>
      <c r="S502" s="26">
        <v>4.9862136792812377</v>
      </c>
      <c r="T502" s="26">
        <v>14.843259421561834</v>
      </c>
      <c r="U502" s="26">
        <v>1.1468439084501345</v>
      </c>
      <c r="V502" s="27">
        <v>29.264093419321245</v>
      </c>
      <c r="W502" s="27">
        <v>34.312576178965216</v>
      </c>
      <c r="X502" s="26">
        <v>3.3436504492205299</v>
      </c>
      <c r="Y502" s="28">
        <v>37.657050876559246</v>
      </c>
      <c r="Z502" s="17" t="str">
        <f>SUBSTITUTE(SUBSTITUTE(SUBSTITUTE(SUBSTITUTE(IF(E502="","",VLOOKUP(E502,[1]Esquemas_NORM!$A$2:$H$126,8,FALSE)),"PROVINCIA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02" s="17" t="str">
        <f>IF($E502="","",INDEX([1]Esquemas_NORM!$H$2:$K$126,MATCH($E502,[1]Esquemas_NORM!$A$2:$A$126,0),MATCH(AA$4,[1]Esquemas_NORM!$H$1:$K$1,0)))</f>
        <v>Región de Planeación y Gestión de Urabá - RPG (Acuerdo de Voluntades)</v>
      </c>
      <c r="AB502" s="17" t="str">
        <f>IF($E502="","",INDEX([1]Esquemas_NORM!$H$2:$K$126,MATCH($E502,[1]Esquemas_NORM!$A$2:$A$126,0),MATCH(AB$4,[1]Esquemas_NORM!$H$1:$K$1,0)))</f>
        <v>A la fecha no ha conformado un EAT Área Metropolitana</v>
      </c>
      <c r="AC502" s="17" t="str">
        <f>IF($E502="","",INDEX([1]Esquemas_NORM!$H$2:$K$126,MATCH($E502,[1]Esquemas_NORM!$A$2:$A$126,0),MATCH(AC$4,[1]Esquemas_NORM!$H$1:$K$1,0)))</f>
        <v>ASOCIACION DE MUNICIPIOS DE LA CUENCA DEL ATRATO Y DARIEN ASOATRATO / ASOCIACIÓN DE MUNICIPIOS DEL CHOCÓ Y URABÁ - ASUMUCUR</v>
      </c>
      <c r="AD502" s="23"/>
    </row>
    <row r="503" spans="1:30" x14ac:dyDescent="0.25">
      <c r="A503" s="24">
        <v>2018</v>
      </c>
      <c r="B503" s="25" t="s">
        <v>36</v>
      </c>
      <c r="C503" s="25" t="s">
        <v>304</v>
      </c>
      <c r="D503" s="25" t="s">
        <v>305</v>
      </c>
      <c r="E503" s="25" t="s">
        <v>319</v>
      </c>
      <c r="F503" s="25" t="s">
        <v>307</v>
      </c>
      <c r="G503" s="25" t="s">
        <v>320</v>
      </c>
      <c r="H503" s="26">
        <v>37.647279548171738</v>
      </c>
      <c r="I503" s="26">
        <v>27.396409427154236</v>
      </c>
      <c r="J503" s="27">
        <v>65.043688975325978</v>
      </c>
      <c r="K503" s="26">
        <v>1.2910584786028116</v>
      </c>
      <c r="L503" s="26">
        <v>14.828724061974892</v>
      </c>
      <c r="M503" s="27">
        <v>16.119782540577702</v>
      </c>
      <c r="N503" s="26">
        <v>6.9318081597450254</v>
      </c>
      <c r="O503" s="26">
        <v>23.447752944630963</v>
      </c>
      <c r="P503" s="26">
        <v>4.8775416256819826</v>
      </c>
      <c r="Q503" s="26">
        <v>3.2020609202274328</v>
      </c>
      <c r="R503" s="26">
        <v>8.704452309680347</v>
      </c>
      <c r="S503" s="26">
        <v>16.610096018548177</v>
      </c>
      <c r="T503" s="26">
        <v>37.288003273973999</v>
      </c>
      <c r="U503" s="26">
        <v>3.1193575051485545</v>
      </c>
      <c r="V503" s="27">
        <v>104.18107275763649</v>
      </c>
      <c r="W503" s="27">
        <v>191.36406112734736</v>
      </c>
      <c r="X503" s="26">
        <v>18.647813723327832</v>
      </c>
      <c r="Y503" s="28">
        <v>210.01647175168611</v>
      </c>
      <c r="Z503" s="17" t="str">
        <f>SUBSTITUTE(SUBSTITUTE(SUBSTITUTE(SUBSTITUTE(IF(E503="","",VLOOKUP(E503,[1]Esquemas_NORM!$A$2:$H$126,8,FALSE)),"PROVINCIA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03" s="17" t="str">
        <f>IF($E503="","",INDEX([1]Esquemas_NORM!$H$2:$K$126,MATCH($E503,[1]Esquemas_NORM!$A$2:$A$126,0),MATCH(AA$4,[1]Esquemas_NORM!$H$1:$K$1,0)))</f>
        <v>Región de Planeación y Gestión de Urabá - RPG (Acuerdo de Voluntades)</v>
      </c>
      <c r="AB503" s="17" t="str">
        <f>IF($E503="","",INDEX([1]Esquemas_NORM!$H$2:$K$126,MATCH($E503,[1]Esquemas_NORM!$A$2:$A$126,0),MATCH(AB$4,[1]Esquemas_NORM!$H$1:$K$1,0)))</f>
        <v>A la fecha no ha conformado un EAT Área Metropolitana</v>
      </c>
      <c r="AC503" s="17" t="str">
        <f>IF($E503="","",INDEX([1]Esquemas_NORM!$H$2:$K$126,MATCH($E503,[1]Esquemas_NORM!$A$2:$A$126,0),MATCH(AC$4,[1]Esquemas_NORM!$H$1:$K$1,0)))</f>
        <v>ASOCIACIÓN DE MUNICIPIOS DEL URABÁ ANTIOQUEÑO - ASOMURA / ASOCIACIÓN DE MUNICIPIOS DEL CHOCÓ Y URABÁ - ASUMUCUR</v>
      </c>
      <c r="AD503" s="23"/>
    </row>
    <row r="504" spans="1:30" x14ac:dyDescent="0.25">
      <c r="A504" s="24">
        <v>2018</v>
      </c>
      <c r="B504" s="25" t="s">
        <v>36</v>
      </c>
      <c r="C504" s="25" t="s">
        <v>304</v>
      </c>
      <c r="D504" s="25" t="s">
        <v>309</v>
      </c>
      <c r="E504" s="25" t="s">
        <v>321</v>
      </c>
      <c r="F504" s="25" t="s">
        <v>307</v>
      </c>
      <c r="G504" s="25" t="s">
        <v>322</v>
      </c>
      <c r="H504" s="26">
        <v>82.200555306393753</v>
      </c>
      <c r="I504" s="26">
        <v>0</v>
      </c>
      <c r="J504" s="27">
        <v>82.200555306393753</v>
      </c>
      <c r="K504" s="26">
        <v>6.0945454651406781</v>
      </c>
      <c r="L504" s="26">
        <v>34.21319941200548</v>
      </c>
      <c r="M504" s="27">
        <v>40.307744877146156</v>
      </c>
      <c r="N504" s="26">
        <v>25.984341532193238</v>
      </c>
      <c r="O504" s="26">
        <v>78.02300415136682</v>
      </c>
      <c r="P504" s="26">
        <v>15.815075245454786</v>
      </c>
      <c r="Q504" s="26">
        <v>9.1352816962713597</v>
      </c>
      <c r="R504" s="26">
        <v>25.310645569372788</v>
      </c>
      <c r="S504" s="26">
        <v>39.582348732027874</v>
      </c>
      <c r="T504" s="26">
        <v>86.331800273052139</v>
      </c>
      <c r="U504" s="26">
        <v>9.26635888196191</v>
      </c>
      <c r="V504" s="27">
        <v>289.44885608170091</v>
      </c>
      <c r="W504" s="27">
        <v>422.74428174796742</v>
      </c>
      <c r="X504" s="26">
        <v>41.195073788682336</v>
      </c>
      <c r="Y504" s="28">
        <v>463.94951059713901</v>
      </c>
      <c r="Z504" s="17" t="str">
        <f>SUBSTITUTE(SUBSTITUTE(SUBSTITUTE(SUBSTITUTE(IF(E504="","",VLOOKUP(E504,[1]Esquemas_NORM!$A$2:$H$126,8,FALSE)),"PROVINCIA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04" s="17" t="str">
        <f>IF($E504="","",INDEX([1]Esquemas_NORM!$H$2:$K$126,MATCH($E504,[1]Esquemas_NORM!$A$2:$A$126,0),MATCH(AA$4,[1]Esquemas_NORM!$H$1:$K$1,0)))</f>
        <v>Región de Planeación y Gestión de Urabá - RPG (Acuerdo de Voluntades)</v>
      </c>
      <c r="AB504" s="17" t="str">
        <f>IF($E504="","",INDEX([1]Esquemas_NORM!$H$2:$K$126,MATCH($E504,[1]Esquemas_NORM!$A$2:$A$126,0),MATCH(AB$4,[1]Esquemas_NORM!$H$1:$K$1,0)))</f>
        <v>A la fecha no ha conformado un EAT Área Metropolitana</v>
      </c>
      <c r="AC504" s="17" t="str">
        <f>IF($E504="","",INDEX([1]Esquemas_NORM!$H$2:$K$126,MATCH($E504,[1]Esquemas_NORM!$A$2:$A$126,0),MATCH(AC$4,[1]Esquemas_NORM!$H$1:$K$1,0)))</f>
        <v>ASOCIACIÓN DE MUNICIPIOS DEL URABÁ NORTE-ASOURANOR</v>
      </c>
      <c r="AD504" s="23"/>
    </row>
    <row r="505" spans="1:30" x14ac:dyDescent="0.25">
      <c r="A505" s="24">
        <v>2018</v>
      </c>
      <c r="B505" s="25" t="s">
        <v>36</v>
      </c>
      <c r="C505" s="25" t="s">
        <v>304</v>
      </c>
      <c r="D505" s="25" t="s">
        <v>309</v>
      </c>
      <c r="E505" s="25" t="s">
        <v>323</v>
      </c>
      <c r="F505" s="25" t="s">
        <v>307</v>
      </c>
      <c r="G505" s="25" t="s">
        <v>324</v>
      </c>
      <c r="H505" s="26">
        <v>43.163335722886252</v>
      </c>
      <c r="I505" s="26">
        <v>0</v>
      </c>
      <c r="J505" s="27">
        <v>43.163335722886252</v>
      </c>
      <c r="K505" s="26">
        <v>2.7376669792844268</v>
      </c>
      <c r="L505" s="26">
        <v>14.090905980158324</v>
      </c>
      <c r="M505" s="27">
        <v>16.828572959442752</v>
      </c>
      <c r="N505" s="26">
        <v>8.9145347012285576</v>
      </c>
      <c r="O505" s="26">
        <v>25.457576340323804</v>
      </c>
      <c r="P505" s="26">
        <v>7.9953012681068198</v>
      </c>
      <c r="Q505" s="26">
        <v>3.6208499671818584</v>
      </c>
      <c r="R505" s="26">
        <v>6.6146142189457846</v>
      </c>
      <c r="S505" s="26">
        <v>16.372084385047433</v>
      </c>
      <c r="T505" s="26">
        <v>41.548420228289537</v>
      </c>
      <c r="U505" s="26">
        <v>4.0887179026983711</v>
      </c>
      <c r="V505" s="27">
        <v>114.61209901182217</v>
      </c>
      <c r="W505" s="27">
        <v>179.26031565994313</v>
      </c>
      <c r="X505" s="26">
        <v>17.468342565062141</v>
      </c>
      <c r="Y505" s="28">
        <v>196.73296437278174</v>
      </c>
      <c r="Z505" s="17" t="str">
        <f>SUBSTITUTE(SUBSTITUTE(SUBSTITUTE(SUBSTITUTE(IF(E505="","",VLOOKUP(E505,[1]Esquemas_NORM!$A$2:$H$126,8,FALSE)),"PROVINCIA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05" s="17" t="str">
        <f>IF($E505="","",INDEX([1]Esquemas_NORM!$H$2:$K$126,MATCH($E505,[1]Esquemas_NORM!$A$2:$A$126,0),MATCH(AA$4,[1]Esquemas_NORM!$H$1:$K$1,0)))</f>
        <v>Región de Planeación y Gestión de Urabá - RPG (Acuerdo de Voluntades)</v>
      </c>
      <c r="AB505" s="17" t="str">
        <f>IF($E505="","",INDEX([1]Esquemas_NORM!$H$2:$K$126,MATCH($E505,[1]Esquemas_NORM!$A$2:$A$126,0),MATCH(AB$4,[1]Esquemas_NORM!$H$1:$K$1,0)))</f>
        <v>A la fecha no ha conformado un EAT Área Metropolitana</v>
      </c>
      <c r="AC505" s="17" t="str">
        <f>IF($E505="","",INDEX([1]Esquemas_NORM!$H$2:$K$126,MATCH($E505,[1]Esquemas_NORM!$A$2:$A$126,0),MATCH(AC$4,[1]Esquemas_NORM!$H$1:$K$1,0)))</f>
        <v>ASOCIACIÓN DE MUNICIPIOS DEL URABÁ ANTIOQUEÑO - ASOMURA / ASOCIACIÓN DE MUNICIPIOS DEL CHOCÓ Y URABÁ - ASUMUCUR</v>
      </c>
      <c r="AD505" s="23"/>
    </row>
    <row r="506" spans="1:30" x14ac:dyDescent="0.25">
      <c r="A506" s="24">
        <v>2018</v>
      </c>
      <c r="B506" s="25" t="s">
        <v>36</v>
      </c>
      <c r="C506" s="25" t="s">
        <v>304</v>
      </c>
      <c r="D506" s="25" t="s">
        <v>309</v>
      </c>
      <c r="E506" s="25" t="s">
        <v>325</v>
      </c>
      <c r="F506" s="25" t="s">
        <v>307</v>
      </c>
      <c r="G506" s="25" t="s">
        <v>326</v>
      </c>
      <c r="H506" s="26">
        <v>38.150260152667308</v>
      </c>
      <c r="I506" s="26">
        <v>0</v>
      </c>
      <c r="J506" s="27">
        <v>38.150260152667308</v>
      </c>
      <c r="K506" s="26">
        <v>2.5176779239137099</v>
      </c>
      <c r="L506" s="26">
        <v>19.519991126056077</v>
      </c>
      <c r="M506" s="27">
        <v>22.037669049969786</v>
      </c>
      <c r="N506" s="26">
        <v>8.1074976031947728</v>
      </c>
      <c r="O506" s="26">
        <v>43.78258500756391</v>
      </c>
      <c r="P506" s="26">
        <v>10.413154947144228</v>
      </c>
      <c r="Q506" s="26">
        <v>5.3593527809483197</v>
      </c>
      <c r="R506" s="26">
        <v>11.545901356720933</v>
      </c>
      <c r="S506" s="26">
        <v>24.867192984101138</v>
      </c>
      <c r="T506" s="26">
        <v>59.983240868084749</v>
      </c>
      <c r="U506" s="26">
        <v>4.8685506841438642</v>
      </c>
      <c r="V506" s="27">
        <v>168.92747623190192</v>
      </c>
      <c r="W506" s="27">
        <v>234.76614021887218</v>
      </c>
      <c r="X506" s="26">
        <v>22.877207065727504</v>
      </c>
      <c r="Y506" s="28">
        <v>257.64898677981625</v>
      </c>
      <c r="Z506" s="17" t="str">
        <f>SUBSTITUTE(SUBSTITUTE(SUBSTITUTE(SUBSTITUTE(IF(E506="","",VLOOKUP(E506,[1]Esquemas_NORM!$A$2:$H$126,8,FALSE)),"PROVINCIA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06" s="17" t="str">
        <f>IF($E506="","",INDEX([1]Esquemas_NORM!$H$2:$K$126,MATCH($E506,[1]Esquemas_NORM!$A$2:$A$126,0),MATCH(AA$4,[1]Esquemas_NORM!$H$1:$K$1,0)))</f>
        <v>Región de Planeación y Gestión de Urabá - RPG (Acuerdo de Voluntades)</v>
      </c>
      <c r="AB506" s="17" t="str">
        <f>IF($E506="","",INDEX([1]Esquemas_NORM!$H$2:$K$126,MATCH($E506,[1]Esquemas_NORM!$A$2:$A$126,0),MATCH(AB$4,[1]Esquemas_NORM!$H$1:$K$1,0)))</f>
        <v>A la fecha no ha conformado un EAT Área Metropolitana</v>
      </c>
      <c r="AC506" s="17" t="str">
        <f>IF($E506="","",INDEX([1]Esquemas_NORM!$H$2:$K$126,MATCH($E506,[1]Esquemas_NORM!$A$2:$A$126,0),MATCH(AC$4,[1]Esquemas_NORM!$H$1:$K$1,0)))</f>
        <v>ASOCIACIÓN DE MUNICIPIOS DEL URABÁ NORTE-ASOURANOR</v>
      </c>
      <c r="AD506" s="23"/>
    </row>
    <row r="507" spans="1:30" x14ac:dyDescent="0.25">
      <c r="A507" s="24">
        <v>2018</v>
      </c>
      <c r="B507" s="25" t="s">
        <v>36</v>
      </c>
      <c r="C507" s="25" t="s">
        <v>304</v>
      </c>
      <c r="D507" s="25" t="s">
        <v>305</v>
      </c>
      <c r="E507" s="25" t="s">
        <v>327</v>
      </c>
      <c r="F507" s="25" t="s">
        <v>307</v>
      </c>
      <c r="G507" s="25" t="s">
        <v>328</v>
      </c>
      <c r="H507" s="26">
        <v>626.31169167339249</v>
      </c>
      <c r="I507" s="26">
        <v>0.51044692314818696</v>
      </c>
      <c r="J507" s="27">
        <v>626.82213859654064</v>
      </c>
      <c r="K507" s="26">
        <v>22.305716322039579</v>
      </c>
      <c r="L507" s="26">
        <v>164.9626022675422</v>
      </c>
      <c r="M507" s="27">
        <v>187.26831858958178</v>
      </c>
      <c r="N507" s="26">
        <v>49.21787879413877</v>
      </c>
      <c r="O507" s="26">
        <v>302.09603804816544</v>
      </c>
      <c r="P507" s="26">
        <v>55.481867043488521</v>
      </c>
      <c r="Q507" s="26">
        <v>36.060078407915505</v>
      </c>
      <c r="R507" s="26">
        <v>84.555668292124594</v>
      </c>
      <c r="S507" s="26">
        <v>165.25343271436046</v>
      </c>
      <c r="T507" s="26">
        <v>377.55897853916127</v>
      </c>
      <c r="U507" s="26">
        <v>32.939042727033886</v>
      </c>
      <c r="V507" s="27">
        <v>1103.1629845663883</v>
      </c>
      <c r="W507" s="27">
        <v>1970.9887815851087</v>
      </c>
      <c r="X507" s="26">
        <v>192.06653241611994</v>
      </c>
      <c r="Y507" s="28">
        <v>2163.1026606151627</v>
      </c>
      <c r="Z507" s="17" t="str">
        <f>SUBSTITUTE(SUBSTITUTE(SUBSTITUTE(SUBSTITUTE(IF(E507="","",VLOOKUP(E507,[1]Esquemas_NORM!$A$2:$H$126,8,FALSE)),"PROVINCIA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07" s="17" t="str">
        <f>IF($E507="","",INDEX([1]Esquemas_NORM!$H$2:$K$126,MATCH($E507,[1]Esquemas_NORM!$A$2:$A$126,0),MATCH(AA$4,[1]Esquemas_NORM!$H$1:$K$1,0)))</f>
        <v>Región de Planeación y Gestión de Urabá - RPG (Acuerdo de Voluntades)</v>
      </c>
      <c r="AB507" s="17" t="str">
        <f>IF($E507="","",INDEX([1]Esquemas_NORM!$H$2:$K$126,MATCH($E507,[1]Esquemas_NORM!$A$2:$A$126,0),MATCH(AB$4,[1]Esquemas_NORM!$H$1:$K$1,0)))</f>
        <v>A la fecha no ha conformado un EAT Área Metropolitana</v>
      </c>
      <c r="AC507" s="17" t="str">
        <f>IF($E507="","",INDEX([1]Esquemas_NORM!$H$2:$K$126,MATCH($E507,[1]Esquemas_NORM!$A$2:$A$126,0),MATCH(AC$4,[1]Esquemas_NORM!$H$1:$K$1,0)))</f>
        <v>ASOCIACIÓN DE MUNICIPIOS DEL URABÁ ANTIOQUEÑO - ASOMURA</v>
      </c>
      <c r="AD507" s="23"/>
    </row>
    <row r="508" spans="1:30" ht="15.75" thickBot="1" x14ac:dyDescent="0.3">
      <c r="A508" s="29">
        <v>2018</v>
      </c>
      <c r="B508" s="30" t="s">
        <v>36</v>
      </c>
      <c r="C508" s="30" t="s">
        <v>304</v>
      </c>
      <c r="D508" s="30" t="s">
        <v>316</v>
      </c>
      <c r="E508" s="30" t="s">
        <v>329</v>
      </c>
      <c r="F508" s="30" t="s">
        <v>307</v>
      </c>
      <c r="G508" s="30" t="s">
        <v>330</v>
      </c>
      <c r="H508" s="32">
        <v>6.8923778611743076</v>
      </c>
      <c r="I508" s="32">
        <v>8.7006317539732765E-3</v>
      </c>
      <c r="J508" s="33">
        <v>6.9010784929282805</v>
      </c>
      <c r="K508" s="32">
        <v>0.58540148613094312</v>
      </c>
      <c r="L508" s="32">
        <v>5.0844601493292814</v>
      </c>
      <c r="M508" s="33">
        <v>5.669861635460224</v>
      </c>
      <c r="N508" s="32">
        <v>2.1388468384237167</v>
      </c>
      <c r="O508" s="32">
        <v>5.915067675853984</v>
      </c>
      <c r="P508" s="32">
        <v>2.6906746221911435</v>
      </c>
      <c r="Q508" s="32">
        <v>0.9325009458118052</v>
      </c>
      <c r="R508" s="32">
        <v>3.679812881309128</v>
      </c>
      <c r="S508" s="32">
        <v>7.9647166624053245</v>
      </c>
      <c r="T508" s="32">
        <v>22.155306778370601</v>
      </c>
      <c r="U508" s="32">
        <v>2.0014745556483295</v>
      </c>
      <c r="V508" s="33">
        <v>47.478400960014028</v>
      </c>
      <c r="W508" s="33">
        <v>61.268473680550073</v>
      </c>
      <c r="X508" s="32">
        <v>5.9704161668461255</v>
      </c>
      <c r="Y508" s="35">
        <v>67.240361623794286</v>
      </c>
      <c r="Z508" s="17" t="str">
        <f>SUBSTITUTE(SUBSTITUTE(SUBSTITUTE(SUBSTITUTE(IF(E508="","",VLOOKUP(E508,[1]Esquemas_NORM!$A$2:$H$126,8,FALSE)),"PROVINCIA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08" s="17" t="str">
        <f>IF($E508="","",INDEX([1]Esquemas_NORM!$H$2:$K$126,MATCH($E508,[1]Esquemas_NORM!$A$2:$A$126,0),MATCH(AA$4,[1]Esquemas_NORM!$H$1:$K$1,0)))</f>
        <v>Región de Planeación y Gestión de Urabá - RPG (Acuerdo de Voluntades)</v>
      </c>
      <c r="AB508" s="17" t="str">
        <f>IF($E508="","",INDEX([1]Esquemas_NORM!$H$2:$K$126,MATCH($E508,[1]Esquemas_NORM!$A$2:$A$126,0),MATCH(AB$4,[1]Esquemas_NORM!$H$1:$K$1,0)))</f>
        <v>A la fecha no ha conformado un EAT Área Metropolitana</v>
      </c>
      <c r="AC508" s="17" t="str">
        <f>IF($E508="","",INDEX([1]Esquemas_NORM!$H$2:$K$126,MATCH($E508,[1]Esquemas_NORM!$A$2:$A$126,0),MATCH(AC$4,[1]Esquemas_NORM!$H$1:$K$1,0)))</f>
        <v>ASOCIACION DE MUNICIPIOS DE LA CUENCA DEL ATRATO Y DARIEN ASOATRATO</v>
      </c>
      <c r="AD508" s="23"/>
    </row>
    <row r="509" spans="1:30" ht="15.75" thickBot="1" x14ac:dyDescent="0.3">
      <c r="A509" s="38">
        <v>2019</v>
      </c>
      <c r="B509" s="39" t="s">
        <v>36</v>
      </c>
      <c r="C509" s="39"/>
      <c r="D509" s="39"/>
      <c r="E509" s="39"/>
      <c r="F509" s="39"/>
      <c r="G509" s="39" t="s">
        <v>37</v>
      </c>
      <c r="H509" s="40">
        <v>6897.452257135109</v>
      </c>
      <c r="I509" s="40">
        <v>2187.8527619593683</v>
      </c>
      <c r="J509" s="40">
        <v>9085.3050190944778</v>
      </c>
      <c r="K509" s="40">
        <v>20460.327130068847</v>
      </c>
      <c r="L509" s="40">
        <v>10188.887812802112</v>
      </c>
      <c r="M509" s="40">
        <v>30649.21494287096</v>
      </c>
      <c r="N509" s="40">
        <v>5371.1951455480703</v>
      </c>
      <c r="O509" s="40">
        <v>21038.067454348049</v>
      </c>
      <c r="P509" s="40">
        <v>3618.7786953601099</v>
      </c>
      <c r="Q509" s="40">
        <v>6659.7494041437303</v>
      </c>
      <c r="R509" s="40">
        <v>11612.688096244521</v>
      </c>
      <c r="S509" s="40">
        <v>11564.039358616921</v>
      </c>
      <c r="T509" s="40">
        <v>14975.310685405777</v>
      </c>
      <c r="U509" s="40">
        <v>3372.6219126747169</v>
      </c>
      <c r="V509" s="40">
        <v>78212.450752341887</v>
      </c>
      <c r="W509" s="40">
        <v>118006.42339772888</v>
      </c>
      <c r="X509" s="40">
        <v>11660.296372050496</v>
      </c>
      <c r="Y509" s="41">
        <v>129671.98068228063</v>
      </c>
      <c r="Z509" s="17" t="str">
        <f>SUBSTITUTE(SUBSTITUTE(SUBSTITUTE(SUBSTITUTE(IF(E509="","",VLOOKUP(E509,[1]Esquemas_NORM!$A$2:$H$126,8,FALSE)),"PROVINCIA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509" s="17" t="str">
        <f>IF($E509="","",INDEX([1]Esquemas_NORM!$H$2:$K$126,MATCH($E509,[1]Esquemas_NORM!$A$2:$A$126,0),MATCH(AA$4,[1]Esquemas_NORM!$H$1:$K$1,0)))</f>
        <v/>
      </c>
      <c r="AB509" s="17" t="str">
        <f>IF($E509="","",INDEX([1]Esquemas_NORM!$H$2:$K$126,MATCH($E509,[1]Esquemas_NORM!$A$2:$A$126,0),MATCH(AB$4,[1]Esquemas_NORM!$H$1:$K$1,0)))</f>
        <v/>
      </c>
      <c r="AC509" s="17" t="str">
        <f>IF($E509="","",INDEX([1]Esquemas_NORM!$H$2:$K$126,MATCH($E509,[1]Esquemas_NORM!$A$2:$A$126,0),MATCH(AC$4,[1]Esquemas_NORM!$H$1:$K$1,0)))</f>
        <v/>
      </c>
      <c r="AD509" s="23"/>
    </row>
    <row r="510" spans="1:30" x14ac:dyDescent="0.25">
      <c r="A510" s="18">
        <v>2019</v>
      </c>
      <c r="B510" s="19" t="s">
        <v>36</v>
      </c>
      <c r="C510" s="19" t="s">
        <v>38</v>
      </c>
      <c r="D510" s="19" t="s">
        <v>39</v>
      </c>
      <c r="E510" s="19" t="s">
        <v>40</v>
      </c>
      <c r="F510" s="19" t="s">
        <v>41</v>
      </c>
      <c r="G510" s="19" t="s">
        <v>42</v>
      </c>
      <c r="H510" s="20">
        <v>110.3253332578595</v>
      </c>
      <c r="I510" s="20">
        <v>11.190425159952744</v>
      </c>
      <c r="J510" s="21">
        <v>121.51575841781224</v>
      </c>
      <c r="K510" s="20">
        <v>7139.9643609578361</v>
      </c>
      <c r="L510" s="20">
        <v>4882.1219496149779</v>
      </c>
      <c r="M510" s="21">
        <v>12022.086310572813</v>
      </c>
      <c r="N510" s="20">
        <v>1771.119544783699</v>
      </c>
      <c r="O510" s="20">
        <v>10203.3947463898</v>
      </c>
      <c r="P510" s="20">
        <v>1664.6394666292231</v>
      </c>
      <c r="Q510" s="20">
        <v>4845.7387369421431</v>
      </c>
      <c r="R510" s="20">
        <v>5892.1607034634926</v>
      </c>
      <c r="S510" s="20">
        <v>5468.2767953298489</v>
      </c>
      <c r="T510" s="20">
        <v>7188.4648711265245</v>
      </c>
      <c r="U510" s="20">
        <v>1557.9490073708312</v>
      </c>
      <c r="V510" s="21">
        <v>38591.743872035557</v>
      </c>
      <c r="W510" s="21">
        <v>50290.01453114771</v>
      </c>
      <c r="X510" s="20">
        <v>4969.1911431932594</v>
      </c>
      <c r="Y510" s="22">
        <v>55261.44768251745</v>
      </c>
      <c r="Z510" s="17" t="str">
        <f>SUBSTITUTE(SUBSTITUTE(SUBSTITUTE(SUBSTITUTE(IF(E510="","",VLOOKUP(E510,[1]Esquemas_NORM!$A$2:$H$126,8,FALSE)),"PROVINCIA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0" s="17" t="str">
        <f>IF($E510="","",INDEX([1]Esquemas_NORM!$H$2:$K$126,MATCH($E510,[1]Esquemas_NORM!$A$2:$A$126,0),MATCH(AA$4,[1]Esquemas_NORM!$H$1:$K$1,0)))</f>
        <v>A la fecha no ha conformado un EAT Región</v>
      </c>
      <c r="AB510" s="17" t="str">
        <f>IF($E510="","",INDEX([1]Esquemas_NORM!$H$2:$K$126,MATCH($E510,[1]Esquemas_NORM!$A$2:$A$126,0),MATCH(AB$4,[1]Esquemas_NORM!$H$1:$K$1,0)))</f>
        <v>Área Metropolitana del Valle de Aburrá</v>
      </c>
      <c r="AC510" s="17" t="str">
        <f>IF($E510="","",INDEX([1]Esquemas_NORM!$H$2:$K$126,MATCH($E510,[1]Esquemas_NORM!$A$2:$A$126,0),MATCH(AC$4,[1]Esquemas_NORM!$H$1:$K$1,0)))</f>
        <v>A la fecha no ha conformado un EAT asociación - unión</v>
      </c>
      <c r="AD510" s="23"/>
    </row>
    <row r="511" spans="1:30" x14ac:dyDescent="0.25">
      <c r="A511" s="24">
        <v>2019</v>
      </c>
      <c r="B511" s="25" t="s">
        <v>36</v>
      </c>
      <c r="C511" s="25" t="s">
        <v>38</v>
      </c>
      <c r="D511" s="25" t="s">
        <v>43</v>
      </c>
      <c r="E511" s="25" t="s">
        <v>44</v>
      </c>
      <c r="F511" s="25" t="s">
        <v>41</v>
      </c>
      <c r="G511" s="25" t="s">
        <v>45</v>
      </c>
      <c r="H511" s="26">
        <v>74.399847738319465</v>
      </c>
      <c r="I511" s="26">
        <v>1.3359010978005725</v>
      </c>
      <c r="J511" s="27">
        <v>75.735748836120038</v>
      </c>
      <c r="K511" s="26">
        <v>347.3499129697737</v>
      </c>
      <c r="L511" s="26">
        <v>80.369346297128104</v>
      </c>
      <c r="M511" s="27">
        <v>427.71925926690182</v>
      </c>
      <c r="N511" s="26">
        <v>111.51757561994057</v>
      </c>
      <c r="O511" s="26">
        <v>74.549008110957217</v>
      </c>
      <c r="P511" s="26">
        <v>12.700319198442504</v>
      </c>
      <c r="Q511" s="26">
        <v>8.6653085693100689</v>
      </c>
      <c r="R511" s="26">
        <v>44.88991575941445</v>
      </c>
      <c r="S511" s="26">
        <v>66.37447317896752</v>
      </c>
      <c r="T511" s="26">
        <v>44.378984355976812</v>
      </c>
      <c r="U511" s="26">
        <v>16.206977721410592</v>
      </c>
      <c r="V511" s="27">
        <v>379.28256251441968</v>
      </c>
      <c r="W511" s="27">
        <v>869.82338351139913</v>
      </c>
      <c r="X511" s="26">
        <v>85.947850558079907</v>
      </c>
      <c r="Y511" s="28">
        <v>955.81001216799609</v>
      </c>
      <c r="Z511" s="17" t="str">
        <f>SUBSTITUTE(SUBSTITUTE(SUBSTITUTE(SUBSTITUTE(IF(E511="","",VLOOKUP(E511,[1]Esquemas_NORM!$A$2:$H$126,8,FALSE)),"PROVINCIA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1" s="17" t="str">
        <f>IF($E511="","",INDEX([1]Esquemas_NORM!$H$2:$K$126,MATCH($E511,[1]Esquemas_NORM!$A$2:$A$126,0),MATCH(AA$4,[1]Esquemas_NORM!$H$1:$K$1,0)))</f>
        <v>A la fecha no ha conformado un EAT Región</v>
      </c>
      <c r="AB511" s="17" t="str">
        <f>IF($E511="","",INDEX([1]Esquemas_NORM!$H$2:$K$126,MATCH($E511,[1]Esquemas_NORM!$A$2:$A$126,0),MATCH(AB$4,[1]Esquemas_NORM!$H$1:$K$1,0)))</f>
        <v>Área Metropolitana del Valle de Aburrá</v>
      </c>
      <c r="AC511" s="17" t="str">
        <f>IF($E511="","",INDEX([1]Esquemas_NORM!$H$2:$K$126,MATCH($E511,[1]Esquemas_NORM!$A$2:$A$126,0),MATCH(AC$4,[1]Esquemas_NORM!$H$1:$K$1,0)))</f>
        <v>A la fecha no ha conformado un EAT asociación - unión</v>
      </c>
      <c r="AD511" s="23"/>
    </row>
    <row r="512" spans="1:30" x14ac:dyDescent="0.25">
      <c r="A512" s="24">
        <v>2019</v>
      </c>
      <c r="B512" s="25" t="s">
        <v>36</v>
      </c>
      <c r="C512" s="25" t="s">
        <v>38</v>
      </c>
      <c r="D512" s="25" t="s">
        <v>43</v>
      </c>
      <c r="E512" s="25" t="s">
        <v>46</v>
      </c>
      <c r="F512" s="25" t="s">
        <v>41</v>
      </c>
      <c r="G512" s="25" t="s">
        <v>47</v>
      </c>
      <c r="H512" s="26">
        <v>24.091406125555466</v>
      </c>
      <c r="I512" s="26">
        <v>1.8538694849411896</v>
      </c>
      <c r="J512" s="27">
        <v>25.945275610496655</v>
      </c>
      <c r="K512" s="26">
        <v>612.13328897526492</v>
      </c>
      <c r="L512" s="26">
        <v>505.17116354498989</v>
      </c>
      <c r="M512" s="27">
        <v>1117.3044525202549</v>
      </c>
      <c r="N512" s="26">
        <v>202.73410210799659</v>
      </c>
      <c r="O512" s="26">
        <v>1291.1870903891308</v>
      </c>
      <c r="P512" s="26">
        <v>251.49491984020736</v>
      </c>
      <c r="Q512" s="26">
        <v>188.6199230875217</v>
      </c>
      <c r="R512" s="26">
        <v>638.63382687595129</v>
      </c>
      <c r="S512" s="26">
        <v>619.41939133474159</v>
      </c>
      <c r="T512" s="26">
        <v>678.22898677262413</v>
      </c>
      <c r="U512" s="26">
        <v>251.09352716418201</v>
      </c>
      <c r="V512" s="27">
        <v>4121.4117675723555</v>
      </c>
      <c r="W512" s="27">
        <v>5256.1723801776479</v>
      </c>
      <c r="X512" s="26">
        <v>519.36603085486695</v>
      </c>
      <c r="Y512" s="28">
        <v>5775.7727394884359</v>
      </c>
      <c r="Z512" s="17" t="str">
        <f>SUBSTITUTE(SUBSTITUTE(SUBSTITUTE(SUBSTITUTE(IF(E512="","",VLOOKUP(E512,[1]Esquemas_NORM!$A$2:$H$126,8,FALSE)),"PROVINCIA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2" s="17" t="str">
        <f>IF($E512="","",INDEX([1]Esquemas_NORM!$H$2:$K$126,MATCH($E512,[1]Esquemas_NORM!$A$2:$A$126,0),MATCH(AA$4,[1]Esquemas_NORM!$H$1:$K$1,0)))</f>
        <v>A la fecha no ha conformado un EAT Región</v>
      </c>
      <c r="AB512" s="17" t="str">
        <f>IF($E512="","",INDEX([1]Esquemas_NORM!$H$2:$K$126,MATCH($E512,[1]Esquemas_NORM!$A$2:$A$126,0),MATCH(AB$4,[1]Esquemas_NORM!$H$1:$K$1,0)))</f>
        <v>Área Metropolitana del Valle de Aburrá</v>
      </c>
      <c r="AC512" s="17" t="str">
        <f>IF($E512="","",INDEX([1]Esquemas_NORM!$H$2:$K$126,MATCH($E512,[1]Esquemas_NORM!$A$2:$A$126,0),MATCH(AC$4,[1]Esquemas_NORM!$H$1:$K$1,0)))</f>
        <v>A la fecha no ha conformado un EAT asociación - unión</v>
      </c>
      <c r="AD512" s="23"/>
    </row>
    <row r="513" spans="1:30" x14ac:dyDescent="0.25">
      <c r="A513" s="24">
        <v>2019</v>
      </c>
      <c r="B513" s="25" t="s">
        <v>36</v>
      </c>
      <c r="C513" s="25" t="s">
        <v>38</v>
      </c>
      <c r="D513" s="25" t="s">
        <v>48</v>
      </c>
      <c r="E513" s="25" t="s">
        <v>49</v>
      </c>
      <c r="F513" s="25" t="s">
        <v>41</v>
      </c>
      <c r="G513" s="25" t="s">
        <v>50</v>
      </c>
      <c r="H513" s="26">
        <v>50.298305334852436</v>
      </c>
      <c r="I513" s="26">
        <v>0.1276685782411596</v>
      </c>
      <c r="J513" s="27">
        <v>50.425973913093593</v>
      </c>
      <c r="K513" s="26">
        <v>246.13405268938033</v>
      </c>
      <c r="L513" s="26">
        <v>67.166336553850812</v>
      </c>
      <c r="M513" s="27">
        <v>313.30038924323117</v>
      </c>
      <c r="N513" s="26">
        <v>29.494470897831402</v>
      </c>
      <c r="O513" s="26">
        <v>190.52729218989515</v>
      </c>
      <c r="P513" s="26">
        <v>40.296356318631837</v>
      </c>
      <c r="Q513" s="26">
        <v>32.606656970911487</v>
      </c>
      <c r="R513" s="26">
        <v>108.06169929659177</v>
      </c>
      <c r="S513" s="26">
        <v>105.25261233158173</v>
      </c>
      <c r="T513" s="26">
        <v>111.48017609095201</v>
      </c>
      <c r="U513" s="26">
        <v>29.917497824318168</v>
      </c>
      <c r="V513" s="27">
        <v>647.63676192071352</v>
      </c>
      <c r="W513" s="27">
        <v>1001.7720114708416</v>
      </c>
      <c r="X513" s="26">
        <v>98.985785812734875</v>
      </c>
      <c r="Y513" s="28">
        <v>1100.8024578600669</v>
      </c>
      <c r="Z513" s="17" t="str">
        <f>SUBSTITUTE(SUBSTITUTE(SUBSTITUTE(SUBSTITUTE(IF(E513="","",VLOOKUP(E513,[1]Esquemas_NORM!$A$2:$H$126,8,FALSE)),"PROVINCIA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3" s="17" t="str">
        <f>IF($E513="","",INDEX([1]Esquemas_NORM!$H$2:$K$126,MATCH($E513,[1]Esquemas_NORM!$A$2:$A$126,0),MATCH(AA$4,[1]Esquemas_NORM!$H$1:$K$1,0)))</f>
        <v>A la fecha no ha conformado un EAT Región</v>
      </c>
      <c r="AB513" s="17" t="str">
        <f>IF($E513="","",INDEX([1]Esquemas_NORM!$H$2:$K$126,MATCH($E513,[1]Esquemas_NORM!$A$2:$A$126,0),MATCH(AB$4,[1]Esquemas_NORM!$H$1:$K$1,0)))</f>
        <v>Área Metropolitana del Valle de Aburrá</v>
      </c>
      <c r="AC513" s="17" t="str">
        <f>IF($E513="","",INDEX([1]Esquemas_NORM!$H$2:$K$126,MATCH($E513,[1]Esquemas_NORM!$A$2:$A$126,0),MATCH(AC$4,[1]Esquemas_NORM!$H$1:$K$1,0)))</f>
        <v>A la fecha no ha conformado un EAT asociación - unión</v>
      </c>
      <c r="AD513" s="23"/>
    </row>
    <row r="514" spans="1:30" x14ac:dyDescent="0.25">
      <c r="A514" s="24">
        <v>2019</v>
      </c>
      <c r="B514" s="25" t="s">
        <v>36</v>
      </c>
      <c r="C514" s="25" t="s">
        <v>38</v>
      </c>
      <c r="D514" s="25" t="s">
        <v>43</v>
      </c>
      <c r="E514" s="25" t="s">
        <v>51</v>
      </c>
      <c r="F514" s="25" t="s">
        <v>41</v>
      </c>
      <c r="G514" s="25" t="s">
        <v>52</v>
      </c>
      <c r="H514" s="26">
        <v>7.5403222794251583</v>
      </c>
      <c r="I514" s="26">
        <v>0.33492906083438251</v>
      </c>
      <c r="J514" s="27">
        <v>7.875251340259541</v>
      </c>
      <c r="K514" s="26">
        <v>381.65110190710936</v>
      </c>
      <c r="L514" s="26">
        <v>151.92551690262175</v>
      </c>
      <c r="M514" s="27">
        <v>533.57661880973114</v>
      </c>
      <c r="N514" s="26">
        <v>39.911039897699503</v>
      </c>
      <c r="O514" s="26">
        <v>197.13449090266275</v>
      </c>
      <c r="P514" s="26">
        <v>43.658741368306721</v>
      </c>
      <c r="Q514" s="26">
        <v>27.330614850232099</v>
      </c>
      <c r="R514" s="26">
        <v>128.45602127220019</v>
      </c>
      <c r="S514" s="26">
        <v>103.17887568570333</v>
      </c>
      <c r="T514" s="26">
        <v>82.931106677860186</v>
      </c>
      <c r="U514" s="26">
        <v>35.183375399448785</v>
      </c>
      <c r="V514" s="27">
        <v>657.78426605411357</v>
      </c>
      <c r="W514" s="27">
        <v>1167.6859527097272</v>
      </c>
      <c r="X514" s="26">
        <v>115.37985718104134</v>
      </c>
      <c r="Y514" s="28">
        <v>1283.1178671724763</v>
      </c>
      <c r="Z514" s="17" t="str">
        <f>SUBSTITUTE(SUBSTITUTE(SUBSTITUTE(SUBSTITUTE(IF(E514="","",VLOOKUP(E514,[1]Esquemas_NORM!$A$2:$H$126,8,FALSE)),"PROVINCIA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4" s="17" t="str">
        <f>IF($E514="","",INDEX([1]Esquemas_NORM!$H$2:$K$126,MATCH($E514,[1]Esquemas_NORM!$A$2:$A$126,0),MATCH(AA$4,[1]Esquemas_NORM!$H$1:$K$1,0)))</f>
        <v>A la fecha no ha conformado un EAT Región</v>
      </c>
      <c r="AB514" s="17" t="str">
        <f>IF($E514="","",INDEX([1]Esquemas_NORM!$H$2:$K$126,MATCH($E514,[1]Esquemas_NORM!$A$2:$A$126,0),MATCH(AB$4,[1]Esquemas_NORM!$H$1:$K$1,0)))</f>
        <v>Área Metropolitana del Valle de Aburrá</v>
      </c>
      <c r="AC514" s="17" t="str">
        <f>IF($E514="","",INDEX([1]Esquemas_NORM!$H$2:$K$126,MATCH($E514,[1]Esquemas_NORM!$A$2:$A$126,0),MATCH(AC$4,[1]Esquemas_NORM!$H$1:$K$1,0)))</f>
        <v>A la fecha no ha conformado un EAT asociación - unión</v>
      </c>
      <c r="AD514" s="23"/>
    </row>
    <row r="515" spans="1:30" x14ac:dyDescent="0.25">
      <c r="A515" s="24">
        <v>2019</v>
      </c>
      <c r="B515" s="25" t="s">
        <v>36</v>
      </c>
      <c r="C515" s="25" t="s">
        <v>38</v>
      </c>
      <c r="D515" s="25" t="s">
        <v>48</v>
      </c>
      <c r="E515" s="25" t="s">
        <v>53</v>
      </c>
      <c r="F515" s="25" t="s">
        <v>41</v>
      </c>
      <c r="G515" s="25" t="s">
        <v>54</v>
      </c>
      <c r="H515" s="26">
        <v>14.831604256746335</v>
      </c>
      <c r="I515" s="26">
        <v>0</v>
      </c>
      <c r="J515" s="27">
        <v>14.831604256746335</v>
      </c>
      <c r="K515" s="26">
        <v>1982.9985889163013</v>
      </c>
      <c r="L515" s="26">
        <v>510.46636538741768</v>
      </c>
      <c r="M515" s="27">
        <v>2493.464954303719</v>
      </c>
      <c r="N515" s="26">
        <v>288.52317435239644</v>
      </c>
      <c r="O515" s="26">
        <v>1415.0355917426966</v>
      </c>
      <c r="P515" s="26">
        <v>279.94825132095826</v>
      </c>
      <c r="Q515" s="26">
        <v>396.72218024240823</v>
      </c>
      <c r="R515" s="26">
        <v>1135.5743346973088</v>
      </c>
      <c r="S515" s="26">
        <v>762.27154462990268</v>
      </c>
      <c r="T515" s="26">
        <v>881.75713573873418</v>
      </c>
      <c r="U515" s="26">
        <v>268.63066128310857</v>
      </c>
      <c r="V515" s="27">
        <v>5428.4628740075132</v>
      </c>
      <c r="W515" s="27">
        <v>7809.1210035430831</v>
      </c>
      <c r="X515" s="26">
        <v>771.62465130918633</v>
      </c>
      <c r="Y515" s="28">
        <v>8581.0937977849026</v>
      </c>
      <c r="Z515" s="17" t="str">
        <f>SUBSTITUTE(SUBSTITUTE(SUBSTITUTE(SUBSTITUTE(IF(E515="","",VLOOKUP(E515,[1]Esquemas_NORM!$A$2:$H$126,8,FALSE)),"PROVINCIA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5" s="17" t="str">
        <f>IF($E515="","",INDEX([1]Esquemas_NORM!$H$2:$K$126,MATCH($E515,[1]Esquemas_NORM!$A$2:$A$126,0),MATCH(AA$4,[1]Esquemas_NORM!$H$1:$K$1,0)))</f>
        <v>A la fecha no ha conformado un EAT Región</v>
      </c>
      <c r="AB515" s="17" t="str">
        <f>IF($E515="","",INDEX([1]Esquemas_NORM!$H$2:$K$126,MATCH($E515,[1]Esquemas_NORM!$A$2:$A$126,0),MATCH(AB$4,[1]Esquemas_NORM!$H$1:$K$1,0)))</f>
        <v>Área Metropolitana del Valle de Aburrá</v>
      </c>
      <c r="AC515" s="17" t="str">
        <f>IF($E515="","",INDEX([1]Esquemas_NORM!$H$2:$K$126,MATCH($E515,[1]Esquemas_NORM!$A$2:$A$126,0),MATCH(AC$4,[1]Esquemas_NORM!$H$1:$K$1,0)))</f>
        <v>A la fecha no ha conformado un EAT asociación - unión</v>
      </c>
      <c r="AD515" s="23"/>
    </row>
    <row r="516" spans="1:30" x14ac:dyDescent="0.25">
      <c r="A516" s="24">
        <v>2019</v>
      </c>
      <c r="B516" s="25" t="s">
        <v>36</v>
      </c>
      <c r="C516" s="25" t="s">
        <v>38</v>
      </c>
      <c r="D516" s="25" t="s">
        <v>43</v>
      </c>
      <c r="E516" s="25" t="s">
        <v>55</v>
      </c>
      <c r="F516" s="25" t="s">
        <v>41</v>
      </c>
      <c r="G516" s="25" t="s">
        <v>56</v>
      </c>
      <c r="H516" s="26">
        <v>44.346688437374944</v>
      </c>
      <c r="I516" s="26">
        <v>32.127744378900566</v>
      </c>
      <c r="J516" s="27">
        <v>76.47443281627551</v>
      </c>
      <c r="K516" s="26">
        <v>1209.7789657424266</v>
      </c>
      <c r="L516" s="26">
        <v>147.05116221462185</v>
      </c>
      <c r="M516" s="27">
        <v>1356.8301279570485</v>
      </c>
      <c r="N516" s="26">
        <v>51.137665708393733</v>
      </c>
      <c r="O516" s="26">
        <v>177.09894499933449</v>
      </c>
      <c r="P516" s="26">
        <v>25.203805802830502</v>
      </c>
      <c r="Q516" s="26">
        <v>18.01907338422113</v>
      </c>
      <c r="R516" s="26">
        <v>77.491015304891008</v>
      </c>
      <c r="S516" s="26">
        <v>132.27522328995263</v>
      </c>
      <c r="T516" s="26">
        <v>84.549158544314039</v>
      </c>
      <c r="U516" s="26">
        <v>22.61784047346308</v>
      </c>
      <c r="V516" s="27">
        <v>588.39272750740065</v>
      </c>
      <c r="W516" s="27">
        <v>1933.231197660366</v>
      </c>
      <c r="X516" s="26">
        <v>191.02391269362656</v>
      </c>
      <c r="Y516" s="28">
        <v>2124.3412968503098</v>
      </c>
      <c r="Z516" s="17" t="str">
        <f>SUBSTITUTE(SUBSTITUTE(SUBSTITUTE(SUBSTITUTE(IF(E516="","",VLOOKUP(E516,[1]Esquemas_NORM!$A$2:$H$126,8,FALSE)),"PROVINCIA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6" s="17" t="str">
        <f>IF($E516="","",INDEX([1]Esquemas_NORM!$H$2:$K$126,MATCH($E516,[1]Esquemas_NORM!$A$2:$A$126,0),MATCH(AA$4,[1]Esquemas_NORM!$H$1:$K$1,0)))</f>
        <v>A la fecha no ha conformado un EAT Región</v>
      </c>
      <c r="AB516" s="17" t="str">
        <f>IF($E516="","",INDEX([1]Esquemas_NORM!$H$2:$K$126,MATCH($E516,[1]Esquemas_NORM!$A$2:$A$126,0),MATCH(AB$4,[1]Esquemas_NORM!$H$1:$K$1,0)))</f>
        <v>Área Metropolitana del Valle de Aburrá</v>
      </c>
      <c r="AC516" s="17" t="str">
        <f>IF($E516="","",INDEX([1]Esquemas_NORM!$H$2:$K$126,MATCH($E516,[1]Esquemas_NORM!$A$2:$A$126,0),MATCH(AC$4,[1]Esquemas_NORM!$H$1:$K$1,0)))</f>
        <v>A la fecha no ha conformado un EAT asociación - unión</v>
      </c>
      <c r="AD516" s="23"/>
    </row>
    <row r="517" spans="1:30" x14ac:dyDescent="0.25">
      <c r="A517" s="24">
        <v>2019</v>
      </c>
      <c r="B517" s="25" t="s">
        <v>36</v>
      </c>
      <c r="C517" s="25" t="s">
        <v>38</v>
      </c>
      <c r="D517" s="25" t="s">
        <v>48</v>
      </c>
      <c r="E517" s="25" t="s">
        <v>57</v>
      </c>
      <c r="F517" s="25" t="s">
        <v>41</v>
      </c>
      <c r="G517" s="25" t="s">
        <v>58</v>
      </c>
      <c r="H517" s="26">
        <v>9.587397138530887E-2</v>
      </c>
      <c r="I517" s="26">
        <v>0.31211216918521462</v>
      </c>
      <c r="J517" s="27">
        <v>0.40798614057052351</v>
      </c>
      <c r="K517" s="26">
        <v>2389.2034828575765</v>
      </c>
      <c r="L517" s="26">
        <v>536.47570367504579</v>
      </c>
      <c r="M517" s="27">
        <v>2925.6791865326222</v>
      </c>
      <c r="N517" s="26">
        <v>281.95408858545233</v>
      </c>
      <c r="O517" s="26">
        <v>1346.7815078502854</v>
      </c>
      <c r="P517" s="26">
        <v>228.109175231351</v>
      </c>
      <c r="Q517" s="26">
        <v>239.8933862928962</v>
      </c>
      <c r="R517" s="26">
        <v>650.96554336839085</v>
      </c>
      <c r="S517" s="26">
        <v>667.77844750957411</v>
      </c>
      <c r="T517" s="26">
        <v>573.52126803953774</v>
      </c>
      <c r="U517" s="26">
        <v>202.25961739415933</v>
      </c>
      <c r="V517" s="27">
        <v>4191.2630342716475</v>
      </c>
      <c r="W517" s="27">
        <v>6961.9359498106269</v>
      </c>
      <c r="X517" s="26">
        <v>687.91370978528801</v>
      </c>
      <c r="Y517" s="28">
        <v>7650.1600336824831</v>
      </c>
      <c r="Z517" s="17" t="str">
        <f>SUBSTITUTE(SUBSTITUTE(SUBSTITUTE(SUBSTITUTE(IF(E517="","",VLOOKUP(E517,[1]Esquemas_NORM!$A$2:$H$126,8,FALSE)),"PROVINCIA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7" s="17" t="str">
        <f>IF($E517="","",INDEX([1]Esquemas_NORM!$H$2:$K$126,MATCH($E517,[1]Esquemas_NORM!$A$2:$A$126,0),MATCH(AA$4,[1]Esquemas_NORM!$H$1:$K$1,0)))</f>
        <v>A la fecha no ha conformado un EAT Región</v>
      </c>
      <c r="AB517" s="17" t="str">
        <f>IF($E517="","",INDEX([1]Esquemas_NORM!$H$2:$K$126,MATCH($E517,[1]Esquemas_NORM!$A$2:$A$126,0),MATCH(AB$4,[1]Esquemas_NORM!$H$1:$K$1,0)))</f>
        <v>Área Metropolitana del Valle de Aburrá</v>
      </c>
      <c r="AC517" s="17" t="str">
        <f>IF($E517="","",INDEX([1]Esquemas_NORM!$H$2:$K$126,MATCH($E517,[1]Esquemas_NORM!$A$2:$A$126,0),MATCH(AC$4,[1]Esquemas_NORM!$H$1:$K$1,0)))</f>
        <v>A la fecha no ha conformado un EAT asociación - unión</v>
      </c>
      <c r="AD517" s="23"/>
    </row>
    <row r="518" spans="1:30" x14ac:dyDescent="0.25">
      <c r="A518" s="24">
        <v>2019</v>
      </c>
      <c r="B518" s="25" t="s">
        <v>36</v>
      </c>
      <c r="C518" s="25" t="s">
        <v>38</v>
      </c>
      <c r="D518" s="25" t="s">
        <v>48</v>
      </c>
      <c r="E518" s="25" t="s">
        <v>59</v>
      </c>
      <c r="F518" s="25" t="s">
        <v>41</v>
      </c>
      <c r="G518" s="25" t="s">
        <v>60</v>
      </c>
      <c r="H518" s="26">
        <v>5.3712962714382213</v>
      </c>
      <c r="I518" s="26">
        <v>0</v>
      </c>
      <c r="J518" s="27">
        <v>5.3712962714382213</v>
      </c>
      <c r="K518" s="26">
        <v>813.88400040237264</v>
      </c>
      <c r="L518" s="26">
        <v>143.52091834187624</v>
      </c>
      <c r="M518" s="27">
        <v>957.4049187442489</v>
      </c>
      <c r="N518" s="26">
        <v>68.071042550538195</v>
      </c>
      <c r="O518" s="26">
        <v>206.10889010891381</v>
      </c>
      <c r="P518" s="26">
        <v>51.005986970087392</v>
      </c>
      <c r="Q518" s="26">
        <v>27.805072211980203</v>
      </c>
      <c r="R518" s="26">
        <v>140.79416341444926</v>
      </c>
      <c r="S518" s="26">
        <v>143.30999009841761</v>
      </c>
      <c r="T518" s="26">
        <v>95.194558533588946</v>
      </c>
      <c r="U518" s="26">
        <v>34.783686130895553</v>
      </c>
      <c r="V518" s="27">
        <v>767.07339001887101</v>
      </c>
      <c r="W518" s="27">
        <v>1665.7585951733377</v>
      </c>
      <c r="X518" s="26">
        <v>164.59475971530367</v>
      </c>
      <c r="Y518" s="28">
        <v>1830.4276170344217</v>
      </c>
      <c r="Z518" s="17" t="str">
        <f>SUBSTITUTE(SUBSTITUTE(SUBSTITUTE(SUBSTITUTE(IF(E518="","",VLOOKUP(E518,[1]Esquemas_NORM!$A$2:$H$126,8,FALSE)),"PROVINCIA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8" s="17" t="str">
        <f>IF($E518="","",INDEX([1]Esquemas_NORM!$H$2:$K$126,MATCH($E518,[1]Esquemas_NORM!$A$2:$A$126,0),MATCH(AA$4,[1]Esquemas_NORM!$H$1:$K$1,0)))</f>
        <v>A la fecha no ha conformado un EAT Región</v>
      </c>
      <c r="AB518" s="17" t="str">
        <f>IF($E518="","",INDEX([1]Esquemas_NORM!$H$2:$K$126,MATCH($E518,[1]Esquemas_NORM!$A$2:$A$126,0),MATCH(AB$4,[1]Esquemas_NORM!$H$1:$K$1,0)))</f>
        <v>Área Metropolitana del Valle de Aburrá</v>
      </c>
      <c r="AC518" s="17" t="str">
        <f>IF($E518="","",INDEX([1]Esquemas_NORM!$H$2:$K$126,MATCH($E518,[1]Esquemas_NORM!$A$2:$A$126,0),MATCH(AC$4,[1]Esquemas_NORM!$H$1:$K$1,0)))</f>
        <v>A la fecha no ha conformado un EAT asociación - unión</v>
      </c>
      <c r="AD518" s="23"/>
    </row>
    <row r="519" spans="1:30" x14ac:dyDescent="0.25">
      <c r="A519" s="24">
        <v>2019</v>
      </c>
      <c r="B519" s="25" t="s">
        <v>36</v>
      </c>
      <c r="C519" s="25" t="s">
        <v>38</v>
      </c>
      <c r="D519" s="25" t="s">
        <v>48</v>
      </c>
      <c r="E519" s="25" t="s">
        <v>61</v>
      </c>
      <c r="F519" s="25" t="s">
        <v>41</v>
      </c>
      <c r="G519" s="25" t="s">
        <v>62</v>
      </c>
      <c r="H519" s="26">
        <v>6.6381837225378879</v>
      </c>
      <c r="I519" s="26">
        <v>0</v>
      </c>
      <c r="J519" s="27">
        <v>6.6381837225378879</v>
      </c>
      <c r="K519" s="26">
        <v>1032.7037393297408</v>
      </c>
      <c r="L519" s="26">
        <v>181.30854588554408</v>
      </c>
      <c r="M519" s="27">
        <v>1214.0122852152849</v>
      </c>
      <c r="N519" s="26">
        <v>95.911591702870666</v>
      </c>
      <c r="O519" s="26">
        <v>519.74941757297916</v>
      </c>
      <c r="P519" s="26">
        <v>81.263013242459778</v>
      </c>
      <c r="Q519" s="26">
        <v>68.040820784804026</v>
      </c>
      <c r="R519" s="26">
        <v>311.98820544580974</v>
      </c>
      <c r="S519" s="26">
        <v>254.80627958182185</v>
      </c>
      <c r="T519" s="26">
        <v>326.06884170470227</v>
      </c>
      <c r="U519" s="26">
        <v>63.165731407746712</v>
      </c>
      <c r="V519" s="27">
        <v>1720.9939014431941</v>
      </c>
      <c r="W519" s="27">
        <v>2875.7235544667528</v>
      </c>
      <c r="X519" s="26">
        <v>284.15223479956848</v>
      </c>
      <c r="Y519" s="28">
        <v>3160.0039935586146</v>
      </c>
      <c r="Z519" s="17" t="str">
        <f>SUBSTITUTE(SUBSTITUTE(SUBSTITUTE(SUBSTITUTE(IF(E519="","",VLOOKUP(E519,[1]Esquemas_NORM!$A$2:$H$126,8,FALSE)),"PROVINCIA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19" s="17" t="str">
        <f>IF($E519="","",INDEX([1]Esquemas_NORM!$H$2:$K$126,MATCH($E519,[1]Esquemas_NORM!$A$2:$A$126,0),MATCH(AA$4,[1]Esquemas_NORM!$H$1:$K$1,0)))</f>
        <v>A la fecha no ha conformado un EAT Región</v>
      </c>
      <c r="AB519" s="17" t="str">
        <f>IF($E519="","",INDEX([1]Esquemas_NORM!$H$2:$K$126,MATCH($E519,[1]Esquemas_NORM!$A$2:$A$126,0),MATCH(AB$4,[1]Esquemas_NORM!$H$1:$K$1,0)))</f>
        <v>Área Metropolitana del Valle de Aburrá</v>
      </c>
      <c r="AC519" s="17" t="str">
        <f>IF($E519="","",INDEX([1]Esquemas_NORM!$H$2:$K$126,MATCH($E519,[1]Esquemas_NORM!$A$2:$A$126,0),MATCH(AC$4,[1]Esquemas_NORM!$H$1:$K$1,0)))</f>
        <v>A la fecha no ha conformado un EAT asociación - unión</v>
      </c>
      <c r="AD519" s="23"/>
    </row>
    <row r="520" spans="1:30" x14ac:dyDescent="0.25">
      <c r="A520" s="24">
        <v>2019</v>
      </c>
      <c r="B520" s="25" t="s">
        <v>36</v>
      </c>
      <c r="C520" s="25" t="s">
        <v>63</v>
      </c>
      <c r="D520" s="25" t="s">
        <v>64</v>
      </c>
      <c r="E520" s="25" t="s">
        <v>65</v>
      </c>
      <c r="F520" s="25" t="s">
        <v>66</v>
      </c>
      <c r="G520" s="25" t="s">
        <v>67</v>
      </c>
      <c r="H520" s="26">
        <v>37.577827262730437</v>
      </c>
      <c r="I520" s="26">
        <v>37.279480959119375</v>
      </c>
      <c r="J520" s="27">
        <v>74.85730822184982</v>
      </c>
      <c r="K520" s="26">
        <v>2.2605482866094384</v>
      </c>
      <c r="L520" s="26">
        <v>24.511353715229252</v>
      </c>
      <c r="M520" s="27">
        <v>26.77190200183869</v>
      </c>
      <c r="N520" s="26">
        <v>21.720412164171609</v>
      </c>
      <c r="O520" s="26">
        <v>69.989943926152549</v>
      </c>
      <c r="P520" s="26">
        <v>11.018815017202153</v>
      </c>
      <c r="Q520" s="26">
        <v>4.7877587094138141</v>
      </c>
      <c r="R520" s="26">
        <v>14.445378665925904</v>
      </c>
      <c r="S520" s="26">
        <v>36.39737481340503</v>
      </c>
      <c r="T520" s="26">
        <v>64.288818220852875</v>
      </c>
      <c r="U520" s="26">
        <v>8.1854544998634324</v>
      </c>
      <c r="V520" s="27">
        <v>230.83395601698734</v>
      </c>
      <c r="W520" s="27">
        <v>349.45372562725811</v>
      </c>
      <c r="X520" s="26">
        <v>34.52976449763716</v>
      </c>
      <c r="Y520" s="28">
        <v>383.99906932322062</v>
      </c>
      <c r="Z520" s="17" t="str">
        <f>SUBSTITUTE(SUBSTITUTE(SUBSTITUTE(SUBSTITUTE(IF(E520="","",VLOOKUP(E520,[1]Esquemas_NORM!$A$2:$H$126,8,FALSE)),"PROVINCIA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0" s="17" t="str">
        <f>IF($E520="","",INDEX([1]Esquemas_NORM!$H$2:$K$126,MATCH($E520,[1]Esquemas_NORM!$A$2:$A$126,0),MATCH(AA$4,[1]Esquemas_NORM!$H$1:$K$1,0)))</f>
        <v>Región de Planeación y Gestión del Bajo Cauca</v>
      </c>
      <c r="AB520" s="17" t="str">
        <f>IF($E520="","",INDEX([1]Esquemas_NORM!$H$2:$K$126,MATCH($E520,[1]Esquemas_NORM!$A$2:$A$126,0),MATCH(AB$4,[1]Esquemas_NORM!$H$1:$K$1,0)))</f>
        <v>A la fecha no ha conformado un EAT Área Metropolitana</v>
      </c>
      <c r="AC520" s="17" t="str">
        <f>IF($E520="","",INDEX([1]Esquemas_NORM!$H$2:$K$126,MATCH($E520,[1]Esquemas_NORM!$A$2:$A$126,0),MATCH(AC$4,[1]Esquemas_NORM!$H$1:$K$1,0)))</f>
        <v>A la fecha no ha conformado un EAT asociación - unión</v>
      </c>
      <c r="AD520" s="23"/>
    </row>
    <row r="521" spans="1:30" x14ac:dyDescent="0.25">
      <c r="A521" s="24">
        <v>2019</v>
      </c>
      <c r="B521" s="25" t="s">
        <v>36</v>
      </c>
      <c r="C521" s="25" t="s">
        <v>63</v>
      </c>
      <c r="D521" s="25" t="s">
        <v>64</v>
      </c>
      <c r="E521" s="25" t="s">
        <v>68</v>
      </c>
      <c r="F521" s="25" t="s">
        <v>66</v>
      </c>
      <c r="G521" s="25" t="s">
        <v>69</v>
      </c>
      <c r="H521" s="26">
        <v>30.536498181610604</v>
      </c>
      <c r="I521" s="26">
        <v>233.14980542940754</v>
      </c>
      <c r="J521" s="27">
        <v>263.68630361101816</v>
      </c>
      <c r="K521" s="26">
        <v>17.346800589338883</v>
      </c>
      <c r="L521" s="26">
        <v>62.065685239302795</v>
      </c>
      <c r="M521" s="27">
        <v>79.412485828641678</v>
      </c>
      <c r="N521" s="26">
        <v>47.26168413152913</v>
      </c>
      <c r="O521" s="26">
        <v>237.51093385152961</v>
      </c>
      <c r="P521" s="26">
        <v>30.975543765782742</v>
      </c>
      <c r="Q521" s="26">
        <v>30.788930192476048</v>
      </c>
      <c r="R521" s="26">
        <v>62.231553086907375</v>
      </c>
      <c r="S521" s="26">
        <v>115.20018606103366</v>
      </c>
      <c r="T521" s="26">
        <v>186.3337483940883</v>
      </c>
      <c r="U521" s="26">
        <v>21.803360551116107</v>
      </c>
      <c r="V521" s="27">
        <v>732.10594003446306</v>
      </c>
      <c r="W521" s="27">
        <v>1144.5615020478101</v>
      </c>
      <c r="X521" s="26">
        <v>113.09491420602653</v>
      </c>
      <c r="Y521" s="28">
        <v>1257.7074426110585</v>
      </c>
      <c r="Z521" s="17" t="str">
        <f>SUBSTITUTE(SUBSTITUTE(SUBSTITUTE(SUBSTITUTE(IF(E521="","",VLOOKUP(E521,[1]Esquemas_NORM!$A$2:$H$126,8,FALSE)),"PROVINCIA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1" s="17" t="str">
        <f>IF($E521="","",INDEX([1]Esquemas_NORM!$H$2:$K$126,MATCH($E521,[1]Esquemas_NORM!$A$2:$A$126,0),MATCH(AA$4,[1]Esquemas_NORM!$H$1:$K$1,0)))</f>
        <v>Región de Planeación y Gestión del Bajo Cauca</v>
      </c>
      <c r="AB521" s="17" t="str">
        <f>IF($E521="","",INDEX([1]Esquemas_NORM!$H$2:$K$126,MATCH($E521,[1]Esquemas_NORM!$A$2:$A$126,0),MATCH(AB$4,[1]Esquemas_NORM!$H$1:$K$1,0)))</f>
        <v>A la fecha no ha conformado un EAT Área Metropolitana</v>
      </c>
      <c r="AC521" s="17" t="str">
        <f>IF($E521="","",INDEX([1]Esquemas_NORM!$H$2:$K$126,MATCH($E521,[1]Esquemas_NORM!$A$2:$A$126,0),MATCH(AC$4,[1]Esquemas_NORM!$H$1:$K$1,0)))</f>
        <v>A la fecha no ha conformado un EAT asociación - unión</v>
      </c>
      <c r="AD521" s="23"/>
    </row>
    <row r="522" spans="1:30" x14ac:dyDescent="0.25">
      <c r="A522" s="24">
        <v>2019</v>
      </c>
      <c r="B522" s="25" t="s">
        <v>36</v>
      </c>
      <c r="C522" s="25" t="s">
        <v>63</v>
      </c>
      <c r="D522" s="25" t="s">
        <v>64</v>
      </c>
      <c r="E522" s="25" t="s">
        <v>70</v>
      </c>
      <c r="F522" s="25" t="s">
        <v>66</v>
      </c>
      <c r="G522" s="25" t="s">
        <v>71</v>
      </c>
      <c r="H522" s="26">
        <v>21.355224264617704</v>
      </c>
      <c r="I522" s="26">
        <v>210.40846709145202</v>
      </c>
      <c r="J522" s="27">
        <v>231.76369135606973</v>
      </c>
      <c r="K522" s="26">
        <v>2.2312571834493253</v>
      </c>
      <c r="L522" s="26">
        <v>34.574944756304617</v>
      </c>
      <c r="M522" s="27">
        <v>36.80620193975394</v>
      </c>
      <c r="N522" s="26">
        <v>22.304100361863505</v>
      </c>
      <c r="O522" s="26">
        <v>106.38459456266756</v>
      </c>
      <c r="P522" s="26">
        <v>17.599014403894298</v>
      </c>
      <c r="Q522" s="26">
        <v>12.568738841032088</v>
      </c>
      <c r="R522" s="26">
        <v>24.971710012056167</v>
      </c>
      <c r="S522" s="26">
        <v>62.110923995961478</v>
      </c>
      <c r="T522" s="26">
        <v>81.41546566512055</v>
      </c>
      <c r="U522" s="26">
        <v>11.590495627679836</v>
      </c>
      <c r="V522" s="27">
        <v>338.94504347027549</v>
      </c>
      <c r="W522" s="27">
        <v>663.5762142239937</v>
      </c>
      <c r="X522" s="26">
        <v>65.568425010433558</v>
      </c>
      <c r="Y522" s="28">
        <v>729.17422250879986</v>
      </c>
      <c r="Z522" s="17" t="str">
        <f>SUBSTITUTE(SUBSTITUTE(SUBSTITUTE(SUBSTITUTE(IF(E522="","",VLOOKUP(E522,[1]Esquemas_NORM!$A$2:$H$126,8,FALSE)),"PROVINCIA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2" s="17" t="str">
        <f>IF($E522="","",INDEX([1]Esquemas_NORM!$H$2:$K$126,MATCH($E522,[1]Esquemas_NORM!$A$2:$A$126,0),MATCH(AA$4,[1]Esquemas_NORM!$H$1:$K$1,0)))</f>
        <v>Región de Planeación y Gestión del Bajo Cauca</v>
      </c>
      <c r="AB522" s="17" t="str">
        <f>IF($E522="","",INDEX([1]Esquemas_NORM!$H$2:$K$126,MATCH($E522,[1]Esquemas_NORM!$A$2:$A$126,0),MATCH(AB$4,[1]Esquemas_NORM!$H$1:$K$1,0)))</f>
        <v>A la fecha no ha conformado un EAT Área Metropolitana</v>
      </c>
      <c r="AC522" s="17" t="str">
        <f>IF($E522="","",INDEX([1]Esquemas_NORM!$H$2:$K$126,MATCH($E522,[1]Esquemas_NORM!$A$2:$A$126,0),MATCH(AC$4,[1]Esquemas_NORM!$H$1:$K$1,0)))</f>
        <v>A la fecha no ha conformado un EAT asociación - unión</v>
      </c>
      <c r="AD522" s="23"/>
    </row>
    <row r="523" spans="1:30" x14ac:dyDescent="0.25">
      <c r="A523" s="24">
        <v>2019</v>
      </c>
      <c r="B523" s="25" t="s">
        <v>36</v>
      </c>
      <c r="C523" s="25" t="s">
        <v>63</v>
      </c>
      <c r="D523" s="25" t="s">
        <v>64</v>
      </c>
      <c r="E523" s="25" t="s">
        <v>72</v>
      </c>
      <c r="F523" s="25" t="s">
        <v>66</v>
      </c>
      <c r="G523" s="25" t="s">
        <v>73</v>
      </c>
      <c r="H523" s="26">
        <v>36.212160547997797</v>
      </c>
      <c r="I523" s="26">
        <v>27.34999325493602</v>
      </c>
      <c r="J523" s="27">
        <v>63.562153802933821</v>
      </c>
      <c r="K523" s="26">
        <v>9.0597627444510316</v>
      </c>
      <c r="L523" s="26">
        <v>11.342354950059759</v>
      </c>
      <c r="M523" s="27">
        <v>20.402117694510792</v>
      </c>
      <c r="N523" s="26">
        <v>17.021872197529206</v>
      </c>
      <c r="O523" s="26">
        <v>45.516481379593301</v>
      </c>
      <c r="P523" s="26">
        <v>7.1369802242024871</v>
      </c>
      <c r="Q523" s="26">
        <v>4.8933628581279143</v>
      </c>
      <c r="R523" s="26">
        <v>12.847759531386307</v>
      </c>
      <c r="S523" s="26">
        <v>23.167444062725</v>
      </c>
      <c r="T523" s="26">
        <v>44.968399134999196</v>
      </c>
      <c r="U523" s="26">
        <v>5.9942954699247286</v>
      </c>
      <c r="V523" s="27">
        <v>161.54659485848813</v>
      </c>
      <c r="W523" s="27">
        <v>258.30370531180182</v>
      </c>
      <c r="X523" s="26">
        <v>25.523167902341459</v>
      </c>
      <c r="Y523" s="28">
        <v>283.83838880078071</v>
      </c>
      <c r="Z523" s="17" t="str">
        <f>SUBSTITUTE(SUBSTITUTE(SUBSTITUTE(SUBSTITUTE(IF(E523="","",VLOOKUP(E523,[1]Esquemas_NORM!$A$2:$H$126,8,FALSE)),"PROVINCIA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3" s="17" t="str">
        <f>IF($E523="","",INDEX([1]Esquemas_NORM!$H$2:$K$126,MATCH($E523,[1]Esquemas_NORM!$A$2:$A$126,0),MATCH(AA$4,[1]Esquemas_NORM!$H$1:$K$1,0)))</f>
        <v>Región de Planeación y Gestión del Bajo Cauca</v>
      </c>
      <c r="AB523" s="17" t="str">
        <f>IF($E523="","",INDEX([1]Esquemas_NORM!$H$2:$K$126,MATCH($E523,[1]Esquemas_NORM!$A$2:$A$126,0),MATCH(AB$4,[1]Esquemas_NORM!$H$1:$K$1,0)))</f>
        <v>A la fecha no ha conformado un EAT Área Metropolitana</v>
      </c>
      <c r="AC523" s="17" t="str">
        <f>IF($E523="","",INDEX([1]Esquemas_NORM!$H$2:$K$126,MATCH($E523,[1]Esquemas_NORM!$A$2:$A$126,0),MATCH(AC$4,[1]Esquemas_NORM!$H$1:$K$1,0)))</f>
        <v>A la fecha no ha conformado un EAT asociación - unión</v>
      </c>
      <c r="AD523" s="23"/>
    </row>
    <row r="524" spans="1:30" x14ac:dyDescent="0.25">
      <c r="A524" s="24">
        <v>2019</v>
      </c>
      <c r="B524" s="25" t="s">
        <v>36</v>
      </c>
      <c r="C524" s="25" t="s">
        <v>63</v>
      </c>
      <c r="D524" s="25" t="s">
        <v>64</v>
      </c>
      <c r="E524" s="25" t="s">
        <v>74</v>
      </c>
      <c r="F524" s="25" t="s">
        <v>66</v>
      </c>
      <c r="G524" s="25" t="s">
        <v>75</v>
      </c>
      <c r="H524" s="26">
        <v>17.150620511774555</v>
      </c>
      <c r="I524" s="26">
        <v>29.843842126834272</v>
      </c>
      <c r="J524" s="27">
        <v>46.994462638608823</v>
      </c>
      <c r="K524" s="26">
        <v>3.2338886685313928</v>
      </c>
      <c r="L524" s="26">
        <v>18.287523168975088</v>
      </c>
      <c r="M524" s="27">
        <v>21.521411837506481</v>
      </c>
      <c r="N524" s="26">
        <v>7.2956869738940675</v>
      </c>
      <c r="O524" s="26">
        <v>43.658802013821187</v>
      </c>
      <c r="P524" s="26">
        <v>9.9643548297829057</v>
      </c>
      <c r="Q524" s="26">
        <v>6.923574031116237</v>
      </c>
      <c r="R524" s="26">
        <v>16.779452462058661</v>
      </c>
      <c r="S524" s="26">
        <v>29.953129438132265</v>
      </c>
      <c r="T524" s="26">
        <v>70.081425178087372</v>
      </c>
      <c r="U524" s="26">
        <v>8.1608433134827436</v>
      </c>
      <c r="V524" s="27">
        <v>192.81726824037543</v>
      </c>
      <c r="W524" s="27">
        <v>271.90448747179857</v>
      </c>
      <c r="X524" s="26">
        <v>26.867070601121405</v>
      </c>
      <c r="Y524" s="28">
        <v>298.78368000388031</v>
      </c>
      <c r="Z524" s="17" t="str">
        <f>SUBSTITUTE(SUBSTITUTE(SUBSTITUTE(SUBSTITUTE(IF(E524="","",VLOOKUP(E524,[1]Esquemas_NORM!$A$2:$H$126,8,FALSE)),"PROVINCIA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4" s="17" t="str">
        <f>IF($E524="","",INDEX([1]Esquemas_NORM!$H$2:$K$126,MATCH($E524,[1]Esquemas_NORM!$A$2:$A$126,0),MATCH(AA$4,[1]Esquemas_NORM!$H$1:$K$1,0)))</f>
        <v>Región de Planeación y Gestión del Bajo Cauca</v>
      </c>
      <c r="AB524" s="17" t="str">
        <f>IF($E524="","",INDEX([1]Esquemas_NORM!$H$2:$K$126,MATCH($E524,[1]Esquemas_NORM!$A$2:$A$126,0),MATCH(AB$4,[1]Esquemas_NORM!$H$1:$K$1,0)))</f>
        <v>A la fecha no ha conformado un EAT Área Metropolitana</v>
      </c>
      <c r="AC524" s="17" t="str">
        <f>IF($E524="","",INDEX([1]Esquemas_NORM!$H$2:$K$126,MATCH($E524,[1]Esquemas_NORM!$A$2:$A$126,0),MATCH(AC$4,[1]Esquemas_NORM!$H$1:$K$1,0)))</f>
        <v>A la fecha no ha conformado un EAT asociación - unión</v>
      </c>
      <c r="AD524" s="23"/>
    </row>
    <row r="525" spans="1:30" x14ac:dyDescent="0.25">
      <c r="A525" s="24">
        <v>2019</v>
      </c>
      <c r="B525" s="25" t="s">
        <v>36</v>
      </c>
      <c r="C525" s="25" t="s">
        <v>63</v>
      </c>
      <c r="D525" s="25" t="s">
        <v>64</v>
      </c>
      <c r="E525" s="25" t="s">
        <v>76</v>
      </c>
      <c r="F525" s="25" t="s">
        <v>66</v>
      </c>
      <c r="G525" s="25" t="s">
        <v>77</v>
      </c>
      <c r="H525" s="26">
        <v>36.170734513717477</v>
      </c>
      <c r="I525" s="26">
        <v>115.8741847004804</v>
      </c>
      <c r="J525" s="27">
        <v>152.04491921419788</v>
      </c>
      <c r="K525" s="26">
        <v>7.1891946237964355</v>
      </c>
      <c r="L525" s="26">
        <v>11.738218363775308</v>
      </c>
      <c r="M525" s="27">
        <v>18.927412987571742</v>
      </c>
      <c r="N525" s="26">
        <v>29.640136602158279</v>
      </c>
      <c r="O525" s="26">
        <v>33.485657949459252</v>
      </c>
      <c r="P525" s="26">
        <v>5.4270364799067572</v>
      </c>
      <c r="Q525" s="26">
        <v>3.404486957157705</v>
      </c>
      <c r="R525" s="26">
        <v>11.282094377871722</v>
      </c>
      <c r="S525" s="26">
        <v>29.060056300213869</v>
      </c>
      <c r="T525" s="26">
        <v>42.381182299787653</v>
      </c>
      <c r="U525" s="26">
        <v>4.5389006348945049</v>
      </c>
      <c r="V525" s="27">
        <v>159.21955160144975</v>
      </c>
      <c r="W525" s="27">
        <v>364.10161532326515</v>
      </c>
      <c r="X525" s="26">
        <v>35.97713261681362</v>
      </c>
      <c r="Y525" s="28">
        <v>400.09498016443331</v>
      </c>
      <c r="Z525" s="17" t="str">
        <f>SUBSTITUTE(SUBSTITUTE(SUBSTITUTE(SUBSTITUTE(IF(E525="","",VLOOKUP(E525,[1]Esquemas_NORM!$A$2:$H$126,8,FALSE)),"PROVINCIA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5" s="17" t="str">
        <f>IF($E525="","",INDEX([1]Esquemas_NORM!$H$2:$K$126,MATCH($E525,[1]Esquemas_NORM!$A$2:$A$126,0),MATCH(AA$4,[1]Esquemas_NORM!$H$1:$K$1,0)))</f>
        <v>Región de Planeación y Gestión del Bajo Cauca</v>
      </c>
      <c r="AB525" s="17" t="str">
        <f>IF($E525="","",INDEX([1]Esquemas_NORM!$H$2:$K$126,MATCH($E525,[1]Esquemas_NORM!$A$2:$A$126,0),MATCH(AB$4,[1]Esquemas_NORM!$H$1:$K$1,0)))</f>
        <v>A la fecha no ha conformado un EAT Área Metropolitana</v>
      </c>
      <c r="AC525" s="17" t="str">
        <f>IF($E525="","",INDEX([1]Esquemas_NORM!$H$2:$K$126,MATCH($E525,[1]Esquemas_NORM!$A$2:$A$126,0),MATCH(AC$4,[1]Esquemas_NORM!$H$1:$K$1,0)))</f>
        <v>A la fecha no ha conformado un EAT asociación - unión</v>
      </c>
      <c r="AD525" s="23"/>
    </row>
    <row r="526" spans="1:30" x14ac:dyDescent="0.25">
      <c r="A526" s="24">
        <v>2019</v>
      </c>
      <c r="B526" s="25" t="s">
        <v>36</v>
      </c>
      <c r="C526" s="25" t="s">
        <v>78</v>
      </c>
      <c r="D526" s="25" t="s">
        <v>79</v>
      </c>
      <c r="E526" s="25" t="s">
        <v>80</v>
      </c>
      <c r="F526" s="25" t="s">
        <v>81</v>
      </c>
      <c r="G526" s="25" t="s">
        <v>82</v>
      </c>
      <c r="H526" s="26">
        <v>5.8352428358725748</v>
      </c>
      <c r="I526" s="26">
        <v>8.9467381164956589E-2</v>
      </c>
      <c r="J526" s="27">
        <v>5.9247102170375312</v>
      </c>
      <c r="K526" s="26">
        <v>0.69837979004779127</v>
      </c>
      <c r="L526" s="26">
        <v>3.5688565534173708</v>
      </c>
      <c r="M526" s="27">
        <v>4.2672363434651626</v>
      </c>
      <c r="N526" s="26">
        <v>2.7587768091657159</v>
      </c>
      <c r="O526" s="26">
        <v>6.1288169783253634</v>
      </c>
      <c r="P526" s="26">
        <v>1.4546298148027936</v>
      </c>
      <c r="Q526" s="26">
        <v>1.1582000326319879</v>
      </c>
      <c r="R526" s="26">
        <v>3.5473907713738373</v>
      </c>
      <c r="S526" s="26">
        <v>5.3102915622528455</v>
      </c>
      <c r="T526" s="26">
        <v>11.99156825281457</v>
      </c>
      <c r="U526" s="26">
        <v>1.5697313418859489</v>
      </c>
      <c r="V526" s="27">
        <v>33.919405563253058</v>
      </c>
      <c r="W526" s="27">
        <v>45.066734124807162</v>
      </c>
      <c r="X526" s="26">
        <v>4.4530751910390434</v>
      </c>
      <c r="Y526" s="28">
        <v>49.521818461942843</v>
      </c>
      <c r="Z526" s="17" t="str">
        <f>SUBSTITUTE(SUBSTITUTE(SUBSTITUTE(SUBSTITUTE(IF(E526="","",VLOOKUP(E526,[1]Esquemas_NORM!$A$2:$H$126,8,FALSE)),"PROVINCIA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6" s="17" t="str">
        <f>IF($E526="","",INDEX([1]Esquemas_NORM!$H$2:$K$126,MATCH($E526,[1]Esquemas_NORM!$A$2:$A$126,0),MATCH(AA$4,[1]Esquemas_NORM!$H$1:$K$1,0)))</f>
        <v>A la fecha no ha conformado un EAT Región</v>
      </c>
      <c r="AB526" s="17" t="str">
        <f>IF($E526="","",INDEX([1]Esquemas_NORM!$H$2:$K$126,MATCH($E526,[1]Esquemas_NORM!$A$2:$A$126,0),MATCH(AB$4,[1]Esquemas_NORM!$H$1:$K$1,0)))</f>
        <v>A la fecha no ha conformado un EAT Área Metropolitana</v>
      </c>
      <c r="AC526" s="17" t="str">
        <f>IF($E526="","",INDEX([1]Esquemas_NORM!$H$2:$K$126,MATCH($E526,[1]Esquemas_NORM!$A$2:$A$126,0),MATCH(AC$4,[1]Esquemas_NORM!$H$1:$K$1,0)))</f>
        <v>ASOCIACIÓN DE MUNICIPIOS DEL MAGDALENA MEDIO ANTIOQUEÑO - AMMA</v>
      </c>
      <c r="AD526" s="23"/>
    </row>
    <row r="527" spans="1:30" x14ac:dyDescent="0.25">
      <c r="A527" s="24">
        <v>2019</v>
      </c>
      <c r="B527" s="25" t="s">
        <v>36</v>
      </c>
      <c r="C527" s="25" t="s">
        <v>78</v>
      </c>
      <c r="D527" s="25" t="s">
        <v>79</v>
      </c>
      <c r="E527" s="25" t="s">
        <v>83</v>
      </c>
      <c r="F527" s="25" t="s">
        <v>81</v>
      </c>
      <c r="G527" s="25" t="s">
        <v>84</v>
      </c>
      <c r="H527" s="26">
        <v>17.375378949885</v>
      </c>
      <c r="I527" s="26">
        <v>0</v>
      </c>
      <c r="J527" s="27">
        <v>17.375378949885</v>
      </c>
      <c r="K527" s="26">
        <v>0.9636580472897931</v>
      </c>
      <c r="L527" s="26">
        <v>7.4338877974675626</v>
      </c>
      <c r="M527" s="27">
        <v>8.3975458447573565</v>
      </c>
      <c r="N527" s="26">
        <v>2.2656319785860872</v>
      </c>
      <c r="O527" s="26">
        <v>18.298267584392626</v>
      </c>
      <c r="P527" s="26">
        <v>2.3363750566185866</v>
      </c>
      <c r="Q527" s="26">
        <v>1.6805664159834934</v>
      </c>
      <c r="R527" s="26">
        <v>6.5817027685052647</v>
      </c>
      <c r="S527" s="26">
        <v>8.6708366645187365</v>
      </c>
      <c r="T527" s="26">
        <v>17.097390482399046</v>
      </c>
      <c r="U527" s="26">
        <v>3.1792315917865732</v>
      </c>
      <c r="V527" s="27">
        <v>60.110002542790411</v>
      </c>
      <c r="W527" s="27">
        <v>88.192220599820615</v>
      </c>
      <c r="X527" s="26">
        <v>8.7143343581977497</v>
      </c>
      <c r="Y527" s="28">
        <v>96.910486706329181</v>
      </c>
      <c r="Z527" s="17" t="str">
        <f>SUBSTITUTE(SUBSTITUTE(SUBSTITUTE(SUBSTITUTE(IF(E527="","",VLOOKUP(E527,[1]Esquemas_NORM!$A$2:$H$126,8,FALSE)),"PROVINCIA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7" s="17" t="str">
        <f>IF($E527="","",INDEX([1]Esquemas_NORM!$H$2:$K$126,MATCH($E527,[1]Esquemas_NORM!$A$2:$A$126,0),MATCH(AA$4,[1]Esquemas_NORM!$H$1:$K$1,0)))</f>
        <v>A la fecha no ha conformado un EAT Región</v>
      </c>
      <c r="AB527" s="17" t="str">
        <f>IF($E527="","",INDEX([1]Esquemas_NORM!$H$2:$K$126,MATCH($E527,[1]Esquemas_NORM!$A$2:$A$126,0),MATCH(AB$4,[1]Esquemas_NORM!$H$1:$K$1,0)))</f>
        <v>A la fecha no ha conformado un EAT Área Metropolitana</v>
      </c>
      <c r="AC527" s="17" t="str">
        <f>IF($E527="","",INDEX([1]Esquemas_NORM!$H$2:$K$126,MATCH($E527,[1]Esquemas_NORM!$A$2:$A$126,0),MATCH(AC$4,[1]Esquemas_NORM!$H$1:$K$1,0)))</f>
        <v>ASOCIACIÓN DE MUNICIPIOS DEL MAGDALENA MEDIO ANTIOQUEÑO - AMMA</v>
      </c>
      <c r="AD527" s="23"/>
    </row>
    <row r="528" spans="1:30" x14ac:dyDescent="0.25">
      <c r="A528" s="24">
        <v>2019</v>
      </c>
      <c r="B528" s="25" t="s">
        <v>36</v>
      </c>
      <c r="C528" s="25" t="s">
        <v>78</v>
      </c>
      <c r="D528" s="25" t="s">
        <v>85</v>
      </c>
      <c r="E528" s="25" t="s">
        <v>86</v>
      </c>
      <c r="F528" s="25" t="s">
        <v>81</v>
      </c>
      <c r="G528" s="25" t="s">
        <v>87</v>
      </c>
      <c r="H528" s="26">
        <v>22.755911329967173</v>
      </c>
      <c r="I528" s="26">
        <v>50.513420303404658</v>
      </c>
      <c r="J528" s="27">
        <v>73.269331633371834</v>
      </c>
      <c r="K528" s="26">
        <v>48.319704703199811</v>
      </c>
      <c r="L528" s="26">
        <v>12.136913898207055</v>
      </c>
      <c r="M528" s="27">
        <v>60.456618601406866</v>
      </c>
      <c r="N528" s="26">
        <v>37.045986627162428</v>
      </c>
      <c r="O528" s="26">
        <v>127.94896099341952</v>
      </c>
      <c r="P528" s="26">
        <v>14.780892061996429</v>
      </c>
      <c r="Q528" s="26">
        <v>20.110815187097387</v>
      </c>
      <c r="R528" s="26">
        <v>42.849043753399798</v>
      </c>
      <c r="S528" s="26">
        <v>78.562373812229168</v>
      </c>
      <c r="T528" s="26">
        <v>70.291168770407737</v>
      </c>
      <c r="U528" s="26">
        <v>17.014317224737468</v>
      </c>
      <c r="V528" s="27">
        <v>408.60355843044994</v>
      </c>
      <c r="W528" s="27">
        <v>561.76637835588861</v>
      </c>
      <c r="X528" s="26">
        <v>55.508524662319516</v>
      </c>
      <c r="Y528" s="28">
        <v>617.29994744949931</v>
      </c>
      <c r="Z528" s="17" t="str">
        <f>SUBSTITUTE(SUBSTITUTE(SUBSTITUTE(SUBSTITUTE(IF(E528="","",VLOOKUP(E528,[1]Esquemas_NORM!$A$2:$H$126,8,FALSE)),"PROVINCIA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8" s="17" t="str">
        <f>IF($E528="","",INDEX([1]Esquemas_NORM!$H$2:$K$126,MATCH($E528,[1]Esquemas_NORM!$A$2:$A$126,0),MATCH(AA$4,[1]Esquemas_NORM!$H$1:$K$1,0)))</f>
        <v>A la fecha no ha conformado un EAT Región</v>
      </c>
      <c r="AB528" s="17" t="str">
        <f>IF($E528="","",INDEX([1]Esquemas_NORM!$H$2:$K$126,MATCH($E528,[1]Esquemas_NORM!$A$2:$A$126,0),MATCH(AB$4,[1]Esquemas_NORM!$H$1:$K$1,0)))</f>
        <v>A la fecha no ha conformado un EAT Área Metropolitana</v>
      </c>
      <c r="AC528" s="17" t="str">
        <f>IF($E528="","",INDEX([1]Esquemas_NORM!$H$2:$K$126,MATCH($E528,[1]Esquemas_NORM!$A$2:$A$126,0),MATCH(AC$4,[1]Esquemas_NORM!$H$1:$K$1,0)))</f>
        <v>ASOCIACIÓN DE MUNICIPIOS DEL MAGDALENA MEDIO ANTIOQUEÑO - AMMA</v>
      </c>
      <c r="AD528" s="23"/>
    </row>
    <row r="529" spans="1:30" x14ac:dyDescent="0.25">
      <c r="A529" s="24">
        <v>2019</v>
      </c>
      <c r="B529" s="25" t="s">
        <v>36</v>
      </c>
      <c r="C529" s="25" t="s">
        <v>78</v>
      </c>
      <c r="D529" s="25" t="s">
        <v>85</v>
      </c>
      <c r="E529" s="25" t="s">
        <v>88</v>
      </c>
      <c r="F529" s="25" t="s">
        <v>81</v>
      </c>
      <c r="G529" s="25" t="s">
        <v>89</v>
      </c>
      <c r="H529" s="26">
        <v>6.4482190133564234</v>
      </c>
      <c r="I529" s="26">
        <v>85.1691306463714</v>
      </c>
      <c r="J529" s="27">
        <v>91.617349659727822</v>
      </c>
      <c r="K529" s="26">
        <v>53.443903819404127</v>
      </c>
      <c r="L529" s="26">
        <v>4.8462398037114598</v>
      </c>
      <c r="M529" s="27">
        <v>58.29014362311559</v>
      </c>
      <c r="N529" s="26">
        <v>47.841734945849588</v>
      </c>
      <c r="O529" s="26">
        <v>29.030983129139692</v>
      </c>
      <c r="P529" s="26">
        <v>6.6882379641236236</v>
      </c>
      <c r="Q529" s="26">
        <v>3.3183906868292676</v>
      </c>
      <c r="R529" s="26">
        <v>15.47699758441601</v>
      </c>
      <c r="S529" s="26">
        <v>71.297604473691806</v>
      </c>
      <c r="T529" s="26">
        <v>48.865007346688266</v>
      </c>
      <c r="U529" s="26">
        <v>12.454981607663115</v>
      </c>
      <c r="V529" s="27">
        <v>234.97393773840136</v>
      </c>
      <c r="W529" s="27">
        <v>407.30093485864842</v>
      </c>
      <c r="X529" s="26">
        <v>40.245687279764752</v>
      </c>
      <c r="Y529" s="28">
        <v>447.56478025657606</v>
      </c>
      <c r="Z529" s="17" t="str">
        <f>SUBSTITUTE(SUBSTITUTE(SUBSTITUTE(SUBSTITUTE(IF(E529="","",VLOOKUP(E529,[1]Esquemas_NORM!$A$2:$H$126,8,FALSE)),"PROVINCIA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29" s="17" t="str">
        <f>IF($E529="","",INDEX([1]Esquemas_NORM!$H$2:$K$126,MATCH($E529,[1]Esquemas_NORM!$A$2:$A$126,0),MATCH(AA$4,[1]Esquemas_NORM!$H$1:$K$1,0)))</f>
        <v>A la fecha no ha conformado un EAT Región</v>
      </c>
      <c r="AB529" s="17" t="str">
        <f>IF($E529="","",INDEX([1]Esquemas_NORM!$H$2:$K$126,MATCH($E529,[1]Esquemas_NORM!$A$2:$A$126,0),MATCH(AB$4,[1]Esquemas_NORM!$H$1:$K$1,0)))</f>
        <v>A la fecha no ha conformado un EAT Área Metropolitana</v>
      </c>
      <c r="AC529" s="17" t="str">
        <f>IF($E529="","",INDEX([1]Esquemas_NORM!$H$2:$K$126,MATCH($E529,[1]Esquemas_NORM!$A$2:$A$126,0),MATCH(AC$4,[1]Esquemas_NORM!$H$1:$K$1,0)))</f>
        <v>ASOCIACIÓN DE MUNICIPIOS DEL MAGDALENA MEDIO ANTIOQUEÑO - AMMA</v>
      </c>
      <c r="AD529" s="23"/>
    </row>
    <row r="530" spans="1:30" x14ac:dyDescent="0.25">
      <c r="A530" s="24">
        <v>2019</v>
      </c>
      <c r="B530" s="25" t="s">
        <v>36</v>
      </c>
      <c r="C530" s="25" t="s">
        <v>78</v>
      </c>
      <c r="D530" s="25" t="s">
        <v>85</v>
      </c>
      <c r="E530" s="25" t="s">
        <v>90</v>
      </c>
      <c r="F530" s="25" t="s">
        <v>81</v>
      </c>
      <c r="G530" s="25" t="s">
        <v>91</v>
      </c>
      <c r="H530" s="26">
        <v>8.6033238702118044</v>
      </c>
      <c r="I530" s="26">
        <v>6.5077562507981979</v>
      </c>
      <c r="J530" s="27">
        <v>15.111080121010001</v>
      </c>
      <c r="K530" s="26">
        <v>19.85960925375311</v>
      </c>
      <c r="L530" s="26">
        <v>6.3355211383931263</v>
      </c>
      <c r="M530" s="27">
        <v>26.195130392146236</v>
      </c>
      <c r="N530" s="26">
        <v>11.435901807599032</v>
      </c>
      <c r="O530" s="26">
        <v>48.904414487557958</v>
      </c>
      <c r="P530" s="26">
        <v>4.292511757341023</v>
      </c>
      <c r="Q530" s="26">
        <v>1.6114290341023203</v>
      </c>
      <c r="R530" s="26">
        <v>12.064232838834377</v>
      </c>
      <c r="S530" s="26">
        <v>20.835918622291505</v>
      </c>
      <c r="T530" s="26">
        <v>19.846953012197989</v>
      </c>
      <c r="U530" s="26">
        <v>4.1123347197525844</v>
      </c>
      <c r="V530" s="27">
        <v>123.10369627967677</v>
      </c>
      <c r="W530" s="27">
        <v>168.6390988677436</v>
      </c>
      <c r="X530" s="26">
        <v>16.663346079780325</v>
      </c>
      <c r="Y530" s="28">
        <v>185.30996314456684</v>
      </c>
      <c r="Z530" s="17" t="str">
        <f>SUBSTITUTE(SUBSTITUTE(SUBSTITUTE(SUBSTITUTE(IF(E530="","",VLOOKUP(E530,[1]Esquemas_NORM!$A$2:$H$126,8,FALSE)),"PROVINCIA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30" s="17" t="str">
        <f>IF($E530="","",INDEX([1]Esquemas_NORM!$H$2:$K$126,MATCH($E530,[1]Esquemas_NORM!$A$2:$A$126,0),MATCH(AA$4,[1]Esquemas_NORM!$H$1:$K$1,0)))</f>
        <v>A la fecha no ha conformado un EAT Región</v>
      </c>
      <c r="AB530" s="17" t="str">
        <f>IF($E530="","",INDEX([1]Esquemas_NORM!$H$2:$K$126,MATCH($E530,[1]Esquemas_NORM!$A$2:$A$126,0),MATCH(AB$4,[1]Esquemas_NORM!$H$1:$K$1,0)))</f>
        <v>A la fecha no ha conformado un EAT Área Metropolitana</v>
      </c>
      <c r="AC530" s="17" t="str">
        <f>IF($E530="","",INDEX([1]Esquemas_NORM!$H$2:$K$126,MATCH($E530,[1]Esquemas_NORM!$A$2:$A$126,0),MATCH(AC$4,[1]Esquemas_NORM!$H$1:$K$1,0)))</f>
        <v>ASOCIACIÓN DE MUNICIPIOS DEL MAGDALENA MEDIO ANTIOQUEÑO - AMMA</v>
      </c>
      <c r="AD530" s="23"/>
    </row>
    <row r="531" spans="1:30" x14ac:dyDescent="0.25">
      <c r="A531" s="24">
        <v>2019</v>
      </c>
      <c r="B531" s="25" t="s">
        <v>36</v>
      </c>
      <c r="C531" s="25" t="s">
        <v>78</v>
      </c>
      <c r="D531" s="25" t="s">
        <v>85</v>
      </c>
      <c r="E531" s="25" t="s">
        <v>92</v>
      </c>
      <c r="F531" s="25" t="s">
        <v>81</v>
      </c>
      <c r="G531" s="25" t="s">
        <v>93</v>
      </c>
      <c r="H531" s="26">
        <v>35.359471427206948</v>
      </c>
      <c r="I531" s="26">
        <v>490.32883361953549</v>
      </c>
      <c r="J531" s="27">
        <v>525.68830504674247</v>
      </c>
      <c r="K531" s="26">
        <v>2.6119887259596495</v>
      </c>
      <c r="L531" s="26">
        <v>18.045893930076808</v>
      </c>
      <c r="M531" s="27">
        <v>20.657882656036456</v>
      </c>
      <c r="N531" s="26">
        <v>12.962909759917249</v>
      </c>
      <c r="O531" s="26">
        <v>19.354628074880114</v>
      </c>
      <c r="P531" s="26">
        <v>3.7411309825272245</v>
      </c>
      <c r="Q531" s="26">
        <v>1.7113240426901088</v>
      </c>
      <c r="R531" s="26">
        <v>9.6728712417526097</v>
      </c>
      <c r="S531" s="26">
        <v>52.498081974955028</v>
      </c>
      <c r="T531" s="26">
        <v>23.26041782536365</v>
      </c>
      <c r="U531" s="26">
        <v>6.0965983028651713</v>
      </c>
      <c r="V531" s="27">
        <v>129.29796220495115</v>
      </c>
      <c r="W531" s="27">
        <v>791.78992648425617</v>
      </c>
      <c r="X531" s="26">
        <v>78.237310659888493</v>
      </c>
      <c r="Y531" s="28">
        <v>870.06253638805924</v>
      </c>
      <c r="Z531" s="17" t="str">
        <f>SUBSTITUTE(SUBSTITUTE(SUBSTITUTE(SUBSTITUTE(IF(E531="","",VLOOKUP(E531,[1]Esquemas_NORM!$A$2:$H$126,8,FALSE)),"PROVINCIA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31" s="17" t="str">
        <f>IF($E531="","",INDEX([1]Esquemas_NORM!$H$2:$K$126,MATCH($E531,[1]Esquemas_NORM!$A$2:$A$126,0),MATCH(AA$4,[1]Esquemas_NORM!$H$1:$K$1,0)))</f>
        <v>A la fecha no ha conformado un EAT Región</v>
      </c>
      <c r="AB531" s="17" t="str">
        <f>IF($E531="","",INDEX([1]Esquemas_NORM!$H$2:$K$126,MATCH($E531,[1]Esquemas_NORM!$A$2:$A$126,0),MATCH(AB$4,[1]Esquemas_NORM!$H$1:$K$1,0)))</f>
        <v>A la fecha no ha conformado un EAT Área Metropolitana</v>
      </c>
      <c r="AC531" s="17" t="str">
        <f>IF($E531="","",INDEX([1]Esquemas_NORM!$H$2:$K$126,MATCH($E531,[1]Esquemas_NORM!$A$2:$A$126,0),MATCH(AC$4,[1]Esquemas_NORM!$H$1:$K$1,0)))</f>
        <v>ASOCIACIÓN DE MUNICIPIOS DEL MAGDALENA MEDIO ANTIOQUEÑO - AMMA</v>
      </c>
      <c r="AD531" s="23"/>
    </row>
    <row r="532" spans="1:30" x14ac:dyDescent="0.25">
      <c r="A532" s="24">
        <v>2019</v>
      </c>
      <c r="B532" s="25" t="s">
        <v>36</v>
      </c>
      <c r="C532" s="25" t="s">
        <v>94</v>
      </c>
      <c r="D532" s="25" t="s">
        <v>95</v>
      </c>
      <c r="E532" s="25" t="s">
        <v>96</v>
      </c>
      <c r="F532" s="25" t="s">
        <v>97</v>
      </c>
      <c r="G532" s="25" t="s">
        <v>98</v>
      </c>
      <c r="H532" s="26">
        <v>34.509978749712765</v>
      </c>
      <c r="I532" s="26">
        <v>9.5663706154897152</v>
      </c>
      <c r="J532" s="27">
        <v>44.076349365202482</v>
      </c>
      <c r="K532" s="26">
        <v>10.309942244334502</v>
      </c>
      <c r="L532" s="26">
        <v>48.507141928834628</v>
      </c>
      <c r="M532" s="27">
        <v>58.817084173169128</v>
      </c>
      <c r="N532" s="26">
        <v>355.04259700068809</v>
      </c>
      <c r="O532" s="26">
        <v>36.848389442476631</v>
      </c>
      <c r="P532" s="26">
        <v>6.9495446473712983</v>
      </c>
      <c r="Q532" s="26">
        <v>4.71757394163253</v>
      </c>
      <c r="R532" s="26">
        <v>18.226797753806832</v>
      </c>
      <c r="S532" s="26">
        <v>44.900316385868223</v>
      </c>
      <c r="T532" s="26">
        <v>52.906498041713419</v>
      </c>
      <c r="U532" s="26">
        <v>9.4353805438192175</v>
      </c>
      <c r="V532" s="27">
        <v>529.02709775737617</v>
      </c>
      <c r="W532" s="27">
        <v>674.38858824275201</v>
      </c>
      <c r="X532" s="26">
        <v>66.636803170751747</v>
      </c>
      <c r="Y532" s="28">
        <v>741.05545672056439</v>
      </c>
      <c r="Z532" s="17" t="str">
        <f>SUBSTITUTE(SUBSTITUTE(SUBSTITUTE(SUBSTITUTE(IF(E532="","",VLOOKUP(E532,[1]Esquemas_NORM!$A$2:$H$126,8,FALSE)),"PROVINCIA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532" s="17" t="str">
        <f>IF($E532="","",INDEX([1]Esquemas_NORM!$H$2:$K$126,MATCH($E532,[1]Esquemas_NORM!$A$2:$A$126,0),MATCH(AA$4,[1]Esquemas_NORM!$H$1:$K$1,0)))</f>
        <v>A la fecha no ha conformado un EAT Región</v>
      </c>
      <c r="AB532" s="17" t="str">
        <f>IF($E532="","",INDEX([1]Esquemas_NORM!$H$2:$K$126,MATCH($E532,[1]Esquemas_NORM!$A$2:$A$126,0),MATCH(AB$4,[1]Esquemas_NORM!$H$1:$K$1,0)))</f>
        <v>A la fecha no ha conformado un EAT Área Metropolitana</v>
      </c>
      <c r="AC532" s="17" t="str">
        <f>IF($E532="","",INDEX([1]Esquemas_NORM!$H$2:$K$126,MATCH($E532,[1]Esquemas_NORM!$A$2:$A$126,0),MATCH(AC$4,[1]Esquemas_NORM!$H$1:$K$1,0)))</f>
        <v>A la fecha no ha conformado un EAT asociación - unión</v>
      </c>
      <c r="AD532" s="23"/>
    </row>
    <row r="533" spans="1:30" x14ac:dyDescent="0.25">
      <c r="A533" s="24">
        <v>2019</v>
      </c>
      <c r="B533" s="25" t="s">
        <v>36</v>
      </c>
      <c r="C533" s="25" t="s">
        <v>94</v>
      </c>
      <c r="D533" s="25" t="s">
        <v>99</v>
      </c>
      <c r="E533" s="25" t="s">
        <v>100</v>
      </c>
      <c r="F533" s="25" t="s">
        <v>97</v>
      </c>
      <c r="G533" s="25" t="s">
        <v>101</v>
      </c>
      <c r="H533" s="26">
        <v>11.246566463250227</v>
      </c>
      <c r="I533" s="26">
        <v>0.45871523468214398</v>
      </c>
      <c r="J533" s="27">
        <v>11.705281697932371</v>
      </c>
      <c r="K533" s="26">
        <v>0.98598436899932684</v>
      </c>
      <c r="L533" s="26">
        <v>11.148447426274389</v>
      </c>
      <c r="M533" s="27">
        <v>12.134431795273716</v>
      </c>
      <c r="N533" s="26">
        <v>68.603573015797195</v>
      </c>
      <c r="O533" s="26">
        <v>8.3123989728553838</v>
      </c>
      <c r="P533" s="26">
        <v>1.6580479345296755</v>
      </c>
      <c r="Q533" s="26">
        <v>0.99341659284590977</v>
      </c>
      <c r="R533" s="26">
        <v>3.4078447381803225</v>
      </c>
      <c r="S533" s="26">
        <v>9.0679412634243057</v>
      </c>
      <c r="T533" s="26">
        <v>12.164973553964002</v>
      </c>
      <c r="U533" s="26">
        <v>2.0467893224609699</v>
      </c>
      <c r="V533" s="27">
        <v>106.25498539405775</v>
      </c>
      <c r="W533" s="27">
        <v>138.45724704478715</v>
      </c>
      <c r="X533" s="26">
        <v>13.681056411300967</v>
      </c>
      <c r="Y533" s="28">
        <v>152.14447609856711</v>
      </c>
      <c r="Z533" s="17" t="str">
        <f>SUBSTITUTE(SUBSTITUTE(SUBSTITUTE(SUBSTITUTE(IF(E533="","",VLOOKUP(E533,[1]Esquemas_NORM!$A$2:$H$126,8,FALSE)),"PROVINCIA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33" s="17" t="str">
        <f>IF($E533="","",INDEX([1]Esquemas_NORM!$H$2:$K$126,MATCH($E533,[1]Esquemas_NORM!$A$2:$A$126,0),MATCH(AA$4,[1]Esquemas_NORM!$H$1:$K$1,0)))</f>
        <v>A la fecha no ha conformado un EAT Región</v>
      </c>
      <c r="AB533" s="17" t="str">
        <f>IF($E533="","",INDEX([1]Esquemas_NORM!$H$2:$K$126,MATCH($E533,[1]Esquemas_NORM!$A$2:$A$126,0),MATCH(AB$4,[1]Esquemas_NORM!$H$1:$K$1,0)))</f>
        <v>A la fecha no ha conformado un EAT Área Metropolitana</v>
      </c>
      <c r="AC533" s="17" t="str">
        <f>IF($E533="","",INDEX([1]Esquemas_NORM!$H$2:$K$126,MATCH($E533,[1]Esquemas_NORM!$A$2:$A$126,0),MATCH(AC$4,[1]Esquemas_NORM!$H$1:$K$1,0)))</f>
        <v>A la fecha no ha conformado un EAT asociación - unión</v>
      </c>
      <c r="AD533" s="23"/>
    </row>
    <row r="534" spans="1:30" x14ac:dyDescent="0.25">
      <c r="A534" s="24">
        <v>2019</v>
      </c>
      <c r="B534" s="25" t="s">
        <v>36</v>
      </c>
      <c r="C534" s="25" t="s">
        <v>94</v>
      </c>
      <c r="D534" s="25" t="s">
        <v>79</v>
      </c>
      <c r="E534" s="25" t="s">
        <v>102</v>
      </c>
      <c r="F534" s="25" t="s">
        <v>97</v>
      </c>
      <c r="G534" s="25" t="s">
        <v>103</v>
      </c>
      <c r="H534" s="26">
        <v>3.5466750973355761</v>
      </c>
      <c r="I534" s="26">
        <v>1.7880268203890187E-2</v>
      </c>
      <c r="J534" s="27">
        <v>3.5645553655394662</v>
      </c>
      <c r="K534" s="26">
        <v>6.9188558710384687</v>
      </c>
      <c r="L534" s="26">
        <v>3.7622586530938151</v>
      </c>
      <c r="M534" s="27">
        <v>10.681114524132283</v>
      </c>
      <c r="N534" s="26">
        <v>9.2345777218186846</v>
      </c>
      <c r="O534" s="26">
        <v>21.70960943445132</v>
      </c>
      <c r="P534" s="26">
        <v>3.9553619683572645</v>
      </c>
      <c r="Q534" s="26">
        <v>3.0299917357629362</v>
      </c>
      <c r="R534" s="26">
        <v>10.462554854064251</v>
      </c>
      <c r="S534" s="26">
        <v>14.959896602051002</v>
      </c>
      <c r="T534" s="26">
        <v>18.143253178821915</v>
      </c>
      <c r="U534" s="26">
        <v>4.5566299805077009</v>
      </c>
      <c r="V534" s="27">
        <v>86.051875475835061</v>
      </c>
      <c r="W534" s="27">
        <v>101.92534863439015</v>
      </c>
      <c r="X534" s="26">
        <v>10.071314244445331</v>
      </c>
      <c r="Y534" s="28">
        <v>112.0012068716571</v>
      </c>
      <c r="Z534" s="17" t="str">
        <f>SUBSTITUTE(SUBSTITUTE(SUBSTITUTE(SUBSTITUTE(IF(E534="","",VLOOKUP(E534,[1]Esquemas_NORM!$A$2:$H$126,8,FALSE)),"PROVINCIA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34" s="17" t="str">
        <f>IF($E534="","",INDEX([1]Esquemas_NORM!$H$2:$K$126,MATCH($E534,[1]Esquemas_NORM!$A$2:$A$126,0),MATCH(AA$4,[1]Esquemas_NORM!$H$1:$K$1,0)))</f>
        <v>A la fecha no ha conformado un EAT Región</v>
      </c>
      <c r="AB534" s="17" t="str">
        <f>IF($E534="","",INDEX([1]Esquemas_NORM!$H$2:$K$126,MATCH($E534,[1]Esquemas_NORM!$A$2:$A$126,0),MATCH(AB$4,[1]Esquemas_NORM!$H$1:$K$1,0)))</f>
        <v>A la fecha no ha conformado un EAT Área Metropolitana</v>
      </c>
      <c r="AC534" s="17" t="str">
        <f>IF($E534="","",INDEX([1]Esquemas_NORM!$H$2:$K$126,MATCH($E534,[1]Esquemas_NORM!$A$2:$A$126,0),MATCH(AC$4,[1]Esquemas_NORM!$H$1:$K$1,0)))</f>
        <v>A la fecha no ha conformado un EAT asociación - unión</v>
      </c>
      <c r="AD534" s="23"/>
    </row>
    <row r="535" spans="1:30" x14ac:dyDescent="0.25">
      <c r="A535" s="24">
        <v>2019</v>
      </c>
      <c r="B535" s="25" t="s">
        <v>36</v>
      </c>
      <c r="C535" s="25" t="s">
        <v>94</v>
      </c>
      <c r="D535" s="25" t="s">
        <v>104</v>
      </c>
      <c r="E535" s="25" t="s">
        <v>105</v>
      </c>
      <c r="F535" s="25" t="s">
        <v>97</v>
      </c>
      <c r="G535" s="25" t="s">
        <v>106</v>
      </c>
      <c r="H535" s="26">
        <v>55.931649775417895</v>
      </c>
      <c r="I535" s="26">
        <v>321.69843603715867</v>
      </c>
      <c r="J535" s="27">
        <v>377.63008581257657</v>
      </c>
      <c r="K535" s="26">
        <v>14.986784014278445</v>
      </c>
      <c r="L535" s="26">
        <v>6.8168171049855228</v>
      </c>
      <c r="M535" s="27">
        <v>21.803601119263966</v>
      </c>
      <c r="N535" s="26">
        <v>11.808298988512094</v>
      </c>
      <c r="O535" s="26">
        <v>46.112041214411619</v>
      </c>
      <c r="P535" s="26">
        <v>6.6526246003742173</v>
      </c>
      <c r="Q535" s="26">
        <v>3.9435995987979182</v>
      </c>
      <c r="R535" s="26">
        <v>17.781797632382581</v>
      </c>
      <c r="S535" s="26">
        <v>48.418760136100971</v>
      </c>
      <c r="T535" s="26">
        <v>36.858533563663613</v>
      </c>
      <c r="U535" s="26">
        <v>10.669730548314146</v>
      </c>
      <c r="V535" s="27">
        <v>182.24538628255715</v>
      </c>
      <c r="W535" s="27">
        <v>662.44978875637605</v>
      </c>
      <c r="X535" s="26">
        <v>65.457122130377812</v>
      </c>
      <c r="Y535" s="28">
        <v>727.93644394330306</v>
      </c>
      <c r="Z535" s="17" t="str">
        <f>SUBSTITUTE(SUBSTITUTE(SUBSTITUTE(SUBSTITUTE(IF(E535="","",VLOOKUP(E535,[1]Esquemas_NORM!$A$2:$H$126,8,FALSE)),"PROVINCIA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535" s="17" t="str">
        <f>IF($E535="","",INDEX([1]Esquemas_NORM!$H$2:$K$126,MATCH($E535,[1]Esquemas_NORM!$A$2:$A$126,0),MATCH(AA$4,[1]Esquemas_NORM!$H$1:$K$1,0)))</f>
        <v>A la fecha no ha conformado un EAT Región</v>
      </c>
      <c r="AB535" s="17" t="str">
        <f>IF($E535="","",INDEX([1]Esquemas_NORM!$H$2:$K$126,MATCH($E535,[1]Esquemas_NORM!$A$2:$A$126,0),MATCH(AB$4,[1]Esquemas_NORM!$H$1:$K$1,0)))</f>
        <v>A la fecha no ha conformado un EAT Área Metropolitana</v>
      </c>
      <c r="AC535" s="17" t="str">
        <f>IF($E535="","",INDEX([1]Esquemas_NORM!$H$2:$K$126,MATCH($E535,[1]Esquemas_NORM!$A$2:$A$126,0),MATCH(AC$4,[1]Esquemas_NORM!$H$1:$K$1,0)))</f>
        <v>A la fecha no ha conformado un EAT asociación - unión</v>
      </c>
      <c r="AD535" s="23"/>
    </row>
    <row r="536" spans="1:30" x14ac:dyDescent="0.25">
      <c r="A536" s="24">
        <v>2019</v>
      </c>
      <c r="B536" s="25" t="s">
        <v>36</v>
      </c>
      <c r="C536" s="25" t="s">
        <v>94</v>
      </c>
      <c r="D536" s="25" t="s">
        <v>79</v>
      </c>
      <c r="E536" s="25" t="s">
        <v>107</v>
      </c>
      <c r="F536" s="25" t="s">
        <v>97</v>
      </c>
      <c r="G536" s="25" t="s">
        <v>108</v>
      </c>
      <c r="H536" s="26">
        <v>22.823736919146434</v>
      </c>
      <c r="I536" s="26">
        <v>0.11469515376149289</v>
      </c>
      <c r="J536" s="27">
        <v>22.938432072907926</v>
      </c>
      <c r="K536" s="26">
        <v>3.2547211434587622</v>
      </c>
      <c r="L536" s="26">
        <v>15.772818337743454</v>
      </c>
      <c r="M536" s="27">
        <v>19.027539481202215</v>
      </c>
      <c r="N536" s="26">
        <v>18.515147143920753</v>
      </c>
      <c r="O536" s="26">
        <v>26.394080562270656</v>
      </c>
      <c r="P536" s="26">
        <v>5.9202672700160992</v>
      </c>
      <c r="Q536" s="26">
        <v>3.0720521887883723</v>
      </c>
      <c r="R536" s="26">
        <v>11.092607456728283</v>
      </c>
      <c r="S536" s="26">
        <v>19.796771854020559</v>
      </c>
      <c r="T536" s="26">
        <v>32.805599738230782</v>
      </c>
      <c r="U536" s="26">
        <v>6.0327450751062095</v>
      </c>
      <c r="V536" s="27">
        <v>123.62927128908171</v>
      </c>
      <c r="W536" s="27">
        <v>169.93933282809627</v>
      </c>
      <c r="X536" s="26">
        <v>16.791823097336348</v>
      </c>
      <c r="Y536" s="28">
        <v>186.73873208895645</v>
      </c>
      <c r="Z536" s="17" t="str">
        <f>SUBSTITUTE(SUBSTITUTE(SUBSTITUTE(SUBSTITUTE(IF(E536="","",VLOOKUP(E536,[1]Esquemas_NORM!$A$2:$H$126,8,FALSE)),"PROVINCIA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36" s="17" t="str">
        <f>IF($E536="","",INDEX([1]Esquemas_NORM!$H$2:$K$126,MATCH($E536,[1]Esquemas_NORM!$A$2:$A$126,0),MATCH(AA$4,[1]Esquemas_NORM!$H$1:$K$1,0)))</f>
        <v>A la fecha no ha conformado un EAT Región</v>
      </c>
      <c r="AB536" s="17" t="str">
        <f>IF($E536="","",INDEX([1]Esquemas_NORM!$H$2:$K$126,MATCH($E536,[1]Esquemas_NORM!$A$2:$A$126,0),MATCH(AB$4,[1]Esquemas_NORM!$H$1:$K$1,0)))</f>
        <v>A la fecha no ha conformado un EAT Área Metropolitana</v>
      </c>
      <c r="AC536" s="17" t="str">
        <f>IF($E536="","",INDEX([1]Esquemas_NORM!$H$2:$K$126,MATCH($E536,[1]Esquemas_NORM!$A$2:$A$126,0),MATCH(AC$4,[1]Esquemas_NORM!$H$1:$K$1,0)))</f>
        <v>A la fecha no ha conformado un EAT asociación - unión</v>
      </c>
      <c r="AD536" s="23"/>
    </row>
    <row r="537" spans="1:30" x14ac:dyDescent="0.25">
      <c r="A537" s="24">
        <v>2019</v>
      </c>
      <c r="B537" s="25" t="s">
        <v>36</v>
      </c>
      <c r="C537" s="25" t="s">
        <v>94</v>
      </c>
      <c r="D537" s="25" t="s">
        <v>79</v>
      </c>
      <c r="E537" s="25" t="s">
        <v>109</v>
      </c>
      <c r="F537" s="25" t="s">
        <v>97</v>
      </c>
      <c r="G537" s="25" t="s">
        <v>110</v>
      </c>
      <c r="H537" s="26">
        <v>49.52593904162589</v>
      </c>
      <c r="I537" s="26">
        <v>9.387452643327439</v>
      </c>
      <c r="J537" s="27">
        <v>58.913391684953325</v>
      </c>
      <c r="K537" s="26">
        <v>7.7696519746064148</v>
      </c>
      <c r="L537" s="26">
        <v>4.6634739997177705</v>
      </c>
      <c r="M537" s="27">
        <v>12.433125974324184</v>
      </c>
      <c r="N537" s="26">
        <v>24.140639297903032</v>
      </c>
      <c r="O537" s="26">
        <v>10.614163035235309</v>
      </c>
      <c r="P537" s="26">
        <v>1.8362575694069552</v>
      </c>
      <c r="Q537" s="26">
        <v>0.88709110501267152</v>
      </c>
      <c r="R537" s="26">
        <v>4.9883163412752927</v>
      </c>
      <c r="S537" s="26">
        <v>12.627620486436781</v>
      </c>
      <c r="T537" s="26">
        <v>14.380569972910095</v>
      </c>
      <c r="U537" s="26">
        <v>2.5333051613934754</v>
      </c>
      <c r="V537" s="27">
        <v>72.007962969573612</v>
      </c>
      <c r="W537" s="27">
        <v>152.51067578189478</v>
      </c>
      <c r="X537" s="26">
        <v>15.069685431653513</v>
      </c>
      <c r="Y537" s="28">
        <v>167.58716038004863</v>
      </c>
      <c r="Z537" s="17" t="str">
        <f>SUBSTITUTE(SUBSTITUTE(SUBSTITUTE(SUBSTITUTE(IF(E537="","",VLOOKUP(E537,[1]Esquemas_NORM!$A$2:$H$126,8,FALSE)),"PROVINCIA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37" s="17" t="str">
        <f>IF($E537="","",INDEX([1]Esquemas_NORM!$H$2:$K$126,MATCH($E537,[1]Esquemas_NORM!$A$2:$A$126,0),MATCH(AA$4,[1]Esquemas_NORM!$H$1:$K$1,0)))</f>
        <v>A la fecha no ha conformado un EAT Región</v>
      </c>
      <c r="AB537" s="17" t="str">
        <f>IF($E537="","",INDEX([1]Esquemas_NORM!$H$2:$K$126,MATCH($E537,[1]Esquemas_NORM!$A$2:$A$126,0),MATCH(AB$4,[1]Esquemas_NORM!$H$1:$K$1,0)))</f>
        <v>A la fecha no ha conformado un EAT Área Metropolitana</v>
      </c>
      <c r="AC537" s="17" t="str">
        <f>IF($E537="","",INDEX([1]Esquemas_NORM!$H$2:$K$126,MATCH($E537,[1]Esquemas_NORM!$A$2:$A$126,0),MATCH(AC$4,[1]Esquemas_NORM!$H$1:$K$1,0)))</f>
        <v>A la fecha no ha conformado un EAT asociación - unión</v>
      </c>
      <c r="AD537" s="23"/>
    </row>
    <row r="538" spans="1:30" x14ac:dyDescent="0.25">
      <c r="A538" s="24">
        <v>2019</v>
      </c>
      <c r="B538" s="25" t="s">
        <v>36</v>
      </c>
      <c r="C538" s="25" t="s">
        <v>94</v>
      </c>
      <c r="D538" s="25" t="s">
        <v>104</v>
      </c>
      <c r="E538" s="25" t="s">
        <v>111</v>
      </c>
      <c r="F538" s="25" t="s">
        <v>97</v>
      </c>
      <c r="G538" s="25" t="s">
        <v>112</v>
      </c>
      <c r="H538" s="26">
        <v>20.535299133757441</v>
      </c>
      <c r="I538" s="26">
        <v>389.65576311125369</v>
      </c>
      <c r="J538" s="27">
        <v>410.19106224501115</v>
      </c>
      <c r="K538" s="26">
        <v>27.220111249227823</v>
      </c>
      <c r="L538" s="26">
        <v>5.3205525149580799</v>
      </c>
      <c r="M538" s="27">
        <v>32.540663764185901</v>
      </c>
      <c r="N538" s="26">
        <v>21.009977608562401</v>
      </c>
      <c r="O538" s="26">
        <v>74.865177548839227</v>
      </c>
      <c r="P538" s="26">
        <v>13.931480675618888</v>
      </c>
      <c r="Q538" s="26">
        <v>7.8416715070933689</v>
      </c>
      <c r="R538" s="26">
        <v>38.842123213577267</v>
      </c>
      <c r="S538" s="26">
        <v>76.579182129664559</v>
      </c>
      <c r="T538" s="26">
        <v>47.300017231525501</v>
      </c>
      <c r="U538" s="26">
        <v>16.401532208202703</v>
      </c>
      <c r="V538" s="27">
        <v>296.77116212308391</v>
      </c>
      <c r="W538" s="27">
        <v>833.67768519721824</v>
      </c>
      <c r="X538" s="26">
        <v>82.376269090175654</v>
      </c>
      <c r="Y538" s="28">
        <v>916.09112095366606</v>
      </c>
      <c r="Z538" s="17" t="str">
        <f>SUBSTITUTE(SUBSTITUTE(SUBSTITUTE(SUBSTITUTE(IF(E538="","",VLOOKUP(E538,[1]Esquemas_NORM!$A$2:$H$126,8,FALSE)),"PROVINCIA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538" s="17" t="str">
        <f>IF($E538="","",INDEX([1]Esquemas_NORM!$H$2:$K$126,MATCH($E538,[1]Esquemas_NORM!$A$2:$A$126,0),MATCH(AA$4,[1]Esquemas_NORM!$H$1:$K$1,0)))</f>
        <v>A la fecha no ha conformado un EAT Región</v>
      </c>
      <c r="AB538" s="17" t="str">
        <f>IF($E538="","",INDEX([1]Esquemas_NORM!$H$2:$K$126,MATCH($E538,[1]Esquemas_NORM!$A$2:$A$126,0),MATCH(AB$4,[1]Esquemas_NORM!$H$1:$K$1,0)))</f>
        <v>A la fecha no ha conformado un EAT Área Metropolitana</v>
      </c>
      <c r="AC538" s="17" t="str">
        <f>IF($E538="","",INDEX([1]Esquemas_NORM!$H$2:$K$126,MATCH($E538,[1]Esquemas_NORM!$A$2:$A$126,0),MATCH(AC$4,[1]Esquemas_NORM!$H$1:$K$1,0)))</f>
        <v>A la fecha no ha conformado un EAT asociación - unión</v>
      </c>
      <c r="AD538" s="23"/>
    </row>
    <row r="539" spans="1:30" x14ac:dyDescent="0.25">
      <c r="A539" s="24">
        <v>2019</v>
      </c>
      <c r="B539" s="25" t="s">
        <v>36</v>
      </c>
      <c r="C539" s="25" t="s">
        <v>94</v>
      </c>
      <c r="D539" s="25" t="s">
        <v>95</v>
      </c>
      <c r="E539" s="25" t="s">
        <v>113</v>
      </c>
      <c r="F539" s="25" t="s">
        <v>97</v>
      </c>
      <c r="G539" s="25" t="s">
        <v>114</v>
      </c>
      <c r="H539" s="26">
        <v>12.957589702901229</v>
      </c>
      <c r="I539" s="26">
        <v>0.46899690794276983</v>
      </c>
      <c r="J539" s="27">
        <v>13.426586610844</v>
      </c>
      <c r="K539" s="26">
        <v>0.41758274537940815</v>
      </c>
      <c r="L539" s="26">
        <v>11.068088118945596</v>
      </c>
      <c r="M539" s="27">
        <v>11.485670864325003</v>
      </c>
      <c r="N539" s="26">
        <v>4.0680110318863711</v>
      </c>
      <c r="O539" s="26">
        <v>20.459066403174468</v>
      </c>
      <c r="P539" s="26">
        <v>4.5566186452197437</v>
      </c>
      <c r="Q539" s="26">
        <v>3.8604032423704417</v>
      </c>
      <c r="R539" s="26">
        <v>8.4893015159384575</v>
      </c>
      <c r="S539" s="26">
        <v>12.855547052545473</v>
      </c>
      <c r="T539" s="26">
        <v>23.100416658085123</v>
      </c>
      <c r="U539" s="26">
        <v>6.5672133674940234</v>
      </c>
      <c r="V539" s="27">
        <v>83.95657791671411</v>
      </c>
      <c r="W539" s="27">
        <v>110.82282974646638</v>
      </c>
      <c r="X539" s="26">
        <v>10.950480511367775</v>
      </c>
      <c r="Y539" s="28">
        <v>121.77825091439884</v>
      </c>
      <c r="Z539" s="17" t="str">
        <f>SUBSTITUTE(SUBSTITUTE(SUBSTITUTE(SUBSTITUTE(IF(E539="","",VLOOKUP(E539,[1]Esquemas_NORM!$A$2:$H$126,8,FALSE)),"PROVINCIA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539" s="17" t="str">
        <f>IF($E539="","",INDEX([1]Esquemas_NORM!$H$2:$K$126,MATCH($E539,[1]Esquemas_NORM!$A$2:$A$126,0),MATCH(AA$4,[1]Esquemas_NORM!$H$1:$K$1,0)))</f>
        <v>A la fecha no ha conformado un EAT Región</v>
      </c>
      <c r="AB539" s="17" t="str">
        <f>IF($E539="","",INDEX([1]Esquemas_NORM!$H$2:$K$126,MATCH($E539,[1]Esquemas_NORM!$A$2:$A$126,0),MATCH(AB$4,[1]Esquemas_NORM!$H$1:$K$1,0)))</f>
        <v>A la fecha no ha conformado un EAT Área Metropolitana</v>
      </c>
      <c r="AC539" s="17" t="str">
        <f>IF($E539="","",INDEX([1]Esquemas_NORM!$H$2:$K$126,MATCH($E539,[1]Esquemas_NORM!$A$2:$A$126,0),MATCH(AC$4,[1]Esquemas_NORM!$H$1:$K$1,0)))</f>
        <v>A la fecha no ha conformado un EAT asociación - unión</v>
      </c>
      <c r="AD539" s="23"/>
    </row>
    <row r="540" spans="1:30" x14ac:dyDescent="0.25">
      <c r="A540" s="24">
        <v>2019</v>
      </c>
      <c r="B540" s="25" t="s">
        <v>36</v>
      </c>
      <c r="C540" s="25" t="s">
        <v>94</v>
      </c>
      <c r="D540" s="25" t="s">
        <v>95</v>
      </c>
      <c r="E540" s="25" t="s">
        <v>115</v>
      </c>
      <c r="F540" s="25" t="s">
        <v>97</v>
      </c>
      <c r="G540" s="25" t="s">
        <v>116</v>
      </c>
      <c r="H540" s="26">
        <v>11.453140197574045</v>
      </c>
      <c r="I540" s="26">
        <v>0.2998502564339679</v>
      </c>
      <c r="J540" s="27">
        <v>11.752990454008014</v>
      </c>
      <c r="K540" s="26">
        <v>1.6464763916532523</v>
      </c>
      <c r="L540" s="26">
        <v>4.0017725798340651</v>
      </c>
      <c r="M540" s="27">
        <v>5.6482489714873179</v>
      </c>
      <c r="N540" s="26">
        <v>3.5521474946574672</v>
      </c>
      <c r="O540" s="26">
        <v>8.7113679692954431</v>
      </c>
      <c r="P540" s="26">
        <v>2.1870848187692227</v>
      </c>
      <c r="Q540" s="26">
        <v>1.2049208857196543</v>
      </c>
      <c r="R540" s="26">
        <v>4.211877588485387</v>
      </c>
      <c r="S540" s="26">
        <v>8.1153704713862158</v>
      </c>
      <c r="T540" s="26">
        <v>15.197988582639514</v>
      </c>
      <c r="U540" s="26">
        <v>3.3282834574688809</v>
      </c>
      <c r="V540" s="27">
        <v>46.509041268421775</v>
      </c>
      <c r="W540" s="27">
        <v>65.564433178317032</v>
      </c>
      <c r="X540" s="26">
        <v>6.4784670216447076</v>
      </c>
      <c r="Y540" s="28">
        <v>72.04582316581569</v>
      </c>
      <c r="Z540" s="17" t="str">
        <f>SUBSTITUTE(SUBSTITUTE(SUBSTITUTE(SUBSTITUTE(IF(E540="","",VLOOKUP(E540,[1]Esquemas_NORM!$A$2:$H$126,8,FALSE)),"PROVINCIA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540" s="17" t="str">
        <f>IF($E540="","",INDEX([1]Esquemas_NORM!$H$2:$K$126,MATCH($E540,[1]Esquemas_NORM!$A$2:$A$126,0),MATCH(AA$4,[1]Esquemas_NORM!$H$1:$K$1,0)))</f>
        <v>A la fecha no ha conformado un EAT Región</v>
      </c>
      <c r="AB540" s="17" t="str">
        <f>IF($E540="","",INDEX([1]Esquemas_NORM!$H$2:$K$126,MATCH($E540,[1]Esquemas_NORM!$A$2:$A$126,0),MATCH(AB$4,[1]Esquemas_NORM!$H$1:$K$1,0)))</f>
        <v>A la fecha no ha conformado un EAT Área Metropolitana</v>
      </c>
      <c r="AC540" s="17" t="str">
        <f>IF($E540="","",INDEX([1]Esquemas_NORM!$H$2:$K$126,MATCH($E540,[1]Esquemas_NORM!$A$2:$A$126,0),MATCH(AC$4,[1]Esquemas_NORM!$H$1:$K$1,0)))</f>
        <v>A la fecha no ha conformado un EAT asociación - unión</v>
      </c>
      <c r="AD540" s="23"/>
    </row>
    <row r="541" spans="1:30" x14ac:dyDescent="0.25">
      <c r="A541" s="24">
        <v>2019</v>
      </c>
      <c r="B541" s="25" t="s">
        <v>36</v>
      </c>
      <c r="C541" s="25" t="s">
        <v>94</v>
      </c>
      <c r="D541" s="25" t="s">
        <v>95</v>
      </c>
      <c r="E541" s="25" t="s">
        <v>117</v>
      </c>
      <c r="F541" s="25" t="s">
        <v>97</v>
      </c>
      <c r="G541" s="25" t="s">
        <v>118</v>
      </c>
      <c r="H541" s="26">
        <v>37.65203806016968</v>
      </c>
      <c r="I541" s="26">
        <v>0.197068077319596</v>
      </c>
      <c r="J541" s="27">
        <v>37.849106137489279</v>
      </c>
      <c r="K541" s="26">
        <v>3.305446810939813</v>
      </c>
      <c r="L541" s="26">
        <v>19.280337435377621</v>
      </c>
      <c r="M541" s="27">
        <v>22.585784246317434</v>
      </c>
      <c r="N541" s="26">
        <v>4.1849820180424757</v>
      </c>
      <c r="O541" s="26">
        <v>25.20883176441815</v>
      </c>
      <c r="P541" s="26">
        <v>5.7346197990421155</v>
      </c>
      <c r="Q541" s="26">
        <v>3.4574257265260746</v>
      </c>
      <c r="R541" s="26">
        <v>11.62481334819409</v>
      </c>
      <c r="S541" s="26">
        <v>21.852858346934877</v>
      </c>
      <c r="T541" s="26">
        <v>50.461544074626843</v>
      </c>
      <c r="U541" s="26">
        <v>11.595120883159222</v>
      </c>
      <c r="V541" s="27">
        <v>134.12019596094385</v>
      </c>
      <c r="W541" s="27">
        <v>198.49606926001212</v>
      </c>
      <c r="X541" s="26">
        <v>19.613533989224273</v>
      </c>
      <c r="Y541" s="28">
        <v>218.11845251711637</v>
      </c>
      <c r="Z541" s="17" t="str">
        <f>SUBSTITUTE(SUBSTITUTE(SUBSTITUTE(SUBSTITUTE(IF(E541="","",VLOOKUP(E541,[1]Esquemas_NORM!$A$2:$H$126,8,FALSE)),"PROVINCIA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541" s="17" t="str">
        <f>IF($E541="","",INDEX([1]Esquemas_NORM!$H$2:$K$126,MATCH($E541,[1]Esquemas_NORM!$A$2:$A$126,0),MATCH(AA$4,[1]Esquemas_NORM!$H$1:$K$1,0)))</f>
        <v>A la fecha no ha conformado un EAT Región</v>
      </c>
      <c r="AB541" s="17" t="str">
        <f>IF($E541="","",INDEX([1]Esquemas_NORM!$H$2:$K$126,MATCH($E541,[1]Esquemas_NORM!$A$2:$A$126,0),MATCH(AB$4,[1]Esquemas_NORM!$H$1:$K$1,0)))</f>
        <v>A la fecha no ha conformado un EAT Área Metropolitana</v>
      </c>
      <c r="AC541" s="17" t="str">
        <f>IF($E541="","",INDEX([1]Esquemas_NORM!$H$2:$K$126,MATCH($E541,[1]Esquemas_NORM!$A$2:$A$126,0),MATCH(AC$4,[1]Esquemas_NORM!$H$1:$K$1,0)))</f>
        <v>A la fecha no ha conformado un EAT asociación - unión</v>
      </c>
      <c r="AD541" s="23"/>
    </row>
    <row r="542" spans="1:30" x14ac:dyDescent="0.25">
      <c r="A542" s="24">
        <v>2019</v>
      </c>
      <c r="B542" s="25" t="s">
        <v>36</v>
      </c>
      <c r="C542" s="25" t="s">
        <v>119</v>
      </c>
      <c r="D542" s="25" t="s">
        <v>120</v>
      </c>
      <c r="E542" s="25" t="s">
        <v>121</v>
      </c>
      <c r="F542" s="25" t="s">
        <v>122</v>
      </c>
      <c r="G542" s="25" t="s">
        <v>123</v>
      </c>
      <c r="H542" s="26">
        <v>23.566646257753135</v>
      </c>
      <c r="I542" s="26">
        <v>0</v>
      </c>
      <c r="J542" s="27">
        <v>23.566646257753135</v>
      </c>
      <c r="K542" s="26">
        <v>0.99521217367548132</v>
      </c>
      <c r="L542" s="26">
        <v>17.992253656407701</v>
      </c>
      <c r="M542" s="27">
        <v>18.987465830083181</v>
      </c>
      <c r="N542" s="26">
        <v>4.6601394463979222</v>
      </c>
      <c r="O542" s="26">
        <v>15.801913345335672</v>
      </c>
      <c r="P542" s="26">
        <v>3.6644509963308263</v>
      </c>
      <c r="Q542" s="26">
        <v>2.1833406722449453</v>
      </c>
      <c r="R542" s="26">
        <v>7.5287971142851005</v>
      </c>
      <c r="S542" s="26">
        <v>12.482234592562348</v>
      </c>
      <c r="T542" s="26">
        <v>21.027644407733195</v>
      </c>
      <c r="U542" s="26">
        <v>3.0826176122051301</v>
      </c>
      <c r="V542" s="27">
        <v>70.431138187095129</v>
      </c>
      <c r="W542" s="27">
        <v>115.17425261493518</v>
      </c>
      <c r="X542" s="26">
        <v>11.380447616760728</v>
      </c>
      <c r="Y542" s="28">
        <v>126.55983488155604</v>
      </c>
      <c r="Z542" s="17" t="str">
        <f>SUBSTITUTE(SUBSTITUTE(SUBSTITUTE(SUBSTITUTE(IF(E542="","",VLOOKUP(E542,[1]Esquemas_NORM!$A$2:$H$126,8,FALSE)),"PROVINCIA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42" s="17" t="str">
        <f>IF($E542="","",INDEX([1]Esquemas_NORM!$H$2:$K$126,MATCH($E542,[1]Esquemas_NORM!$A$2:$A$126,0),MATCH(AA$4,[1]Esquemas_NORM!$H$1:$K$1,0)))</f>
        <v>A la fecha no ha conformado un EAT Región</v>
      </c>
      <c r="AB542" s="17" t="str">
        <f>IF($E542="","",INDEX([1]Esquemas_NORM!$H$2:$K$126,MATCH($E542,[1]Esquemas_NORM!$A$2:$A$126,0),MATCH(AB$4,[1]Esquemas_NORM!$H$1:$K$1,0)))</f>
        <v>A la fecha no ha conformado un EAT Área Metropolitana</v>
      </c>
      <c r="AC542" s="17" t="str">
        <f>IF($E542="","",INDEX([1]Esquemas_NORM!$H$2:$K$126,MATCH($E542,[1]Esquemas_NORM!$A$2:$A$126,0),MATCH(AC$4,[1]Esquemas_NORM!$H$1:$K$1,0)))</f>
        <v>ASOCIACION DE MUNICIPIOS DEL NORTE ANTIOQUEÑO - AMUNORTE</v>
      </c>
      <c r="AD542" s="23"/>
    </row>
    <row r="543" spans="1:30" x14ac:dyDescent="0.25">
      <c r="A543" s="24">
        <v>2019</v>
      </c>
      <c r="B543" s="25" t="s">
        <v>36</v>
      </c>
      <c r="C543" s="25" t="s">
        <v>119</v>
      </c>
      <c r="D543" s="25" t="s">
        <v>124</v>
      </c>
      <c r="E543" s="25" t="s">
        <v>125</v>
      </c>
      <c r="F543" s="25" t="s">
        <v>122</v>
      </c>
      <c r="G543" s="25" t="s">
        <v>126</v>
      </c>
      <c r="H543" s="26">
        <v>18.039305987668953</v>
      </c>
      <c r="I543" s="26">
        <v>1.0279122198051752E-2</v>
      </c>
      <c r="J543" s="27">
        <v>18.049585109867007</v>
      </c>
      <c r="K543" s="26">
        <v>2.2214291500328276</v>
      </c>
      <c r="L543" s="26">
        <v>4.0291701228251249</v>
      </c>
      <c r="M543" s="27">
        <v>6.2505992728579525</v>
      </c>
      <c r="N543" s="26">
        <v>1.6552619227381451</v>
      </c>
      <c r="O543" s="26">
        <v>5.4583867735610143</v>
      </c>
      <c r="P543" s="26">
        <v>1.1264389275880682</v>
      </c>
      <c r="Q543" s="26">
        <v>0.44415565505366666</v>
      </c>
      <c r="R543" s="26">
        <v>3.9023456928539382</v>
      </c>
      <c r="S543" s="26">
        <v>5.9174099644384359</v>
      </c>
      <c r="T543" s="26">
        <v>22.714176829854452</v>
      </c>
      <c r="U543" s="26">
        <v>1.3962740530424615</v>
      </c>
      <c r="V543" s="27">
        <v>42.614449819130179</v>
      </c>
      <c r="W543" s="27">
        <v>68.91758215962146</v>
      </c>
      <c r="X543" s="26">
        <v>6.809793993311712</v>
      </c>
      <c r="Y543" s="28">
        <v>75.730448607458058</v>
      </c>
      <c r="Z543" s="17" t="str">
        <f>SUBSTITUTE(SUBSTITUTE(SUBSTITUTE(SUBSTITUTE(IF(E543="","",VLOOKUP(E543,[1]Esquemas_NORM!$A$2:$H$126,8,FALSE)),"PROVINCIA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543" s="17" t="str">
        <f>IF($E543="","",INDEX([1]Esquemas_NORM!$H$2:$K$126,MATCH($E543,[1]Esquemas_NORM!$A$2:$A$126,0),MATCH(AA$4,[1]Esquemas_NORM!$H$1:$K$1,0)))</f>
        <v>A la fecha no ha conformado un EAT Región</v>
      </c>
      <c r="AB543" s="17" t="str">
        <f>IF($E543="","",INDEX([1]Esquemas_NORM!$H$2:$K$126,MATCH($E543,[1]Esquemas_NORM!$A$2:$A$126,0),MATCH(AB$4,[1]Esquemas_NORM!$H$1:$K$1,0)))</f>
        <v>A la fecha no ha conformado un EAT Área Metropolitana</v>
      </c>
      <c r="AC543" s="17" t="str">
        <f>IF($E543="","",INDEX([1]Esquemas_NORM!$H$2:$K$126,MATCH($E543,[1]Esquemas_NORM!$A$2:$A$126,0),MATCH(AC$4,[1]Esquemas_NORM!$H$1:$K$1,0)))</f>
        <v>A la fecha no ha conformado un EAT asociación - unión</v>
      </c>
      <c r="AD543" s="23"/>
    </row>
    <row r="544" spans="1:30" x14ac:dyDescent="0.25">
      <c r="A544" s="24">
        <v>2019</v>
      </c>
      <c r="B544" s="25" t="s">
        <v>36</v>
      </c>
      <c r="C544" s="25" t="s">
        <v>119</v>
      </c>
      <c r="D544" s="25" t="s">
        <v>120</v>
      </c>
      <c r="E544" s="25" t="s">
        <v>127</v>
      </c>
      <c r="F544" s="25" t="s">
        <v>122</v>
      </c>
      <c r="G544" s="25" t="s">
        <v>128</v>
      </c>
      <c r="H544" s="26">
        <v>8.0237644539241586</v>
      </c>
      <c r="I544" s="26">
        <v>0.47001106468817727</v>
      </c>
      <c r="J544" s="27">
        <v>8.4937755186123365</v>
      </c>
      <c r="K544" s="26">
        <v>0.4643840611586475</v>
      </c>
      <c r="L544" s="26">
        <v>5.0934488494624883</v>
      </c>
      <c r="M544" s="27">
        <v>5.5578329106211362</v>
      </c>
      <c r="N544" s="26">
        <v>1.6255371046506102</v>
      </c>
      <c r="O544" s="26">
        <v>5.5244520483633881</v>
      </c>
      <c r="P544" s="26">
        <v>2.3871352308403444</v>
      </c>
      <c r="Q544" s="26">
        <v>1.2643693723360934</v>
      </c>
      <c r="R544" s="26">
        <v>4.2842324254647313</v>
      </c>
      <c r="S544" s="26">
        <v>8.1257798229931453</v>
      </c>
      <c r="T544" s="26">
        <v>21.171566493094705</v>
      </c>
      <c r="U544" s="26">
        <v>2.3701455050148947</v>
      </c>
      <c r="V544" s="27">
        <v>46.753218002757912</v>
      </c>
      <c r="W544" s="27">
        <v>61.931839968434957</v>
      </c>
      <c r="X544" s="26">
        <v>6.1195279723412837</v>
      </c>
      <c r="Y544" s="28">
        <v>68.054128959894797</v>
      </c>
      <c r="Z544" s="17" t="str">
        <f>SUBSTITUTE(SUBSTITUTE(SUBSTITUTE(SUBSTITUTE(IF(E544="","",VLOOKUP(E544,[1]Esquemas_NORM!$A$2:$H$126,8,FALSE)),"PROVINCIA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44" s="17" t="str">
        <f>IF($E544="","",INDEX([1]Esquemas_NORM!$H$2:$K$126,MATCH($E544,[1]Esquemas_NORM!$A$2:$A$126,0),MATCH(AA$4,[1]Esquemas_NORM!$H$1:$K$1,0)))</f>
        <v>A la fecha no ha conformado un EAT Región</v>
      </c>
      <c r="AB544" s="17" t="str">
        <f>IF($E544="","",INDEX([1]Esquemas_NORM!$H$2:$K$126,MATCH($E544,[1]Esquemas_NORM!$A$2:$A$126,0),MATCH(AB$4,[1]Esquemas_NORM!$H$1:$K$1,0)))</f>
        <v>A la fecha no ha conformado un EAT Área Metropolitana</v>
      </c>
      <c r="AC544" s="17" t="str">
        <f>IF($E544="","",INDEX([1]Esquemas_NORM!$H$2:$K$126,MATCH($E544,[1]Esquemas_NORM!$A$2:$A$126,0),MATCH(AC$4,[1]Esquemas_NORM!$H$1:$K$1,0)))</f>
        <v>ASOCIACION DE MUNICIPIOS DEL NORTE ANTIOQUEÑO - AMUNORTE</v>
      </c>
      <c r="AD544" s="23"/>
    </row>
    <row r="545" spans="1:30" x14ac:dyDescent="0.25">
      <c r="A545" s="24">
        <v>2019</v>
      </c>
      <c r="B545" s="25" t="s">
        <v>36</v>
      </c>
      <c r="C545" s="25" t="s">
        <v>119</v>
      </c>
      <c r="D545" s="25" t="s">
        <v>120</v>
      </c>
      <c r="E545" s="25" t="s">
        <v>129</v>
      </c>
      <c r="F545" s="25" t="s">
        <v>122</v>
      </c>
      <c r="G545" s="25" t="s">
        <v>130</v>
      </c>
      <c r="H545" s="26">
        <v>4.4085656947619061</v>
      </c>
      <c r="I545" s="26">
        <v>0</v>
      </c>
      <c r="J545" s="27">
        <v>4.4085656947619061</v>
      </c>
      <c r="K545" s="26">
        <v>0.96304587671493891</v>
      </c>
      <c r="L545" s="26">
        <v>5.3535238774200966</v>
      </c>
      <c r="M545" s="27">
        <v>6.3165697541350356</v>
      </c>
      <c r="N545" s="26">
        <v>3.0467782818752962</v>
      </c>
      <c r="O545" s="26">
        <v>9.0176088857779142</v>
      </c>
      <c r="P545" s="26">
        <v>2.746775929556768</v>
      </c>
      <c r="Q545" s="26">
        <v>1.6131864909595908</v>
      </c>
      <c r="R545" s="26">
        <v>4.6973836494078798</v>
      </c>
      <c r="S545" s="26">
        <v>10.7187057327177</v>
      </c>
      <c r="T545" s="26">
        <v>17.117188532241041</v>
      </c>
      <c r="U545" s="26">
        <v>2.5105336212817311</v>
      </c>
      <c r="V545" s="27">
        <v>51.468161123817914</v>
      </c>
      <c r="W545" s="27">
        <v>63.072017836687472</v>
      </c>
      <c r="X545" s="26">
        <v>6.2321897366585555</v>
      </c>
      <c r="Y545" s="28">
        <v>69.307019423392518</v>
      </c>
      <c r="Z545" s="17" t="str">
        <f>SUBSTITUTE(SUBSTITUTE(SUBSTITUTE(SUBSTITUTE(IF(E545="","",VLOOKUP(E545,[1]Esquemas_NORM!$A$2:$H$126,8,FALSE)),"PROVINCIA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45" s="17" t="str">
        <f>IF($E545="","",INDEX([1]Esquemas_NORM!$H$2:$K$126,MATCH($E545,[1]Esquemas_NORM!$A$2:$A$126,0),MATCH(AA$4,[1]Esquemas_NORM!$H$1:$K$1,0)))</f>
        <v>A la fecha no ha conformado un EAT Región</v>
      </c>
      <c r="AB545" s="17" t="str">
        <f>IF($E545="","",INDEX([1]Esquemas_NORM!$H$2:$K$126,MATCH($E545,[1]Esquemas_NORM!$A$2:$A$126,0),MATCH(AB$4,[1]Esquemas_NORM!$H$1:$K$1,0)))</f>
        <v>A la fecha no ha conformado un EAT Área Metropolitana</v>
      </c>
      <c r="AC545" s="17" t="str">
        <f>IF($E545="","",INDEX([1]Esquemas_NORM!$H$2:$K$126,MATCH($E545,[1]Esquemas_NORM!$A$2:$A$126,0),MATCH(AC$4,[1]Esquemas_NORM!$H$1:$K$1,0)))</f>
        <v>ASOCIACION DE MUNICIPIOS DEL NORTE ANTIOQUEÑO - AMUNORTE</v>
      </c>
      <c r="AD545" s="23"/>
    </row>
    <row r="546" spans="1:30" x14ac:dyDescent="0.25">
      <c r="A546" s="24">
        <v>2019</v>
      </c>
      <c r="B546" s="25" t="s">
        <v>36</v>
      </c>
      <c r="C546" s="25" t="s">
        <v>119</v>
      </c>
      <c r="D546" s="25" t="s">
        <v>99</v>
      </c>
      <c r="E546" s="25" t="s">
        <v>131</v>
      </c>
      <c r="F546" s="25" t="s">
        <v>122</v>
      </c>
      <c r="G546" s="25" t="s">
        <v>132</v>
      </c>
      <c r="H546" s="26">
        <v>5.4187868992166885</v>
      </c>
      <c r="I546" s="26">
        <v>0</v>
      </c>
      <c r="J546" s="27">
        <v>5.4187868992166885</v>
      </c>
      <c r="K546" s="26">
        <v>0.51145349432512266</v>
      </c>
      <c r="L546" s="26">
        <v>2.905380896705426</v>
      </c>
      <c r="M546" s="27">
        <v>3.4168343910305485</v>
      </c>
      <c r="N546" s="26">
        <v>18.672249349259445</v>
      </c>
      <c r="O546" s="26">
        <v>1.1850804230859666</v>
      </c>
      <c r="P546" s="26">
        <v>0.36282522019990132</v>
      </c>
      <c r="Q546" s="26">
        <v>0.23498121194014748</v>
      </c>
      <c r="R546" s="26">
        <v>0.81922127029220404</v>
      </c>
      <c r="S546" s="26">
        <v>2.0603663356270476</v>
      </c>
      <c r="T546" s="26">
        <v>2.5297176011332461</v>
      </c>
      <c r="U546" s="26">
        <v>0.32642858505597616</v>
      </c>
      <c r="V546" s="27">
        <v>26.190869996593936</v>
      </c>
      <c r="W546" s="27">
        <v>37.41664753314943</v>
      </c>
      <c r="X546" s="26">
        <v>3.6971648400413648</v>
      </c>
      <c r="Y546" s="28">
        <v>41.115480466359763</v>
      </c>
      <c r="Z546" s="17" t="str">
        <f>SUBSTITUTE(SUBSTITUTE(SUBSTITUTE(SUBSTITUTE(IF(E546="","",VLOOKUP(E546,[1]Esquemas_NORM!$A$2:$H$126,8,FALSE)),"PROVINCIA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46" s="17" t="str">
        <f>IF($E546="","",INDEX([1]Esquemas_NORM!$H$2:$K$126,MATCH($E546,[1]Esquemas_NORM!$A$2:$A$126,0),MATCH(AA$4,[1]Esquemas_NORM!$H$1:$K$1,0)))</f>
        <v>A la fecha no ha conformado un EAT Región</v>
      </c>
      <c r="AB546" s="17" t="str">
        <f>IF($E546="","",INDEX([1]Esquemas_NORM!$H$2:$K$126,MATCH($E546,[1]Esquemas_NORM!$A$2:$A$126,0),MATCH(AB$4,[1]Esquemas_NORM!$H$1:$K$1,0)))</f>
        <v>A la fecha no ha conformado un EAT Área Metropolitana</v>
      </c>
      <c r="AC546" s="17" t="str">
        <f>IF($E546="","",INDEX([1]Esquemas_NORM!$H$2:$K$126,MATCH($E546,[1]Esquemas_NORM!$A$2:$A$126,0),MATCH(AC$4,[1]Esquemas_NORM!$H$1:$K$1,0)))</f>
        <v>A la fecha no ha conformado un EAT asociación - unión</v>
      </c>
      <c r="AD546" s="23"/>
    </row>
    <row r="547" spans="1:30" x14ac:dyDescent="0.25">
      <c r="A547" s="24">
        <v>2019</v>
      </c>
      <c r="B547" s="25" t="s">
        <v>36</v>
      </c>
      <c r="C547" s="25" t="s">
        <v>119</v>
      </c>
      <c r="D547" s="25" t="s">
        <v>124</v>
      </c>
      <c r="E547" s="25" t="s">
        <v>133</v>
      </c>
      <c r="F547" s="25" t="s">
        <v>122</v>
      </c>
      <c r="G547" s="25" t="s">
        <v>134</v>
      </c>
      <c r="H547" s="26">
        <v>128.07059628186218</v>
      </c>
      <c r="I547" s="26">
        <v>8.4768410279485951E-2</v>
      </c>
      <c r="J547" s="27">
        <v>128.15536469214166</v>
      </c>
      <c r="K547" s="26">
        <v>25.331554795917377</v>
      </c>
      <c r="L547" s="26">
        <v>19.819252652420051</v>
      </c>
      <c r="M547" s="27">
        <v>45.150807448337432</v>
      </c>
      <c r="N547" s="26">
        <v>23.338389788403674</v>
      </c>
      <c r="O547" s="26">
        <v>60.209024413759799</v>
      </c>
      <c r="P547" s="26">
        <v>8.061812436237318</v>
      </c>
      <c r="Q547" s="26">
        <v>9.8703967290999888</v>
      </c>
      <c r="R547" s="26">
        <v>18.880001212852221</v>
      </c>
      <c r="S547" s="26">
        <v>26.228800356623879</v>
      </c>
      <c r="T547" s="26">
        <v>23.342126069892561</v>
      </c>
      <c r="U547" s="26">
        <v>7.8897557498114201</v>
      </c>
      <c r="V547" s="27">
        <v>177.82030675668088</v>
      </c>
      <c r="W547" s="27">
        <v>364.97018054110674</v>
      </c>
      <c r="X547" s="26">
        <v>36.062956147101602</v>
      </c>
      <c r="Y547" s="28">
        <v>401.04940763456932</v>
      </c>
      <c r="Z547" s="17" t="str">
        <f>SUBSTITUTE(SUBSTITUTE(SUBSTITUTE(SUBSTITUTE(IF(E547="","",VLOOKUP(E547,[1]Esquemas_NORM!$A$2:$H$126,8,FALSE)),"PROVINCIA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547" s="17" t="str">
        <f>IF($E547="","",INDEX([1]Esquemas_NORM!$H$2:$K$126,MATCH($E547,[1]Esquemas_NORM!$A$2:$A$126,0),MATCH(AA$4,[1]Esquemas_NORM!$H$1:$K$1,0)))</f>
        <v>A la fecha no ha conformado un EAT Región</v>
      </c>
      <c r="AB547" s="17" t="str">
        <f>IF($E547="","",INDEX([1]Esquemas_NORM!$H$2:$K$126,MATCH($E547,[1]Esquemas_NORM!$A$2:$A$126,0),MATCH(AB$4,[1]Esquemas_NORM!$H$1:$K$1,0)))</f>
        <v>A la fecha no ha conformado un EAT Área Metropolitana</v>
      </c>
      <c r="AC547" s="17" t="str">
        <f>IF($E547="","",INDEX([1]Esquemas_NORM!$H$2:$K$126,MATCH($E547,[1]Esquemas_NORM!$A$2:$A$126,0),MATCH(AC$4,[1]Esquemas_NORM!$H$1:$K$1,0)))</f>
        <v>ASOCIACION DE MUNICIPIOS DEL NORTE ANTIOQUEÑO - AMUNORTE</v>
      </c>
      <c r="AD547" s="23"/>
    </row>
    <row r="548" spans="1:30" x14ac:dyDescent="0.25">
      <c r="A548" s="24">
        <v>2019</v>
      </c>
      <c r="B548" s="25" t="s">
        <v>36</v>
      </c>
      <c r="C548" s="25" t="s">
        <v>119</v>
      </c>
      <c r="D548" s="25" t="s">
        <v>124</v>
      </c>
      <c r="E548" s="25" t="s">
        <v>135</v>
      </c>
      <c r="F548" s="25" t="s">
        <v>122</v>
      </c>
      <c r="G548" s="25" t="s">
        <v>136</v>
      </c>
      <c r="H548" s="26">
        <v>57.695394945008367</v>
      </c>
      <c r="I548" s="26">
        <v>0</v>
      </c>
      <c r="J548" s="27">
        <v>57.695394945008367</v>
      </c>
      <c r="K548" s="26">
        <v>140.19269179208291</v>
      </c>
      <c r="L548" s="26">
        <v>47.325644214271826</v>
      </c>
      <c r="M548" s="27">
        <v>187.51833600635473</v>
      </c>
      <c r="N548" s="26">
        <v>9.6900378842077668</v>
      </c>
      <c r="O548" s="26">
        <v>31.710324811909359</v>
      </c>
      <c r="P548" s="26">
        <v>4.363401523799217</v>
      </c>
      <c r="Q548" s="26">
        <v>4.3799612595383897</v>
      </c>
      <c r="R548" s="26">
        <v>11.427151967766081</v>
      </c>
      <c r="S548" s="26">
        <v>17.159944072613328</v>
      </c>
      <c r="T548" s="26">
        <v>15.853716859949998</v>
      </c>
      <c r="U548" s="26">
        <v>5.0151650114370856</v>
      </c>
      <c r="V548" s="27">
        <v>99.599703391221226</v>
      </c>
      <c r="W548" s="27">
        <v>337.12721543623468</v>
      </c>
      <c r="X548" s="26">
        <v>33.311773494064866</v>
      </c>
      <c r="Y548" s="28">
        <v>370.45401859335612</v>
      </c>
      <c r="Z548" s="17" t="str">
        <f>SUBSTITUTE(SUBSTITUTE(SUBSTITUTE(SUBSTITUTE(IF(E548="","",VLOOKUP(E548,[1]Esquemas_NORM!$A$2:$H$126,8,FALSE)),"PROVINCIA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548" s="17" t="str">
        <f>IF($E548="","",INDEX([1]Esquemas_NORM!$H$2:$K$126,MATCH($E548,[1]Esquemas_NORM!$A$2:$A$126,0),MATCH(AA$4,[1]Esquemas_NORM!$H$1:$K$1,0)))</f>
        <v>A la fecha no ha conformado un EAT Región</v>
      </c>
      <c r="AB548" s="17" t="str">
        <f>IF($E548="","",INDEX([1]Esquemas_NORM!$H$2:$K$126,MATCH($E548,[1]Esquemas_NORM!$A$2:$A$126,0),MATCH(AB$4,[1]Esquemas_NORM!$H$1:$K$1,0)))</f>
        <v>A la fecha no ha conformado un EAT Área Metropolitana</v>
      </c>
      <c r="AC548" s="17" t="str">
        <f>IF($E548="","",INDEX([1]Esquemas_NORM!$H$2:$K$126,MATCH($E548,[1]Esquemas_NORM!$A$2:$A$126,0),MATCH(AC$4,[1]Esquemas_NORM!$H$1:$K$1,0)))</f>
        <v>A la fecha no ha conformado un EAT asociación - unión</v>
      </c>
      <c r="AD548" s="23"/>
    </row>
    <row r="549" spans="1:30" x14ac:dyDescent="0.25">
      <c r="A549" s="24">
        <v>2019</v>
      </c>
      <c r="B549" s="25" t="s">
        <v>36</v>
      </c>
      <c r="C549" s="25" t="s">
        <v>119</v>
      </c>
      <c r="D549" s="25" t="s">
        <v>99</v>
      </c>
      <c r="E549" s="25" t="s">
        <v>137</v>
      </c>
      <c r="F549" s="25" t="s">
        <v>122</v>
      </c>
      <c r="G549" s="25" t="s">
        <v>138</v>
      </c>
      <c r="H549" s="26">
        <v>20.591866978922699</v>
      </c>
      <c r="I549" s="26">
        <v>0.58345216383621523</v>
      </c>
      <c r="J549" s="27">
        <v>21.175319142758916</v>
      </c>
      <c r="K549" s="26">
        <v>13.063979414707415</v>
      </c>
      <c r="L549" s="26">
        <v>14.195154873902471</v>
      </c>
      <c r="M549" s="27">
        <v>27.259134288609886</v>
      </c>
      <c r="N549" s="26">
        <v>23.710782877298406</v>
      </c>
      <c r="O549" s="26">
        <v>43.465147503007664</v>
      </c>
      <c r="P549" s="26">
        <v>11.787227256946693</v>
      </c>
      <c r="Q549" s="26">
        <v>5.986471871639071</v>
      </c>
      <c r="R549" s="26">
        <v>30.794115457951559</v>
      </c>
      <c r="S549" s="26">
        <v>40.337298852974691</v>
      </c>
      <c r="T549" s="26">
        <v>71.78714817388385</v>
      </c>
      <c r="U549" s="26">
        <v>14.844255051726577</v>
      </c>
      <c r="V549" s="27">
        <v>242.71244704542852</v>
      </c>
      <c r="W549" s="27">
        <v>296.21759653101174</v>
      </c>
      <c r="X549" s="26">
        <v>29.269465735153187</v>
      </c>
      <c r="Y549" s="28">
        <v>325.50026811387897</v>
      </c>
      <c r="Z549" s="17" t="str">
        <f>SUBSTITUTE(SUBSTITUTE(SUBSTITUTE(SUBSTITUTE(IF(E549="","",VLOOKUP(E549,[1]Esquemas_NORM!$A$2:$H$126,8,FALSE)),"PROVINCIA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49" s="17" t="str">
        <f>IF($E549="","",INDEX([1]Esquemas_NORM!$H$2:$K$126,MATCH($E549,[1]Esquemas_NORM!$A$2:$A$126,0),MATCH(AA$4,[1]Esquemas_NORM!$H$1:$K$1,0)))</f>
        <v>A la fecha no ha conformado un EAT Región</v>
      </c>
      <c r="AB549" s="17" t="str">
        <f>IF($E549="","",INDEX([1]Esquemas_NORM!$H$2:$K$126,MATCH($E549,[1]Esquemas_NORM!$A$2:$A$126,0),MATCH(AB$4,[1]Esquemas_NORM!$H$1:$K$1,0)))</f>
        <v>A la fecha no ha conformado un EAT Área Metropolitana</v>
      </c>
      <c r="AC549" s="17" t="str">
        <f>IF($E549="","",INDEX([1]Esquemas_NORM!$H$2:$K$126,MATCH($E549,[1]Esquemas_NORM!$A$2:$A$126,0),MATCH(AC$4,[1]Esquemas_NORM!$H$1:$K$1,0)))</f>
        <v>ASOCIACION DE MUNICIPIOS DEL NORTE ANTIOQUEÑO - AMUNORTE</v>
      </c>
      <c r="AD549" s="23"/>
    </row>
    <row r="550" spans="1:30" x14ac:dyDescent="0.25">
      <c r="A550" s="24">
        <v>2019</v>
      </c>
      <c r="B550" s="25" t="s">
        <v>36</v>
      </c>
      <c r="C550" s="25" t="s">
        <v>119</v>
      </c>
      <c r="D550" s="25" t="s">
        <v>99</v>
      </c>
      <c r="E550" s="25" t="s">
        <v>139</v>
      </c>
      <c r="F550" s="25" t="s">
        <v>122</v>
      </c>
      <c r="G550" s="25" t="s">
        <v>140</v>
      </c>
      <c r="H550" s="26">
        <v>5.8354337382350172</v>
      </c>
      <c r="I550" s="26">
        <v>0</v>
      </c>
      <c r="J550" s="27">
        <v>5.8354337382350172</v>
      </c>
      <c r="K550" s="26">
        <v>0.16556421612709687</v>
      </c>
      <c r="L550" s="26">
        <v>5.6826251517150839</v>
      </c>
      <c r="M550" s="27">
        <v>5.8481893678421804</v>
      </c>
      <c r="N550" s="26">
        <v>26.157563908216979</v>
      </c>
      <c r="O550" s="26">
        <v>2.7243285061250462</v>
      </c>
      <c r="P550" s="26">
        <v>0.84601846337217623</v>
      </c>
      <c r="Q550" s="26">
        <v>0.56763882242978947</v>
      </c>
      <c r="R550" s="26">
        <v>1.376472365566807</v>
      </c>
      <c r="S550" s="26">
        <v>3.9477806873362784</v>
      </c>
      <c r="T550" s="26">
        <v>6.3640311517904724</v>
      </c>
      <c r="U550" s="26">
        <v>1.0004177271419639</v>
      </c>
      <c r="V550" s="27">
        <v>42.984251631979511</v>
      </c>
      <c r="W550" s="27">
        <v>57.854462096735489</v>
      </c>
      <c r="X550" s="26">
        <v>5.7166394427508695</v>
      </c>
      <c r="Y550" s="28">
        <v>63.573680782667644</v>
      </c>
      <c r="Z550" s="17" t="str">
        <f>SUBSTITUTE(SUBSTITUTE(SUBSTITUTE(SUBSTITUTE(IF(E550="","",VLOOKUP(E550,[1]Esquemas_NORM!$A$2:$H$126,8,FALSE)),"PROVINCIA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50" s="17" t="str">
        <f>IF($E550="","",INDEX([1]Esquemas_NORM!$H$2:$K$126,MATCH($E550,[1]Esquemas_NORM!$A$2:$A$126,0),MATCH(AA$4,[1]Esquemas_NORM!$H$1:$K$1,0)))</f>
        <v>A la fecha no ha conformado un EAT Región</v>
      </c>
      <c r="AB550" s="17" t="str">
        <f>IF($E550="","",INDEX([1]Esquemas_NORM!$H$2:$K$126,MATCH($E550,[1]Esquemas_NORM!$A$2:$A$126,0),MATCH(AB$4,[1]Esquemas_NORM!$H$1:$K$1,0)))</f>
        <v>A la fecha no ha conformado un EAT Área Metropolitana</v>
      </c>
      <c r="AC550" s="17" t="str">
        <f>IF($E550="","",INDEX([1]Esquemas_NORM!$H$2:$K$126,MATCH($E550,[1]Esquemas_NORM!$A$2:$A$126,0),MATCH(AC$4,[1]Esquemas_NORM!$H$1:$K$1,0)))</f>
        <v>A la fecha no ha conformado un EAT asociación - unión</v>
      </c>
      <c r="AD550" s="23"/>
    </row>
    <row r="551" spans="1:30" x14ac:dyDescent="0.25">
      <c r="A551" s="24">
        <v>2019</v>
      </c>
      <c r="B551" s="25" t="s">
        <v>36</v>
      </c>
      <c r="C551" s="25" t="s">
        <v>119</v>
      </c>
      <c r="D551" s="25" t="s">
        <v>141</v>
      </c>
      <c r="E551" s="25" t="s">
        <v>142</v>
      </c>
      <c r="F551" s="25" t="s">
        <v>122</v>
      </c>
      <c r="G551" s="25" t="s">
        <v>143</v>
      </c>
      <c r="H551" s="26">
        <v>33.947055513532838</v>
      </c>
      <c r="I551" s="26">
        <v>0</v>
      </c>
      <c r="J551" s="27">
        <v>33.947055513532838</v>
      </c>
      <c r="K551" s="26">
        <v>5.147294395675539</v>
      </c>
      <c r="L551" s="26">
        <v>14.207094294803321</v>
      </c>
      <c r="M551" s="27">
        <v>19.35438869047886</v>
      </c>
      <c r="N551" s="26">
        <v>7.7567175813789637</v>
      </c>
      <c r="O551" s="26">
        <v>26.52880628468888</v>
      </c>
      <c r="P551" s="26">
        <v>8.5903657479262616</v>
      </c>
      <c r="Q551" s="26">
        <v>4.7106566226682345</v>
      </c>
      <c r="R551" s="26">
        <v>15.369005810821118</v>
      </c>
      <c r="S551" s="26">
        <v>24.745903121986636</v>
      </c>
      <c r="T551" s="26">
        <v>60.120750878841726</v>
      </c>
      <c r="U551" s="26">
        <v>6.667502189260726</v>
      </c>
      <c r="V551" s="27">
        <v>154.48970823757253</v>
      </c>
      <c r="W551" s="27">
        <v>212.30775161377215</v>
      </c>
      <c r="X551" s="26">
        <v>20.978275882119739</v>
      </c>
      <c r="Y551" s="28">
        <v>233.29549251035812</v>
      </c>
      <c r="Z551" s="17" t="str">
        <f>SUBSTITUTE(SUBSTITUTE(SUBSTITUTE(SUBSTITUTE(IF(E551="","",VLOOKUP(E551,[1]Esquemas_NORM!$A$2:$H$126,8,FALSE)),"PROVINCIA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51" s="17" t="str">
        <f>IF($E551="","",INDEX([1]Esquemas_NORM!$H$2:$K$126,MATCH($E551,[1]Esquemas_NORM!$A$2:$A$126,0),MATCH(AA$4,[1]Esquemas_NORM!$H$1:$K$1,0)))</f>
        <v>A la fecha no ha conformado un EAT Región</v>
      </c>
      <c r="AB551" s="17" t="str">
        <f>IF($E551="","",INDEX([1]Esquemas_NORM!$H$2:$K$126,MATCH($E551,[1]Esquemas_NORM!$A$2:$A$126,0),MATCH(AB$4,[1]Esquemas_NORM!$H$1:$K$1,0)))</f>
        <v>A la fecha no ha conformado un EAT Área Metropolitana</v>
      </c>
      <c r="AC551" s="17" t="str">
        <f>IF($E551="","",INDEX([1]Esquemas_NORM!$H$2:$K$126,MATCH($E551,[1]Esquemas_NORM!$A$2:$A$126,0),MATCH(AC$4,[1]Esquemas_NORM!$H$1:$K$1,0)))</f>
        <v>ASOCIACION DE MUNICIPIOS DEL NORTE ANTIOQUEÑO - AMUNORTE</v>
      </c>
      <c r="AD551" s="23"/>
    </row>
    <row r="552" spans="1:30" x14ac:dyDescent="0.25">
      <c r="A552" s="24">
        <v>2019</v>
      </c>
      <c r="B552" s="25" t="s">
        <v>36</v>
      </c>
      <c r="C552" s="25" t="s">
        <v>119</v>
      </c>
      <c r="D552" s="25" t="s">
        <v>141</v>
      </c>
      <c r="E552" s="25" t="s">
        <v>144</v>
      </c>
      <c r="F552" s="25" t="s">
        <v>122</v>
      </c>
      <c r="G552" s="25" t="s">
        <v>145</v>
      </c>
      <c r="H552" s="26">
        <v>12.922467026109496</v>
      </c>
      <c r="I552" s="26">
        <v>0</v>
      </c>
      <c r="J552" s="27">
        <v>12.922467026109496</v>
      </c>
      <c r="K552" s="26">
        <v>0.54742646886259472</v>
      </c>
      <c r="L552" s="26">
        <v>5.2921566583453874</v>
      </c>
      <c r="M552" s="27">
        <v>5.8395831272079821</v>
      </c>
      <c r="N552" s="26">
        <v>1.5526476815058818</v>
      </c>
      <c r="O552" s="26">
        <v>6.1679233181811561</v>
      </c>
      <c r="P552" s="26">
        <v>2.2385297382932969</v>
      </c>
      <c r="Q552" s="26">
        <v>1.9872425747651923</v>
      </c>
      <c r="R552" s="26">
        <v>7.110316182531049</v>
      </c>
      <c r="S552" s="26">
        <v>6.8534831057506596</v>
      </c>
      <c r="T552" s="26">
        <v>15.70258369329034</v>
      </c>
      <c r="U552" s="26">
        <v>2.5742187791683997</v>
      </c>
      <c r="V552" s="27">
        <v>44.186945073485973</v>
      </c>
      <c r="W552" s="27">
        <v>64.209429153157672</v>
      </c>
      <c r="X552" s="26">
        <v>6.3445781360760538</v>
      </c>
      <c r="Y552" s="28">
        <v>70.556869846870825</v>
      </c>
      <c r="Z552" s="17" t="str">
        <f>SUBSTITUTE(SUBSTITUTE(SUBSTITUTE(SUBSTITUTE(IF(E552="","",VLOOKUP(E552,[1]Esquemas_NORM!$A$2:$H$126,8,FALSE)),"PROVINCIA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52" s="17" t="str">
        <f>IF($E552="","",INDEX([1]Esquemas_NORM!$H$2:$K$126,MATCH($E552,[1]Esquemas_NORM!$A$2:$A$126,0),MATCH(AA$4,[1]Esquemas_NORM!$H$1:$K$1,0)))</f>
        <v>A la fecha no ha conformado un EAT Región</v>
      </c>
      <c r="AB552" s="17" t="str">
        <f>IF($E552="","",INDEX([1]Esquemas_NORM!$H$2:$K$126,MATCH($E552,[1]Esquemas_NORM!$A$2:$A$126,0),MATCH(AB$4,[1]Esquemas_NORM!$H$1:$K$1,0)))</f>
        <v>A la fecha no ha conformado un EAT Área Metropolitana</v>
      </c>
      <c r="AC552" s="17" t="str">
        <f>IF($E552="","",INDEX([1]Esquemas_NORM!$H$2:$K$126,MATCH($E552,[1]Esquemas_NORM!$A$2:$A$126,0),MATCH(AC$4,[1]Esquemas_NORM!$H$1:$K$1,0)))</f>
        <v>ASOCIACION DE MUNICIPIOS DEL NORTE ANTIOQUEÑO - AMUNORTE</v>
      </c>
      <c r="AD552" s="23"/>
    </row>
    <row r="553" spans="1:30" x14ac:dyDescent="0.25">
      <c r="A553" s="24">
        <v>2019</v>
      </c>
      <c r="B553" s="25" t="s">
        <v>36</v>
      </c>
      <c r="C553" s="25" t="s">
        <v>119</v>
      </c>
      <c r="D553" s="25" t="s">
        <v>124</v>
      </c>
      <c r="E553" s="25" t="s">
        <v>146</v>
      </c>
      <c r="F553" s="25" t="s">
        <v>122</v>
      </c>
      <c r="G553" s="25" t="s">
        <v>147</v>
      </c>
      <c r="H553" s="26">
        <v>3.2841137979314436</v>
      </c>
      <c r="I553" s="26">
        <v>0</v>
      </c>
      <c r="J553" s="27">
        <v>3.2841137979314436</v>
      </c>
      <c r="K553" s="26">
        <v>1.1966680141281041</v>
      </c>
      <c r="L553" s="26">
        <v>1.9645832481696099</v>
      </c>
      <c r="M553" s="27">
        <v>3.1612512622977142</v>
      </c>
      <c r="N553" s="26">
        <v>2.6946780764293643</v>
      </c>
      <c r="O553" s="26">
        <v>5.0064909506209903</v>
      </c>
      <c r="P553" s="26">
        <v>1.1765173573729346</v>
      </c>
      <c r="Q553" s="26">
        <v>0.81813765696926444</v>
      </c>
      <c r="R553" s="26">
        <v>2.6885454327654528</v>
      </c>
      <c r="S553" s="26">
        <v>4.0493297531186148</v>
      </c>
      <c r="T553" s="26">
        <v>7.6046513658918702</v>
      </c>
      <c r="U553" s="26">
        <v>1.6717228411222633</v>
      </c>
      <c r="V553" s="27">
        <v>25.710073434290759</v>
      </c>
      <c r="W553" s="27">
        <v>32.806235407590847</v>
      </c>
      <c r="X553" s="26">
        <v>3.241606826896863</v>
      </c>
      <c r="Y553" s="28">
        <v>36.049304788211522</v>
      </c>
      <c r="Z553" s="17" t="str">
        <f>SUBSTITUTE(SUBSTITUTE(SUBSTITUTE(SUBSTITUTE(IF(E553="","",VLOOKUP(E553,[1]Esquemas_NORM!$A$2:$H$126,8,FALSE)),"PROVINCIA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53" s="17" t="str">
        <f>IF($E553="","",INDEX([1]Esquemas_NORM!$H$2:$K$126,MATCH($E553,[1]Esquemas_NORM!$A$2:$A$126,0),MATCH(AA$4,[1]Esquemas_NORM!$H$1:$K$1,0)))</f>
        <v>A la fecha no ha conformado un EAT Región</v>
      </c>
      <c r="AB553" s="17" t="str">
        <f>IF($E553="","",INDEX([1]Esquemas_NORM!$H$2:$K$126,MATCH($E553,[1]Esquemas_NORM!$A$2:$A$126,0),MATCH(AB$4,[1]Esquemas_NORM!$H$1:$K$1,0)))</f>
        <v>A la fecha no ha conformado un EAT Área Metropolitana</v>
      </c>
      <c r="AC553" s="17" t="str">
        <f>IF($E553="","",INDEX([1]Esquemas_NORM!$H$2:$K$126,MATCH($E553,[1]Esquemas_NORM!$A$2:$A$126,0),MATCH(AC$4,[1]Esquemas_NORM!$H$1:$K$1,0)))</f>
        <v>ASOCIACION DE MUNICIPIOS DEL NORTE ANTIOQUEÑO - AMUNORTE</v>
      </c>
      <c r="AD553" s="23"/>
    </row>
    <row r="554" spans="1:30" x14ac:dyDescent="0.25">
      <c r="A554" s="24">
        <v>2019</v>
      </c>
      <c r="B554" s="25" t="s">
        <v>36</v>
      </c>
      <c r="C554" s="25" t="s">
        <v>119</v>
      </c>
      <c r="D554" s="25" t="s">
        <v>124</v>
      </c>
      <c r="E554" s="25" t="s">
        <v>148</v>
      </c>
      <c r="F554" s="25" t="s">
        <v>122</v>
      </c>
      <c r="G554" s="25" t="s">
        <v>149</v>
      </c>
      <c r="H554" s="26">
        <v>81.989646924140771</v>
      </c>
      <c r="I554" s="26">
        <v>7.9549018680791315E-3</v>
      </c>
      <c r="J554" s="27">
        <v>81.997601826008847</v>
      </c>
      <c r="K554" s="26">
        <v>376.26812830544702</v>
      </c>
      <c r="L554" s="26">
        <v>55.322100904972601</v>
      </c>
      <c r="M554" s="27">
        <v>431.59022921041964</v>
      </c>
      <c r="N554" s="26">
        <v>17.530747395706044</v>
      </c>
      <c r="O554" s="26">
        <v>63.213323015375003</v>
      </c>
      <c r="P554" s="26">
        <v>9.7012007686456023</v>
      </c>
      <c r="Q554" s="26">
        <v>11.535719224258429</v>
      </c>
      <c r="R554" s="26">
        <v>27.872671299683677</v>
      </c>
      <c r="S554" s="26">
        <v>36.047915168887016</v>
      </c>
      <c r="T554" s="26">
        <v>31.576991227012385</v>
      </c>
      <c r="U554" s="26">
        <v>9.3452510512766498</v>
      </c>
      <c r="V554" s="27">
        <v>206.82381915084483</v>
      </c>
      <c r="W554" s="27">
        <v>696.55869588234691</v>
      </c>
      <c r="X554" s="26">
        <v>68.827446851274161</v>
      </c>
      <c r="Y554" s="28">
        <v>765.41719641905161</v>
      </c>
      <c r="Z554" s="17" t="str">
        <f>SUBSTITUTE(SUBSTITUTE(SUBSTITUTE(SUBSTITUTE(IF(E554="","",VLOOKUP(E554,[1]Esquemas_NORM!$A$2:$H$126,8,FALSE)),"PROVINCIA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554" s="17" t="str">
        <f>IF($E554="","",INDEX([1]Esquemas_NORM!$H$2:$K$126,MATCH($E554,[1]Esquemas_NORM!$A$2:$A$126,0),MATCH(AA$4,[1]Esquemas_NORM!$H$1:$K$1,0)))</f>
        <v>A la fecha no ha conformado un EAT Región</v>
      </c>
      <c r="AB554" s="17" t="str">
        <f>IF($E554="","",INDEX([1]Esquemas_NORM!$H$2:$K$126,MATCH($E554,[1]Esquemas_NORM!$A$2:$A$126,0),MATCH(AB$4,[1]Esquemas_NORM!$H$1:$K$1,0)))</f>
        <v>A la fecha no ha conformado un EAT Área Metropolitana</v>
      </c>
      <c r="AC554" s="17" t="str">
        <f>IF($E554="","",INDEX([1]Esquemas_NORM!$H$2:$K$126,MATCH($E554,[1]Esquemas_NORM!$A$2:$A$126,0),MATCH(AC$4,[1]Esquemas_NORM!$H$1:$K$1,0)))</f>
        <v>A la fecha no ha conformado un EAT asociación - unión</v>
      </c>
      <c r="AD554" s="23"/>
    </row>
    <row r="555" spans="1:30" x14ac:dyDescent="0.25">
      <c r="A555" s="24">
        <v>2019</v>
      </c>
      <c r="B555" s="25" t="s">
        <v>36</v>
      </c>
      <c r="C555" s="25" t="s">
        <v>119</v>
      </c>
      <c r="D555" s="25" t="s">
        <v>124</v>
      </c>
      <c r="E555" s="25" t="s">
        <v>150</v>
      </c>
      <c r="F555" s="25" t="s">
        <v>122</v>
      </c>
      <c r="G555" s="25" t="s">
        <v>151</v>
      </c>
      <c r="H555" s="26">
        <v>200.8681449920125</v>
      </c>
      <c r="I555" s="26">
        <v>1.8767014973358866</v>
      </c>
      <c r="J555" s="27">
        <v>202.74484648934839</v>
      </c>
      <c r="K555" s="26">
        <v>149.17707965789199</v>
      </c>
      <c r="L555" s="26">
        <v>107.09708285468301</v>
      </c>
      <c r="M555" s="27">
        <v>256.274162512575</v>
      </c>
      <c r="N555" s="26">
        <v>38.620488836304709</v>
      </c>
      <c r="O555" s="26">
        <v>84.797454169643203</v>
      </c>
      <c r="P555" s="26">
        <v>13.339608210102632</v>
      </c>
      <c r="Q555" s="26">
        <v>13.81944810783264</v>
      </c>
      <c r="R555" s="26">
        <v>32.004223481257704</v>
      </c>
      <c r="S555" s="26">
        <v>54.411776216634799</v>
      </c>
      <c r="T555" s="26">
        <v>93.086543607641673</v>
      </c>
      <c r="U555" s="26">
        <v>12.251425739025132</v>
      </c>
      <c r="V555" s="27">
        <v>342.33096836844248</v>
      </c>
      <c r="W555" s="27">
        <v>808.75965347044519</v>
      </c>
      <c r="X555" s="26">
        <v>79.914101128508776</v>
      </c>
      <c r="Y555" s="28">
        <v>888.70981038006209</v>
      </c>
      <c r="Z555" s="17" t="str">
        <f>SUBSTITUTE(SUBSTITUTE(SUBSTITUTE(SUBSTITUTE(IF(E555="","",VLOOKUP(E555,[1]Esquemas_NORM!$A$2:$H$126,8,FALSE)),"PROVINCIA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555" s="17" t="str">
        <f>IF($E555="","",INDEX([1]Esquemas_NORM!$H$2:$K$126,MATCH($E555,[1]Esquemas_NORM!$A$2:$A$126,0),MATCH(AA$4,[1]Esquemas_NORM!$H$1:$K$1,0)))</f>
        <v>A la fecha no ha conformado un EAT Región</v>
      </c>
      <c r="AB555" s="17" t="str">
        <f>IF($E555="","",INDEX([1]Esquemas_NORM!$H$2:$K$126,MATCH($E555,[1]Esquemas_NORM!$A$2:$A$126,0),MATCH(AB$4,[1]Esquemas_NORM!$H$1:$K$1,0)))</f>
        <v>A la fecha no ha conformado un EAT Área Metropolitana</v>
      </c>
      <c r="AC555" s="17" t="str">
        <f>IF($E555="","",INDEX([1]Esquemas_NORM!$H$2:$K$126,MATCH($E555,[1]Esquemas_NORM!$A$2:$A$126,0),MATCH(AC$4,[1]Esquemas_NORM!$H$1:$K$1,0)))</f>
        <v>A la fecha no ha conformado un EAT asociación - unión</v>
      </c>
      <c r="AD555" s="23"/>
    </row>
    <row r="556" spans="1:30" x14ac:dyDescent="0.25">
      <c r="A556" s="24">
        <v>2019</v>
      </c>
      <c r="B556" s="25" t="s">
        <v>36</v>
      </c>
      <c r="C556" s="25" t="s">
        <v>119</v>
      </c>
      <c r="D556" s="25" t="s">
        <v>141</v>
      </c>
      <c r="E556" s="25" t="s">
        <v>152</v>
      </c>
      <c r="F556" s="25" t="s">
        <v>122</v>
      </c>
      <c r="G556" s="25" t="s">
        <v>153</v>
      </c>
      <c r="H556" s="26">
        <v>6.6964783757064179</v>
      </c>
      <c r="I556" s="26">
        <v>1.4568953103990394</v>
      </c>
      <c r="J556" s="27">
        <v>8.1533736861054571</v>
      </c>
      <c r="K556" s="26">
        <v>5.8901845133689701</v>
      </c>
      <c r="L556" s="26">
        <v>0.47415666526828543</v>
      </c>
      <c r="M556" s="27">
        <v>6.3643411786372557</v>
      </c>
      <c r="N556" s="26">
        <v>6.8064641618471073</v>
      </c>
      <c r="O556" s="26">
        <v>9.187727324626243</v>
      </c>
      <c r="P556" s="26">
        <v>1.5266738766731727</v>
      </c>
      <c r="Q556" s="26">
        <v>1.1542594057532112</v>
      </c>
      <c r="R556" s="26">
        <v>4.0598182382646044</v>
      </c>
      <c r="S556" s="26">
        <v>15.934513246502375</v>
      </c>
      <c r="T556" s="26">
        <v>12.454065708990322</v>
      </c>
      <c r="U556" s="26">
        <v>1.6853118988381806</v>
      </c>
      <c r="V556" s="27">
        <v>52.808833861495216</v>
      </c>
      <c r="W556" s="27">
        <v>69.151417556524024</v>
      </c>
      <c r="X556" s="26">
        <v>6.8328994307271884</v>
      </c>
      <c r="Y556" s="28">
        <v>75.987399866526999</v>
      </c>
      <c r="Z556" s="17" t="str">
        <f>SUBSTITUTE(SUBSTITUTE(SUBSTITUTE(SUBSTITUTE(IF(E556="","",VLOOKUP(E556,[1]Esquemas_NORM!$A$2:$H$126,8,FALSE)),"PROVINCIA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56" s="17" t="str">
        <f>IF($E556="","",INDEX([1]Esquemas_NORM!$H$2:$K$126,MATCH($E556,[1]Esquemas_NORM!$A$2:$A$126,0),MATCH(AA$4,[1]Esquemas_NORM!$H$1:$K$1,0)))</f>
        <v>A la fecha no ha conformado un EAT Región</v>
      </c>
      <c r="AB556" s="17" t="str">
        <f>IF($E556="","",INDEX([1]Esquemas_NORM!$H$2:$K$126,MATCH($E556,[1]Esquemas_NORM!$A$2:$A$126,0),MATCH(AB$4,[1]Esquemas_NORM!$H$1:$K$1,0)))</f>
        <v>A la fecha no ha conformado un EAT Área Metropolitana</v>
      </c>
      <c r="AC556" s="17" t="str">
        <f>IF($E556="","",INDEX([1]Esquemas_NORM!$H$2:$K$126,MATCH($E556,[1]Esquemas_NORM!$A$2:$A$126,0),MATCH(AC$4,[1]Esquemas_NORM!$H$1:$K$1,0)))</f>
        <v>ASOCIACION DE MUNICIPIOS DEL NORTE ANTIOQUEÑO - AMUNORTE</v>
      </c>
      <c r="AD556" s="23"/>
    </row>
    <row r="557" spans="1:30" x14ac:dyDescent="0.25">
      <c r="A557" s="24">
        <v>2019</v>
      </c>
      <c r="B557" s="25" t="s">
        <v>36</v>
      </c>
      <c r="C557" s="25" t="s">
        <v>119</v>
      </c>
      <c r="D557" s="25" t="s">
        <v>120</v>
      </c>
      <c r="E557" s="25" t="s">
        <v>154</v>
      </c>
      <c r="F557" s="25" t="s">
        <v>122</v>
      </c>
      <c r="G557" s="25" t="s">
        <v>155</v>
      </c>
      <c r="H557" s="26">
        <v>10.947972585151298</v>
      </c>
      <c r="I557" s="26">
        <v>0.38240305340270375</v>
      </c>
      <c r="J557" s="27">
        <v>11.330375638554003</v>
      </c>
      <c r="K557" s="26">
        <v>0.3253513215708641</v>
      </c>
      <c r="L557" s="26">
        <v>9.6084312094238129</v>
      </c>
      <c r="M557" s="27">
        <v>9.9337825309946766</v>
      </c>
      <c r="N557" s="26">
        <v>4.0433755170467602</v>
      </c>
      <c r="O557" s="26">
        <v>22.079507069708775</v>
      </c>
      <c r="P557" s="26">
        <v>4.0149683670626022</v>
      </c>
      <c r="Q557" s="26">
        <v>2.465805738964971</v>
      </c>
      <c r="R557" s="26">
        <v>8.0896063188454619</v>
      </c>
      <c r="S557" s="26">
        <v>12.010956340962133</v>
      </c>
      <c r="T557" s="26">
        <v>30.161146073537804</v>
      </c>
      <c r="U557" s="26">
        <v>4.0383496159741989</v>
      </c>
      <c r="V557" s="27">
        <v>86.903715042102704</v>
      </c>
      <c r="W557" s="27">
        <v>110.43408265181657</v>
      </c>
      <c r="X557" s="26">
        <v>10.912068141878994</v>
      </c>
      <c r="Y557" s="28">
        <v>121.3510741193015</v>
      </c>
      <c r="Z557" s="17" t="str">
        <f>SUBSTITUTE(SUBSTITUTE(SUBSTITUTE(SUBSTITUTE(IF(E557="","",VLOOKUP(E557,[1]Esquemas_NORM!$A$2:$H$126,8,FALSE)),"PROVINCIA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57" s="17" t="str">
        <f>IF($E557="","",INDEX([1]Esquemas_NORM!$H$2:$K$126,MATCH($E557,[1]Esquemas_NORM!$A$2:$A$126,0),MATCH(AA$4,[1]Esquemas_NORM!$H$1:$K$1,0)))</f>
        <v>A la fecha no ha conformado un EAT Región</v>
      </c>
      <c r="AB557" s="17" t="str">
        <f>IF($E557="","",INDEX([1]Esquemas_NORM!$H$2:$K$126,MATCH($E557,[1]Esquemas_NORM!$A$2:$A$126,0),MATCH(AB$4,[1]Esquemas_NORM!$H$1:$K$1,0)))</f>
        <v>A la fecha no ha conformado un EAT Área Metropolitana</v>
      </c>
      <c r="AC557" s="17" t="str">
        <f>IF($E557="","",INDEX([1]Esquemas_NORM!$H$2:$K$126,MATCH($E557,[1]Esquemas_NORM!$A$2:$A$126,0),MATCH(AC$4,[1]Esquemas_NORM!$H$1:$K$1,0)))</f>
        <v>A la fecha no ha conformado un EAT asociación - unión</v>
      </c>
      <c r="AD557" s="23"/>
    </row>
    <row r="558" spans="1:30" x14ac:dyDescent="0.25">
      <c r="A558" s="24">
        <v>2019</v>
      </c>
      <c r="B558" s="25" t="s">
        <v>36</v>
      </c>
      <c r="C558" s="25" t="s">
        <v>119</v>
      </c>
      <c r="D558" s="25" t="s">
        <v>120</v>
      </c>
      <c r="E558" s="25" t="s">
        <v>156</v>
      </c>
      <c r="F558" s="25" t="s">
        <v>122</v>
      </c>
      <c r="G558" s="25" t="s">
        <v>157</v>
      </c>
      <c r="H558" s="26">
        <v>40.684780988611692</v>
      </c>
      <c r="I558" s="26">
        <v>0.48775591041507765</v>
      </c>
      <c r="J558" s="27">
        <v>41.172536899026767</v>
      </c>
      <c r="K558" s="26">
        <v>74.577445222463368</v>
      </c>
      <c r="L558" s="26">
        <v>50.862433006469431</v>
      </c>
      <c r="M558" s="27">
        <v>125.4398782289328</v>
      </c>
      <c r="N558" s="26">
        <v>21.24962590074038</v>
      </c>
      <c r="O558" s="26">
        <v>96.601734429488374</v>
      </c>
      <c r="P558" s="26">
        <v>17.052110450779537</v>
      </c>
      <c r="Q558" s="26">
        <v>18.913214031661997</v>
      </c>
      <c r="R558" s="26">
        <v>38.3065317506505</v>
      </c>
      <c r="S558" s="26">
        <v>55.580835349815374</v>
      </c>
      <c r="T558" s="26">
        <v>86.774365789936567</v>
      </c>
      <c r="U558" s="26">
        <v>14.983768633358022</v>
      </c>
      <c r="V558" s="27">
        <v>349.46218633643076</v>
      </c>
      <c r="W558" s="27">
        <v>517.24414712727764</v>
      </c>
      <c r="X558" s="26">
        <v>51.109252179302423</v>
      </c>
      <c r="Y558" s="28">
        <v>568.37645886657231</v>
      </c>
      <c r="Z558" s="17" t="str">
        <f>SUBSTITUTE(SUBSTITUTE(SUBSTITUTE(SUBSTITUTE(IF(E558="","",VLOOKUP(E558,[1]Esquemas_NORM!$A$2:$H$126,8,FALSE)),"PROVINCIA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558" s="17" t="str">
        <f>IF($E558="","",INDEX([1]Esquemas_NORM!$H$2:$K$126,MATCH($E558,[1]Esquemas_NORM!$A$2:$A$126,0),MATCH(AA$4,[1]Esquemas_NORM!$H$1:$K$1,0)))</f>
        <v>A la fecha no ha conformado un EAT Región</v>
      </c>
      <c r="AB558" s="17" t="str">
        <f>IF($E558="","",INDEX([1]Esquemas_NORM!$H$2:$K$126,MATCH($E558,[1]Esquemas_NORM!$A$2:$A$126,0),MATCH(AB$4,[1]Esquemas_NORM!$H$1:$K$1,0)))</f>
        <v>A la fecha no ha conformado un EAT Área Metropolitana</v>
      </c>
      <c r="AC558" s="17" t="str">
        <f>IF($E558="","",INDEX([1]Esquemas_NORM!$H$2:$K$126,MATCH($E558,[1]Esquemas_NORM!$A$2:$A$126,0),MATCH(AC$4,[1]Esquemas_NORM!$H$1:$K$1,0)))</f>
        <v>A la fecha no ha conformado un EAT asociación - unión</v>
      </c>
      <c r="AD558" s="23"/>
    </row>
    <row r="559" spans="1:30" x14ac:dyDescent="0.25">
      <c r="A559" s="24">
        <v>2019</v>
      </c>
      <c r="B559" s="25" t="s">
        <v>36</v>
      </c>
      <c r="C559" s="25" t="s">
        <v>158</v>
      </c>
      <c r="D559" s="25" t="s">
        <v>159</v>
      </c>
      <c r="E559" s="25" t="s">
        <v>160</v>
      </c>
      <c r="F559" s="25" t="s">
        <v>161</v>
      </c>
      <c r="G559" s="25" t="s">
        <v>162</v>
      </c>
      <c r="H559" s="26">
        <v>6.7582005704504313</v>
      </c>
      <c r="I559" s="26">
        <v>0.20795860802140104</v>
      </c>
      <c r="J559" s="27">
        <v>6.9661591784718322</v>
      </c>
      <c r="K559" s="26">
        <v>0.30987996515650806</v>
      </c>
      <c r="L559" s="26">
        <v>2.1813370320573302</v>
      </c>
      <c r="M559" s="27">
        <v>2.4912169972138383</v>
      </c>
      <c r="N559" s="26">
        <v>2.5622549527456915</v>
      </c>
      <c r="O559" s="26">
        <v>1.6592710349444495</v>
      </c>
      <c r="P559" s="26">
        <v>0.5706160563869016</v>
      </c>
      <c r="Q559" s="26">
        <v>0.23925344031190701</v>
      </c>
      <c r="R559" s="26">
        <v>1.1899586291306001</v>
      </c>
      <c r="S559" s="26">
        <v>2.4097321828996354</v>
      </c>
      <c r="T559" s="26">
        <v>7.1750041978849488</v>
      </c>
      <c r="U559" s="26">
        <v>0.70811246946762862</v>
      </c>
      <c r="V559" s="27">
        <v>16.514202963771762</v>
      </c>
      <c r="W559" s="27">
        <v>26.921722129766987</v>
      </c>
      <c r="X559" s="26">
        <v>2.6601539970482158</v>
      </c>
      <c r="Y559" s="28">
        <v>29.583076339654674</v>
      </c>
      <c r="Z559" s="17" t="str">
        <f>SUBSTITUTE(SUBSTITUTE(SUBSTITUTE(SUBSTITUTE(IF(E559="","",VLOOKUP(E559,[1]Esquemas_NORM!$A$2:$H$126,8,FALSE)),"PROVINCIA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559" s="17" t="str">
        <f>IF($E559="","",INDEX([1]Esquemas_NORM!$H$2:$K$126,MATCH($E559,[1]Esquemas_NORM!$A$2:$A$126,0),MATCH(AA$4,[1]Esquemas_NORM!$H$1:$K$1,0)))</f>
        <v>Región de Planeación y Gestión de Occidente</v>
      </c>
      <c r="AB559" s="17" t="str">
        <f>IF($E559="","",INDEX([1]Esquemas_NORM!$H$2:$K$126,MATCH($E559,[1]Esquemas_NORM!$A$2:$A$126,0),MATCH(AB$4,[1]Esquemas_NORM!$H$1:$K$1,0)))</f>
        <v>A la fecha no ha conformado un EAT Área Metropolitana</v>
      </c>
      <c r="AC559" s="17" t="str">
        <f>IF($E559="","",INDEX([1]Esquemas_NORM!$H$2:$K$126,MATCH($E559,[1]Esquemas_NORM!$A$2:$A$126,0),MATCH(AC$4,[1]Esquemas_NORM!$H$1:$K$1,0)))</f>
        <v>ASOCIACION DE MUNICIPIOS DEL NORTE ANTIOQUEÑO - AMUNORTE</v>
      </c>
      <c r="AD559" s="23"/>
    </row>
    <row r="560" spans="1:30" x14ac:dyDescent="0.25">
      <c r="A560" s="24">
        <v>2019</v>
      </c>
      <c r="B560" s="25" t="s">
        <v>36</v>
      </c>
      <c r="C560" s="25" t="s">
        <v>158</v>
      </c>
      <c r="D560" s="25" t="s">
        <v>163</v>
      </c>
      <c r="E560" s="25" t="s">
        <v>164</v>
      </c>
      <c r="F560" s="25" t="s">
        <v>161</v>
      </c>
      <c r="G560" s="25" t="s">
        <v>165</v>
      </c>
      <c r="H560" s="26">
        <v>39.487483170522033</v>
      </c>
      <c r="I560" s="26">
        <v>6.488584407207755E-2</v>
      </c>
      <c r="J560" s="27">
        <v>39.552369014594113</v>
      </c>
      <c r="K560" s="26">
        <v>0.57536474921062752</v>
      </c>
      <c r="L560" s="26">
        <v>8.3364066895529572</v>
      </c>
      <c r="M560" s="27">
        <v>8.9117714387635854</v>
      </c>
      <c r="N560" s="26">
        <v>1.2841604883767439</v>
      </c>
      <c r="O560" s="26">
        <v>8.0689212767180418</v>
      </c>
      <c r="P560" s="26">
        <v>2.1238906048123907</v>
      </c>
      <c r="Q560" s="26">
        <v>1.5234343435786106</v>
      </c>
      <c r="R560" s="26">
        <v>5.0582519195915907</v>
      </c>
      <c r="S560" s="26">
        <v>6.0090246965452048</v>
      </c>
      <c r="T560" s="26">
        <v>14.513685800573786</v>
      </c>
      <c r="U560" s="26">
        <v>2.6722946363878957</v>
      </c>
      <c r="V560" s="27">
        <v>41.25366376658426</v>
      </c>
      <c r="W560" s="27">
        <v>93.363821552800687</v>
      </c>
      <c r="X560" s="26">
        <v>9.2253438277950774</v>
      </c>
      <c r="Y560" s="28">
        <v>102.59332768703486</v>
      </c>
      <c r="Z560" s="17" t="str">
        <f>SUBSTITUTE(SUBSTITUTE(SUBSTITUTE(SUBSTITUTE(IF(E560="","",VLOOKUP(E560,[1]Esquemas_NORM!$A$2:$H$126,8,FALSE)),"PROVINCIA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560" s="17" t="str">
        <f>IF($E560="","",INDEX([1]Esquemas_NORM!$H$2:$K$126,MATCH($E560,[1]Esquemas_NORM!$A$2:$A$126,0),MATCH(AA$4,[1]Esquemas_NORM!$H$1:$K$1,0)))</f>
        <v>A la fecha no ha conformado un EAT Región</v>
      </c>
      <c r="AB560" s="17" t="str">
        <f>IF($E560="","",INDEX([1]Esquemas_NORM!$H$2:$K$126,MATCH($E560,[1]Esquemas_NORM!$A$2:$A$126,0),MATCH(AB$4,[1]Esquemas_NORM!$H$1:$K$1,0)))</f>
        <v>A la fecha no ha conformado un EAT Área Metropolitana</v>
      </c>
      <c r="AC560" s="17" t="str">
        <f>IF($E560="","",INDEX([1]Esquemas_NORM!$H$2:$K$126,MATCH($E560,[1]Esquemas_NORM!$A$2:$A$126,0),MATCH(AC$4,[1]Esquemas_NORM!$H$1:$K$1,0)))</f>
        <v>ASOCIACION DE MUNICIPIOS DEL OCCIDENTE ANTIOQUEÑO - AMOCCIDENTE</v>
      </c>
      <c r="AD560" s="23"/>
    </row>
    <row r="561" spans="1:30" x14ac:dyDescent="0.25">
      <c r="A561" s="24">
        <v>2019</v>
      </c>
      <c r="B561" s="25" t="s">
        <v>36</v>
      </c>
      <c r="C561" s="25" t="s">
        <v>158</v>
      </c>
      <c r="D561" s="25" t="s">
        <v>163</v>
      </c>
      <c r="E561" s="25" t="s">
        <v>166</v>
      </c>
      <c r="F561" s="25" t="s">
        <v>161</v>
      </c>
      <c r="G561" s="25" t="s">
        <v>167</v>
      </c>
      <c r="H561" s="26">
        <v>10.682143578531718</v>
      </c>
      <c r="I561" s="26">
        <v>0</v>
      </c>
      <c r="J561" s="27">
        <v>10.682143578531718</v>
      </c>
      <c r="K561" s="26">
        <v>1.1721450537985789</v>
      </c>
      <c r="L561" s="26">
        <v>3.0946460432660503</v>
      </c>
      <c r="M561" s="27">
        <v>4.2667910970646297</v>
      </c>
      <c r="N561" s="26">
        <v>0.90875364672738845</v>
      </c>
      <c r="O561" s="26">
        <v>6.0509463718758658</v>
      </c>
      <c r="P561" s="26">
        <v>1.4991625123653802</v>
      </c>
      <c r="Q561" s="26">
        <v>0.93989656306502645</v>
      </c>
      <c r="R561" s="26">
        <v>4.2585808355812995</v>
      </c>
      <c r="S561" s="26">
        <v>4.518333254258164</v>
      </c>
      <c r="T561" s="26">
        <v>10.840532694934719</v>
      </c>
      <c r="U561" s="26">
        <v>2.3521189285981423</v>
      </c>
      <c r="V561" s="27">
        <v>31.368324807405983</v>
      </c>
      <c r="W561" s="27">
        <v>47.435402814890665</v>
      </c>
      <c r="X561" s="26">
        <v>4.6871249837392979</v>
      </c>
      <c r="Y561" s="28">
        <v>52.124642543713193</v>
      </c>
      <c r="Z561" s="17" t="str">
        <f>SUBSTITUTE(SUBSTITUTE(SUBSTITUTE(SUBSTITUTE(IF(E561="","",VLOOKUP(E561,[1]Esquemas_NORM!$A$2:$H$126,8,FALSE)),"PROVINCIA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61" s="17" t="str">
        <f>IF($E561="","",INDEX([1]Esquemas_NORM!$H$2:$K$126,MATCH($E561,[1]Esquemas_NORM!$A$2:$A$126,0),MATCH(AA$4,[1]Esquemas_NORM!$H$1:$K$1,0)))</f>
        <v>Región de Planeación y Gestión de Occidente</v>
      </c>
      <c r="AB561" s="17" t="str">
        <f>IF($E561="","",INDEX([1]Esquemas_NORM!$H$2:$K$126,MATCH($E561,[1]Esquemas_NORM!$A$2:$A$126,0),MATCH(AB$4,[1]Esquemas_NORM!$H$1:$K$1,0)))</f>
        <v>A la fecha no ha conformado un EAT Área Metropolitana</v>
      </c>
      <c r="AC561" s="17" t="str">
        <f>IF($E561="","",INDEX([1]Esquemas_NORM!$H$2:$K$126,MATCH($E561,[1]Esquemas_NORM!$A$2:$A$126,0),MATCH(AC$4,[1]Esquemas_NORM!$H$1:$K$1,0)))</f>
        <v>ASOCIACION DE MUNICIPIOS DEL OCCIDENTE ANTIOQUEÑO - AMOCCIDENTE</v>
      </c>
      <c r="AD561" s="23"/>
    </row>
    <row r="562" spans="1:30" x14ac:dyDescent="0.25">
      <c r="A562" s="24">
        <v>2019</v>
      </c>
      <c r="B562" s="25" t="s">
        <v>36</v>
      </c>
      <c r="C562" s="25" t="s">
        <v>158</v>
      </c>
      <c r="D562" s="25" t="s">
        <v>163</v>
      </c>
      <c r="E562" s="25" t="s">
        <v>168</v>
      </c>
      <c r="F562" s="25" t="s">
        <v>161</v>
      </c>
      <c r="G562" s="25" t="s">
        <v>169</v>
      </c>
      <c r="H562" s="26">
        <v>4.7589178950692794</v>
      </c>
      <c r="I562" s="26">
        <v>7.5741790051369904</v>
      </c>
      <c r="J562" s="27">
        <v>12.33309690020627</v>
      </c>
      <c r="K562" s="26">
        <v>5.0314008972987052</v>
      </c>
      <c r="L562" s="26">
        <v>1.1028866439087566</v>
      </c>
      <c r="M562" s="27">
        <v>6.1342875412074616</v>
      </c>
      <c r="N562" s="26">
        <v>6.1224992534621885</v>
      </c>
      <c r="O562" s="26">
        <v>8.5910588641069552</v>
      </c>
      <c r="P562" s="26">
        <v>2.1768267340412168</v>
      </c>
      <c r="Q562" s="26">
        <v>0.99657409434116229</v>
      </c>
      <c r="R562" s="26">
        <v>6.8984996713947693</v>
      </c>
      <c r="S562" s="26">
        <v>11.917276427075551</v>
      </c>
      <c r="T562" s="26">
        <v>12.729687096102126</v>
      </c>
      <c r="U562" s="26">
        <v>2.871115593411929</v>
      </c>
      <c r="V562" s="27">
        <v>52.303537733935897</v>
      </c>
      <c r="W562" s="27">
        <v>73.604907014115014</v>
      </c>
      <c r="X562" s="26">
        <v>7.2729518064417755</v>
      </c>
      <c r="Y562" s="28">
        <v>80.881140243417704</v>
      </c>
      <c r="Z562" s="17" t="str">
        <f>SUBSTITUTE(SUBSTITUTE(SUBSTITUTE(SUBSTITUTE(IF(E562="","",VLOOKUP(E562,[1]Esquemas_NORM!$A$2:$H$126,8,FALSE)),"PROVINCIA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562" s="17" t="str">
        <f>IF($E562="","",INDEX([1]Esquemas_NORM!$H$2:$K$126,MATCH($E562,[1]Esquemas_NORM!$A$2:$A$126,0),MATCH(AA$4,[1]Esquemas_NORM!$H$1:$K$1,0)))</f>
        <v>Región de Planeación y Gestión de Occidente</v>
      </c>
      <c r="AB562" s="17" t="str">
        <f>IF($E562="","",INDEX([1]Esquemas_NORM!$H$2:$K$126,MATCH($E562,[1]Esquemas_NORM!$A$2:$A$126,0),MATCH(AB$4,[1]Esquemas_NORM!$H$1:$K$1,0)))</f>
        <v>A la fecha no ha conformado un EAT Área Metropolitana</v>
      </c>
      <c r="AC562" s="17" t="str">
        <f>IF($E562="","",INDEX([1]Esquemas_NORM!$H$2:$K$126,MATCH($E562,[1]Esquemas_NORM!$A$2:$A$126,0),MATCH(AC$4,[1]Esquemas_NORM!$H$1:$K$1,0)))</f>
        <v>ASOCIACION DE MUNICIPIOS DEL OCCIDENTE ANTIOQUEÑO - AMOCCIDENTE</v>
      </c>
      <c r="AD562" s="23"/>
    </row>
    <row r="563" spans="1:30" x14ac:dyDescent="0.25">
      <c r="A563" s="24">
        <v>2019</v>
      </c>
      <c r="B563" s="25" t="s">
        <v>36</v>
      </c>
      <c r="C563" s="25" t="s">
        <v>158</v>
      </c>
      <c r="D563" s="25" t="s">
        <v>163</v>
      </c>
      <c r="E563" s="25" t="s">
        <v>170</v>
      </c>
      <c r="F563" s="25" t="s">
        <v>161</v>
      </c>
      <c r="G563" s="25" t="s">
        <v>171</v>
      </c>
      <c r="H563" s="26">
        <v>23.750947694468262</v>
      </c>
      <c r="I563" s="26">
        <v>0</v>
      </c>
      <c r="J563" s="27">
        <v>23.750947694468262</v>
      </c>
      <c r="K563" s="26">
        <v>1.9921210609991293</v>
      </c>
      <c r="L563" s="26">
        <v>5.5534918053770328</v>
      </c>
      <c r="M563" s="27">
        <v>7.5456128663761621</v>
      </c>
      <c r="N563" s="26">
        <v>1.1762994367779307</v>
      </c>
      <c r="O563" s="26">
        <v>8.405835233637232</v>
      </c>
      <c r="P563" s="26">
        <v>2.7780501120407526</v>
      </c>
      <c r="Q563" s="26">
        <v>1.9707992014453417</v>
      </c>
      <c r="R563" s="26">
        <v>6.2515928608020426</v>
      </c>
      <c r="S563" s="26">
        <v>7.3238761312238374</v>
      </c>
      <c r="T563" s="26">
        <v>19.106691545677748</v>
      </c>
      <c r="U563" s="26">
        <v>3.1583998344977493</v>
      </c>
      <c r="V563" s="27">
        <v>50.171544356102636</v>
      </c>
      <c r="W563" s="27">
        <v>83.768239174358257</v>
      </c>
      <c r="X563" s="26">
        <v>8.2771976915649148</v>
      </c>
      <c r="Y563" s="28">
        <v>92.04917138616355</v>
      </c>
      <c r="Z563" s="17" t="str">
        <f>SUBSTITUTE(SUBSTITUTE(SUBSTITUTE(SUBSTITUTE(IF(E563="","",VLOOKUP(E563,[1]Esquemas_NORM!$A$2:$H$126,8,FALSE)),"PROVINCIA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563" s="17" t="str">
        <f>IF($E563="","",INDEX([1]Esquemas_NORM!$H$2:$K$126,MATCH($E563,[1]Esquemas_NORM!$A$2:$A$126,0),MATCH(AA$4,[1]Esquemas_NORM!$H$1:$K$1,0)))</f>
        <v>A la fecha no ha conformado un EAT Región</v>
      </c>
      <c r="AB563" s="17" t="str">
        <f>IF($E563="","",INDEX([1]Esquemas_NORM!$H$2:$K$126,MATCH($E563,[1]Esquemas_NORM!$A$2:$A$126,0),MATCH(AB$4,[1]Esquemas_NORM!$H$1:$K$1,0)))</f>
        <v>A la fecha no ha conformado un EAT Área Metropolitana</v>
      </c>
      <c r="AC563" s="17" t="str">
        <f>IF($E563="","",INDEX([1]Esquemas_NORM!$H$2:$K$126,MATCH($E563,[1]Esquemas_NORM!$A$2:$A$126,0),MATCH(AC$4,[1]Esquemas_NORM!$H$1:$K$1,0)))</f>
        <v>ASOCIACION DE MUNICIPIOS DEL OCCIDENTE ANTIOQUEÑO - AMOCCIDENTE</v>
      </c>
      <c r="AD563" s="23"/>
    </row>
    <row r="564" spans="1:30" x14ac:dyDescent="0.25">
      <c r="A564" s="24">
        <v>2019</v>
      </c>
      <c r="B564" s="25" t="s">
        <v>36</v>
      </c>
      <c r="C564" s="25" t="s">
        <v>158</v>
      </c>
      <c r="D564" s="25" t="s">
        <v>159</v>
      </c>
      <c r="E564" s="25" t="s">
        <v>172</v>
      </c>
      <c r="F564" s="25" t="s">
        <v>161</v>
      </c>
      <c r="G564" s="25" t="s">
        <v>173</v>
      </c>
      <c r="H564" s="26">
        <v>25.702028697025838</v>
      </c>
      <c r="I564" s="26">
        <v>0</v>
      </c>
      <c r="J564" s="27">
        <v>25.702028697025838</v>
      </c>
      <c r="K564" s="26">
        <v>1.5218515455758219</v>
      </c>
      <c r="L564" s="26">
        <v>16.73781795665645</v>
      </c>
      <c r="M564" s="27">
        <v>18.259669502232271</v>
      </c>
      <c r="N564" s="26">
        <v>7.0918212043181201</v>
      </c>
      <c r="O564" s="26">
        <v>19.791628016679194</v>
      </c>
      <c r="P564" s="26">
        <v>4.0035647237267113</v>
      </c>
      <c r="Q564" s="26">
        <v>2.3779103932281922</v>
      </c>
      <c r="R564" s="26">
        <v>9.9559239301823794</v>
      </c>
      <c r="S564" s="26">
        <v>14.437705356786442</v>
      </c>
      <c r="T564" s="26">
        <v>33.207631090372082</v>
      </c>
      <c r="U564" s="26">
        <v>4.6054469495948602</v>
      </c>
      <c r="V564" s="27">
        <v>95.47163166488798</v>
      </c>
      <c r="W564" s="27">
        <v>142.52078345092892</v>
      </c>
      <c r="X564" s="26">
        <v>14.082577256096737</v>
      </c>
      <c r="Y564" s="28">
        <v>156.60971450836752</v>
      </c>
      <c r="Z564" s="17" t="str">
        <f>SUBSTITUTE(SUBSTITUTE(SUBSTITUTE(SUBSTITUTE(IF(E564="","",VLOOKUP(E564,[1]Esquemas_NORM!$A$2:$H$126,8,FALSE)),"PROVINCIA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564" s="17" t="str">
        <f>IF($E564="","",INDEX([1]Esquemas_NORM!$H$2:$K$126,MATCH($E564,[1]Esquemas_NORM!$A$2:$A$126,0),MATCH(AA$4,[1]Esquemas_NORM!$H$1:$K$1,0)))</f>
        <v>Región de Planeación y Gestión de Occidente</v>
      </c>
      <c r="AB564" s="17" t="str">
        <f>IF($E564="","",INDEX([1]Esquemas_NORM!$H$2:$K$126,MATCH($E564,[1]Esquemas_NORM!$A$2:$A$126,0),MATCH(AB$4,[1]Esquemas_NORM!$H$1:$K$1,0)))</f>
        <v>A la fecha no ha conformado un EAT Área Metropolitana</v>
      </c>
      <c r="AC564" s="17" t="str">
        <f>IF($E564="","",INDEX([1]Esquemas_NORM!$H$2:$K$126,MATCH($E564,[1]Esquemas_NORM!$A$2:$A$126,0),MATCH(AC$4,[1]Esquemas_NORM!$H$1:$K$1,0)))</f>
        <v>ASOCIACION DE MUNICIPIOS DEL OCCIDENTE ANTIOQUEÑO - AMOCCIDENTE</v>
      </c>
      <c r="AD564" s="23"/>
    </row>
    <row r="565" spans="1:30" x14ac:dyDescent="0.25">
      <c r="A565" s="24">
        <v>2019</v>
      </c>
      <c r="B565" s="25" t="s">
        <v>36</v>
      </c>
      <c r="C565" s="25" t="s">
        <v>158</v>
      </c>
      <c r="D565" s="25" t="s">
        <v>159</v>
      </c>
      <c r="E565" s="25" t="s">
        <v>174</v>
      </c>
      <c r="F565" s="25" t="s">
        <v>161</v>
      </c>
      <c r="G565" s="25" t="s">
        <v>175</v>
      </c>
      <c r="H565" s="26">
        <v>59.509441546511702</v>
      </c>
      <c r="I565" s="26">
        <v>16.329373513231157</v>
      </c>
      <c r="J565" s="27">
        <v>75.838815059742856</v>
      </c>
      <c r="K565" s="26">
        <v>1.8679546423593332</v>
      </c>
      <c r="L565" s="26">
        <v>19.641512300020104</v>
      </c>
      <c r="M565" s="27">
        <v>21.509466942379436</v>
      </c>
      <c r="N565" s="26">
        <v>4.5864808856337813</v>
      </c>
      <c r="O565" s="26">
        <v>39.75847220263239</v>
      </c>
      <c r="P565" s="26">
        <v>7.5697900045411703</v>
      </c>
      <c r="Q565" s="26">
        <v>5.3666544519231421</v>
      </c>
      <c r="R565" s="26">
        <v>14.512584531386548</v>
      </c>
      <c r="S565" s="26">
        <v>22.963257039847928</v>
      </c>
      <c r="T565" s="26">
        <v>44.057122289079103</v>
      </c>
      <c r="U565" s="26">
        <v>5.7472088568010502</v>
      </c>
      <c r="V565" s="27">
        <v>144.56157026184511</v>
      </c>
      <c r="W565" s="27">
        <v>252.50912737380153</v>
      </c>
      <c r="X565" s="26">
        <v>24.950601645663482</v>
      </c>
      <c r="Y565" s="28">
        <v>277.47098627467727</v>
      </c>
      <c r="Z565" s="17" t="str">
        <f>SUBSTITUTE(SUBSTITUTE(SUBSTITUTE(SUBSTITUTE(IF(E565="","",VLOOKUP(E565,[1]Esquemas_NORM!$A$2:$H$126,8,FALSE)),"PROVINCIA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565" s="17" t="str">
        <f>IF($E565="","",INDEX([1]Esquemas_NORM!$H$2:$K$126,MATCH($E565,[1]Esquemas_NORM!$A$2:$A$126,0),MATCH(AA$4,[1]Esquemas_NORM!$H$1:$K$1,0)))</f>
        <v>Región de Planeación y Gestión de Occidente</v>
      </c>
      <c r="AB565" s="17" t="str">
        <f>IF($E565="","",INDEX([1]Esquemas_NORM!$H$2:$K$126,MATCH($E565,[1]Esquemas_NORM!$A$2:$A$126,0),MATCH(AB$4,[1]Esquemas_NORM!$H$1:$K$1,0)))</f>
        <v>A la fecha no ha conformado un EAT Área Metropolitana</v>
      </c>
      <c r="AC565" s="17" t="str">
        <f>IF($E565="","",INDEX([1]Esquemas_NORM!$H$2:$K$126,MATCH($E565,[1]Esquemas_NORM!$A$2:$A$126,0),MATCH(AC$4,[1]Esquemas_NORM!$H$1:$K$1,0)))</f>
        <v>ASOCIACION DE MUNICIPIOS DEL OCCIDENTE ANTIOQUEÑO - AMOCCIDENTE</v>
      </c>
      <c r="AD565" s="23"/>
    </row>
    <row r="566" spans="1:30" x14ac:dyDescent="0.25">
      <c r="A566" s="24">
        <v>2019</v>
      </c>
      <c r="B566" s="25" t="s">
        <v>36</v>
      </c>
      <c r="C566" s="25" t="s">
        <v>158</v>
      </c>
      <c r="D566" s="25" t="s">
        <v>163</v>
      </c>
      <c r="E566" s="25" t="s">
        <v>176</v>
      </c>
      <c r="F566" s="25" t="s">
        <v>161</v>
      </c>
      <c r="G566" s="25" t="s">
        <v>177</v>
      </c>
      <c r="H566" s="26">
        <v>96.544281783630936</v>
      </c>
      <c r="I566" s="26">
        <v>0</v>
      </c>
      <c r="J566" s="27">
        <v>96.544281783630936</v>
      </c>
      <c r="K566" s="26">
        <v>7.4890851839762078</v>
      </c>
      <c r="L566" s="26">
        <v>11.81789352525</v>
      </c>
      <c r="M566" s="27">
        <v>19.306978709226208</v>
      </c>
      <c r="N566" s="26">
        <v>3.0603791391763244</v>
      </c>
      <c r="O566" s="26">
        <v>15.49807189146367</v>
      </c>
      <c r="P566" s="26">
        <v>4.7591572582387034</v>
      </c>
      <c r="Q566" s="26">
        <v>2.1648926178628263</v>
      </c>
      <c r="R566" s="26">
        <v>11.74119025928124</v>
      </c>
      <c r="S566" s="26">
        <v>12.866299460319881</v>
      </c>
      <c r="T566" s="26">
        <v>22.081525978045796</v>
      </c>
      <c r="U566" s="26">
        <v>5.3147463088429809</v>
      </c>
      <c r="V566" s="27">
        <v>77.486262913231428</v>
      </c>
      <c r="W566" s="27">
        <v>201.99450836756324</v>
      </c>
      <c r="X566" s="26">
        <v>19.959217178821838</v>
      </c>
      <c r="Y566" s="28">
        <v>221.96273078019885</v>
      </c>
      <c r="Z566" s="17" t="str">
        <f>SUBSTITUTE(SUBSTITUTE(SUBSTITUTE(SUBSTITUTE(IF(E566="","",VLOOKUP(E566,[1]Esquemas_NORM!$A$2:$H$126,8,FALSE)),"PROVINCIA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566" s="17" t="str">
        <f>IF($E566="","",INDEX([1]Esquemas_NORM!$H$2:$K$126,MATCH($E566,[1]Esquemas_NORM!$A$2:$A$126,0),MATCH(AA$4,[1]Esquemas_NORM!$H$1:$K$1,0)))</f>
        <v>A la fecha no ha conformado un EAT Región</v>
      </c>
      <c r="AB566" s="17" t="str">
        <f>IF($E566="","",INDEX([1]Esquemas_NORM!$H$2:$K$126,MATCH($E566,[1]Esquemas_NORM!$A$2:$A$126,0),MATCH(AB$4,[1]Esquemas_NORM!$H$1:$K$1,0)))</f>
        <v>A la fecha no ha conformado un EAT Área Metropolitana</v>
      </c>
      <c r="AC566" s="17" t="str">
        <f>IF($E566="","",INDEX([1]Esquemas_NORM!$H$2:$K$126,MATCH($E566,[1]Esquemas_NORM!$A$2:$A$126,0),MATCH(AC$4,[1]Esquemas_NORM!$H$1:$K$1,0)))</f>
        <v>ASOCIACION DE MUNICIPIOS DEL OCCIDENTE ANTIOQUEÑO - AMOCCIDENTE</v>
      </c>
      <c r="AD566" s="23"/>
    </row>
    <row r="567" spans="1:30" x14ac:dyDescent="0.25">
      <c r="A567" s="24">
        <v>2019</v>
      </c>
      <c r="B567" s="25" t="s">
        <v>36</v>
      </c>
      <c r="C567" s="25" t="s">
        <v>158</v>
      </c>
      <c r="D567" s="25" t="s">
        <v>159</v>
      </c>
      <c r="E567" s="25" t="s">
        <v>178</v>
      </c>
      <c r="F567" s="25" t="s">
        <v>161</v>
      </c>
      <c r="G567" s="25" t="s">
        <v>179</v>
      </c>
      <c r="H567" s="26">
        <v>26.927308075809876</v>
      </c>
      <c r="I567" s="26">
        <v>2.3106580086317421</v>
      </c>
      <c r="J567" s="27">
        <v>29.237966084441616</v>
      </c>
      <c r="K567" s="26">
        <v>2.4894168876610325</v>
      </c>
      <c r="L567" s="26">
        <v>17.306700411294589</v>
      </c>
      <c r="M567" s="27">
        <v>19.796117298955622</v>
      </c>
      <c r="N567" s="26">
        <v>12.184201138175363</v>
      </c>
      <c r="O567" s="26">
        <v>35.097667137487655</v>
      </c>
      <c r="P567" s="26">
        <v>6.9114835932388123</v>
      </c>
      <c r="Q567" s="26">
        <v>5.3638364377964622</v>
      </c>
      <c r="R567" s="26">
        <v>10.825817886722</v>
      </c>
      <c r="S567" s="26">
        <v>18.648967712474825</v>
      </c>
      <c r="T567" s="26">
        <v>37.044274373604836</v>
      </c>
      <c r="U567" s="26">
        <v>5.1598816058763344</v>
      </c>
      <c r="V567" s="27">
        <v>131.2361298853763</v>
      </c>
      <c r="W567" s="27">
        <v>185.27083400828471</v>
      </c>
      <c r="X567" s="26">
        <v>18.306739340386173</v>
      </c>
      <c r="Y567" s="28">
        <v>203.58583301470162</v>
      </c>
      <c r="Z567" s="17" t="str">
        <f>SUBSTITUTE(SUBSTITUTE(SUBSTITUTE(SUBSTITUTE(IF(E567="","",VLOOKUP(E567,[1]Esquemas_NORM!$A$2:$H$126,8,FALSE)),"PROVINCIA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567" s="17" t="str">
        <f>IF($E567="","",INDEX([1]Esquemas_NORM!$H$2:$K$126,MATCH($E567,[1]Esquemas_NORM!$A$2:$A$126,0),MATCH(AA$4,[1]Esquemas_NORM!$H$1:$K$1,0)))</f>
        <v>Región de Planeación y Gestión de Occidente</v>
      </c>
      <c r="AB567" s="17" t="str">
        <f>IF($E567="","",INDEX([1]Esquemas_NORM!$H$2:$K$126,MATCH($E567,[1]Esquemas_NORM!$A$2:$A$126,0),MATCH(AB$4,[1]Esquemas_NORM!$H$1:$K$1,0)))</f>
        <v>A la fecha no ha conformado un EAT Área Metropolitana</v>
      </c>
      <c r="AC567" s="17" t="str">
        <f>IF($E567="","",INDEX([1]Esquemas_NORM!$H$2:$K$126,MATCH($E567,[1]Esquemas_NORM!$A$2:$A$126,0),MATCH(AC$4,[1]Esquemas_NORM!$H$1:$K$1,0)))</f>
        <v>ASOCIACION DE MUNICIPIOS DEL OCCIDENTE ANTIOQUEÑO - AMOCCIDENTE</v>
      </c>
      <c r="AD567" s="23"/>
    </row>
    <row r="568" spans="1:30" x14ac:dyDescent="0.25">
      <c r="A568" s="24">
        <v>2019</v>
      </c>
      <c r="B568" s="25" t="s">
        <v>36</v>
      </c>
      <c r="C568" s="25" t="s">
        <v>158</v>
      </c>
      <c r="D568" s="25" t="s">
        <v>163</v>
      </c>
      <c r="E568" s="25" t="s">
        <v>180</v>
      </c>
      <c r="F568" s="25" t="s">
        <v>161</v>
      </c>
      <c r="G568" s="25" t="s">
        <v>181</v>
      </c>
      <c r="H568" s="26">
        <v>9.0418876361791494</v>
      </c>
      <c r="I568" s="26">
        <v>0</v>
      </c>
      <c r="J568" s="27">
        <v>9.0418876361791494</v>
      </c>
      <c r="K568" s="26">
        <v>0.71956508013384524</v>
      </c>
      <c r="L568" s="26">
        <v>3.6110231829249688</v>
      </c>
      <c r="M568" s="27">
        <v>4.3305882630588144</v>
      </c>
      <c r="N568" s="26">
        <v>1.2045540211188368</v>
      </c>
      <c r="O568" s="26">
        <v>8.1899015774040862</v>
      </c>
      <c r="P568" s="26">
        <v>1.3913715592543356</v>
      </c>
      <c r="Q568" s="26">
        <v>0.70112668959372604</v>
      </c>
      <c r="R568" s="26">
        <v>4.0320756940567515</v>
      </c>
      <c r="S568" s="26">
        <v>5.0783382558163428</v>
      </c>
      <c r="T568" s="26">
        <v>11.264678645965152</v>
      </c>
      <c r="U568" s="26">
        <v>2.6206063597256697</v>
      </c>
      <c r="V568" s="27">
        <v>34.482652802934901</v>
      </c>
      <c r="W568" s="27">
        <v>48.992496673648269</v>
      </c>
      <c r="X568" s="26">
        <v>4.8409825056366245</v>
      </c>
      <c r="Y568" s="28">
        <v>53.835663342068493</v>
      </c>
      <c r="Z568" s="17" t="str">
        <f>SUBSTITUTE(SUBSTITUTE(SUBSTITUTE(SUBSTITUTE(IF(E568="","",VLOOKUP(E568,[1]Esquemas_NORM!$A$2:$H$126,8,FALSE)),"PROVINCIA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568" s="17" t="str">
        <f>IF($E568="","",INDEX([1]Esquemas_NORM!$H$2:$K$126,MATCH($E568,[1]Esquemas_NORM!$A$2:$A$126,0),MATCH(AA$4,[1]Esquemas_NORM!$H$1:$K$1,0)))</f>
        <v>A la fecha no ha conformado un EAT Región</v>
      </c>
      <c r="AB568" s="17" t="str">
        <f>IF($E568="","",INDEX([1]Esquemas_NORM!$H$2:$K$126,MATCH($E568,[1]Esquemas_NORM!$A$2:$A$126,0),MATCH(AB$4,[1]Esquemas_NORM!$H$1:$K$1,0)))</f>
        <v>A la fecha no ha conformado un EAT Área Metropolitana</v>
      </c>
      <c r="AC568" s="17" t="str">
        <f>IF($E568="","",INDEX([1]Esquemas_NORM!$H$2:$K$126,MATCH($E568,[1]Esquemas_NORM!$A$2:$A$126,0),MATCH(AC$4,[1]Esquemas_NORM!$H$1:$K$1,0)))</f>
        <v>ASOCIACION DE MUNICIPIOS DEL OCCIDENTE ANTIOQUEÑO - AMOCCIDENTE</v>
      </c>
      <c r="AD568" s="23"/>
    </row>
    <row r="569" spans="1:30" x14ac:dyDescent="0.25">
      <c r="A569" s="24">
        <v>2019</v>
      </c>
      <c r="B569" s="25" t="s">
        <v>36</v>
      </c>
      <c r="C569" s="25" t="s">
        <v>158</v>
      </c>
      <c r="D569" s="25" t="s">
        <v>163</v>
      </c>
      <c r="E569" s="25" t="s">
        <v>182</v>
      </c>
      <c r="F569" s="25" t="s">
        <v>161</v>
      </c>
      <c r="G569" s="25" t="s">
        <v>183</v>
      </c>
      <c r="H569" s="26">
        <v>11.354446434054392</v>
      </c>
      <c r="I569" s="26">
        <v>0</v>
      </c>
      <c r="J569" s="27">
        <v>11.354446434054392</v>
      </c>
      <c r="K569" s="26">
        <v>0.89992226432173872</v>
      </c>
      <c r="L569" s="26">
        <v>3.5701066917880668</v>
      </c>
      <c r="M569" s="27">
        <v>4.4700289561098057</v>
      </c>
      <c r="N569" s="26">
        <v>1.4178745947016556</v>
      </c>
      <c r="O569" s="26">
        <v>6.2613336248706659</v>
      </c>
      <c r="P569" s="26">
        <v>1.5127868212033027</v>
      </c>
      <c r="Q569" s="26">
        <v>1.0623056491567724</v>
      </c>
      <c r="R569" s="26">
        <v>3.9927922761063641</v>
      </c>
      <c r="S569" s="26">
        <v>4.9729377634172183</v>
      </c>
      <c r="T569" s="26">
        <v>11.115752259393473</v>
      </c>
      <c r="U569" s="26">
        <v>1.7009437861113454</v>
      </c>
      <c r="V569" s="27">
        <v>32.036726774960798</v>
      </c>
      <c r="W569" s="27">
        <v>49.126583835586928</v>
      </c>
      <c r="X569" s="26">
        <v>4.8542317509147441</v>
      </c>
      <c r="Y569" s="28">
        <v>53.983005727102487</v>
      </c>
      <c r="Z569" s="17" t="str">
        <f>SUBSTITUTE(SUBSTITUTE(SUBSTITUTE(SUBSTITUTE(IF(E569="","",VLOOKUP(E569,[1]Esquemas_NORM!$A$2:$H$126,8,FALSE)),"PROVINCIA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569" s="17" t="str">
        <f>IF($E569="","",INDEX([1]Esquemas_NORM!$H$2:$K$126,MATCH($E569,[1]Esquemas_NORM!$A$2:$A$126,0),MATCH(AA$4,[1]Esquemas_NORM!$H$1:$K$1,0)))</f>
        <v>Región de Planeación y Gestión de Occidente</v>
      </c>
      <c r="AB569" s="17" t="str">
        <f>IF($E569="","",INDEX([1]Esquemas_NORM!$H$2:$K$126,MATCH($E569,[1]Esquemas_NORM!$A$2:$A$126,0),MATCH(AB$4,[1]Esquemas_NORM!$H$1:$K$1,0)))</f>
        <v>A la fecha no ha conformado un EAT Área Metropolitana</v>
      </c>
      <c r="AC569" s="17" t="str">
        <f>IF($E569="","",INDEX([1]Esquemas_NORM!$H$2:$K$126,MATCH($E569,[1]Esquemas_NORM!$A$2:$A$126,0),MATCH(AC$4,[1]Esquemas_NORM!$H$1:$K$1,0)))</f>
        <v>ASOCIACION DE MUNICIPIOS DEL OCCIDENTE ANTIOQUEÑO - AMOCCIDENTE</v>
      </c>
      <c r="AD569" s="23"/>
    </row>
    <row r="570" spans="1:30" x14ac:dyDescent="0.25">
      <c r="A570" s="24">
        <v>2019</v>
      </c>
      <c r="B570" s="25" t="s">
        <v>36</v>
      </c>
      <c r="C570" s="25" t="s">
        <v>158</v>
      </c>
      <c r="D570" s="25" t="s">
        <v>163</v>
      </c>
      <c r="E570" s="25" t="s">
        <v>184</v>
      </c>
      <c r="F570" s="25" t="s">
        <v>161</v>
      </c>
      <c r="G570" s="25" t="s">
        <v>185</v>
      </c>
      <c r="H570" s="26">
        <v>18.227489660679211</v>
      </c>
      <c r="I570" s="26">
        <v>0</v>
      </c>
      <c r="J570" s="27">
        <v>18.227489660679211</v>
      </c>
      <c r="K570" s="26">
        <v>0.25821709565387163</v>
      </c>
      <c r="L570" s="26">
        <v>8.138309177703837</v>
      </c>
      <c r="M570" s="27">
        <v>8.3965262733577077</v>
      </c>
      <c r="N570" s="26">
        <v>2.2035494606267054</v>
      </c>
      <c r="O570" s="26">
        <v>13.264350266317219</v>
      </c>
      <c r="P570" s="26">
        <v>3.2092400013138755</v>
      </c>
      <c r="Q570" s="26">
        <v>2.067681284941064</v>
      </c>
      <c r="R570" s="26">
        <v>5.3635306031631584</v>
      </c>
      <c r="S570" s="26">
        <v>8.9988983365077306</v>
      </c>
      <c r="T570" s="26">
        <v>21.298462296059281</v>
      </c>
      <c r="U570" s="26">
        <v>6.1847985516343504</v>
      </c>
      <c r="V570" s="27">
        <v>62.590510800563386</v>
      </c>
      <c r="W570" s="27">
        <v>91.297205124733978</v>
      </c>
      <c r="X570" s="26">
        <v>9.0211400281653216</v>
      </c>
      <c r="Y570" s="28">
        <v>100.32241532631809</v>
      </c>
      <c r="Z570" s="17" t="str">
        <f>SUBSTITUTE(SUBSTITUTE(SUBSTITUTE(SUBSTITUTE(IF(E570="","",VLOOKUP(E570,[1]Esquemas_NORM!$A$2:$H$126,8,FALSE)),"PROVINCIA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70" s="17" t="str">
        <f>IF($E570="","",INDEX([1]Esquemas_NORM!$H$2:$K$126,MATCH($E570,[1]Esquemas_NORM!$A$2:$A$126,0),MATCH(AA$4,[1]Esquemas_NORM!$H$1:$K$1,0)))</f>
        <v>Región de Planeación y Gestión de Occidente</v>
      </c>
      <c r="AB570" s="17" t="str">
        <f>IF($E570="","",INDEX([1]Esquemas_NORM!$H$2:$K$126,MATCH($E570,[1]Esquemas_NORM!$A$2:$A$126,0),MATCH(AB$4,[1]Esquemas_NORM!$H$1:$K$1,0)))</f>
        <v>A la fecha no ha conformado un EAT Área Metropolitana</v>
      </c>
      <c r="AC570" s="17" t="str">
        <f>IF($E570="","",INDEX([1]Esquemas_NORM!$H$2:$K$126,MATCH($E570,[1]Esquemas_NORM!$A$2:$A$126,0),MATCH(AC$4,[1]Esquemas_NORM!$H$1:$K$1,0)))</f>
        <v>ASOCIACION DE MUNICIPIOS DEL OCCIDENTE ANTIOQUEÑO - AMOCCIDENTE</v>
      </c>
      <c r="AD570" s="23"/>
    </row>
    <row r="571" spans="1:30" x14ac:dyDescent="0.25">
      <c r="A571" s="24">
        <v>2019</v>
      </c>
      <c r="B571" s="25" t="s">
        <v>36</v>
      </c>
      <c r="C571" s="25" t="s">
        <v>158</v>
      </c>
      <c r="D571" s="25" t="s">
        <v>163</v>
      </c>
      <c r="E571" s="25" t="s">
        <v>186</v>
      </c>
      <c r="F571" s="25" t="s">
        <v>161</v>
      </c>
      <c r="G571" s="25" t="s">
        <v>187</v>
      </c>
      <c r="H571" s="26">
        <v>5.002341423157465</v>
      </c>
      <c r="I571" s="26">
        <v>8.0766335996388099E-4</v>
      </c>
      <c r="J571" s="27">
        <v>5.0031490865174293</v>
      </c>
      <c r="K571" s="26">
        <v>0.12582175522752306</v>
      </c>
      <c r="L571" s="26">
        <v>2.7990315352217339</v>
      </c>
      <c r="M571" s="27">
        <v>2.9248532904492568</v>
      </c>
      <c r="N571" s="26">
        <v>2.3579449596744753</v>
      </c>
      <c r="O571" s="26">
        <v>5.3673935180658487</v>
      </c>
      <c r="P571" s="26">
        <v>1.2005771842052078</v>
      </c>
      <c r="Q571" s="26">
        <v>0.33077958701426052</v>
      </c>
      <c r="R571" s="26">
        <v>3.132854668801373</v>
      </c>
      <c r="S571" s="26">
        <v>3.3848169896308669</v>
      </c>
      <c r="T571" s="26">
        <v>6.5983191817585576</v>
      </c>
      <c r="U571" s="26">
        <v>1.4649895447680472</v>
      </c>
      <c r="V571" s="27">
        <v>23.837675633918639</v>
      </c>
      <c r="W571" s="27">
        <v>32.579632873136013</v>
      </c>
      <c r="X571" s="26">
        <v>3.2192160736286444</v>
      </c>
      <c r="Y571" s="28">
        <v>35.800301398190044</v>
      </c>
      <c r="Z571" s="17" t="str">
        <f>SUBSTITUTE(SUBSTITUTE(SUBSTITUTE(SUBSTITUTE(IF(E571="","",VLOOKUP(E571,[1]Esquemas_NORM!$A$2:$H$126,8,FALSE)),"PROVINCIA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571" s="17" t="str">
        <f>IF($E571="","",INDEX([1]Esquemas_NORM!$H$2:$K$126,MATCH($E571,[1]Esquemas_NORM!$A$2:$A$126,0),MATCH(AA$4,[1]Esquemas_NORM!$H$1:$K$1,0)))</f>
        <v>Región de Planeación y Gestión de Occidente</v>
      </c>
      <c r="AB571" s="17" t="str">
        <f>IF($E571="","",INDEX([1]Esquemas_NORM!$H$2:$K$126,MATCH($E571,[1]Esquemas_NORM!$A$2:$A$126,0),MATCH(AB$4,[1]Esquemas_NORM!$H$1:$K$1,0)))</f>
        <v>A la fecha no ha conformado un EAT Área Metropolitana</v>
      </c>
      <c r="AC571" s="17" t="str">
        <f>IF($E571="","",INDEX([1]Esquemas_NORM!$H$2:$K$126,MATCH($E571,[1]Esquemas_NORM!$A$2:$A$126,0),MATCH(AC$4,[1]Esquemas_NORM!$H$1:$K$1,0)))</f>
        <v>ASOCIACION DE MUNICIPIOS DEL OCCIDENTE ANTIOQUEÑO - AMOCCIDENTE</v>
      </c>
      <c r="AD571" s="23"/>
    </row>
    <row r="572" spans="1:30" x14ac:dyDescent="0.25">
      <c r="A572" s="24">
        <v>2019</v>
      </c>
      <c r="B572" s="25" t="s">
        <v>36</v>
      </c>
      <c r="C572" s="25" t="s">
        <v>158</v>
      </c>
      <c r="D572" s="25" t="s">
        <v>159</v>
      </c>
      <c r="E572" s="25" t="s">
        <v>188</v>
      </c>
      <c r="F572" s="25" t="s">
        <v>161</v>
      </c>
      <c r="G572" s="25" t="s">
        <v>189</v>
      </c>
      <c r="H572" s="26">
        <v>11.976301877041823</v>
      </c>
      <c r="I572" s="26">
        <v>0</v>
      </c>
      <c r="J572" s="27">
        <v>11.976301877041823</v>
      </c>
      <c r="K572" s="26">
        <v>0.64907497736515729</v>
      </c>
      <c r="L572" s="26">
        <v>5.2468203747374504</v>
      </c>
      <c r="M572" s="27">
        <v>5.8958953521026078</v>
      </c>
      <c r="N572" s="26">
        <v>0.87008408571051121</v>
      </c>
      <c r="O572" s="26">
        <v>4.2692778579919315</v>
      </c>
      <c r="P572" s="26">
        <v>2.3213700358958729</v>
      </c>
      <c r="Q572" s="26">
        <v>1.5128597765882708</v>
      </c>
      <c r="R572" s="26">
        <v>5.0335993058827198</v>
      </c>
      <c r="S572" s="26">
        <v>7.973077201478497</v>
      </c>
      <c r="T572" s="26">
        <v>22.518753880517686</v>
      </c>
      <c r="U572" s="26">
        <v>2.0831902664795483</v>
      </c>
      <c r="V572" s="27">
        <v>46.58221241054504</v>
      </c>
      <c r="W572" s="27">
        <v>65.665313298647064</v>
      </c>
      <c r="X572" s="26">
        <v>6.4884350561591475</v>
      </c>
      <c r="Y572" s="28">
        <v>72.156675818055106</v>
      </c>
      <c r="Z572" s="17" t="str">
        <f>SUBSTITUTE(SUBSTITUTE(SUBSTITUTE(SUBSTITUTE(IF(E572="","",VLOOKUP(E572,[1]Esquemas_NORM!$A$2:$H$126,8,FALSE)),"PROVINCIA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572" s="17" t="str">
        <f>IF($E572="","",INDEX([1]Esquemas_NORM!$H$2:$K$126,MATCH($E572,[1]Esquemas_NORM!$A$2:$A$126,0),MATCH(AA$4,[1]Esquemas_NORM!$H$1:$K$1,0)))</f>
        <v>Región de Planeación y Gestión de Occidente</v>
      </c>
      <c r="AB572" s="17" t="str">
        <f>IF($E572="","",INDEX([1]Esquemas_NORM!$H$2:$K$126,MATCH($E572,[1]Esquemas_NORM!$A$2:$A$126,0),MATCH(AB$4,[1]Esquemas_NORM!$H$1:$K$1,0)))</f>
        <v>A la fecha no ha conformado un EAT Área Metropolitana</v>
      </c>
      <c r="AC572" s="17" t="str">
        <f>IF($E572="","",INDEX([1]Esquemas_NORM!$H$2:$K$126,MATCH($E572,[1]Esquemas_NORM!$A$2:$A$126,0),MATCH(AC$4,[1]Esquemas_NORM!$H$1:$K$1,0)))</f>
        <v>ASOCIACION DE MUNICIPIOS DEL OCCIDENTE ANTIOQUEÑO - AMOCCIDENTE</v>
      </c>
      <c r="AD572" s="23"/>
    </row>
    <row r="573" spans="1:30" x14ac:dyDescent="0.25">
      <c r="A573" s="24">
        <v>2019</v>
      </c>
      <c r="B573" s="25" t="s">
        <v>36</v>
      </c>
      <c r="C573" s="25" t="s">
        <v>158</v>
      </c>
      <c r="D573" s="25" t="s">
        <v>163</v>
      </c>
      <c r="E573" s="25" t="s">
        <v>190</v>
      </c>
      <c r="F573" s="25" t="s">
        <v>161</v>
      </c>
      <c r="G573" s="25" t="s">
        <v>191</v>
      </c>
      <c r="H573" s="26">
        <v>12.119988639789469</v>
      </c>
      <c r="I573" s="26">
        <v>0</v>
      </c>
      <c r="J573" s="27">
        <v>12.119988639789469</v>
      </c>
      <c r="K573" s="26">
        <v>4.8126560958366342</v>
      </c>
      <c r="L573" s="26">
        <v>1.9288444401017504</v>
      </c>
      <c r="M573" s="27">
        <v>6.7415005359383846</v>
      </c>
      <c r="N573" s="26">
        <v>2.2221065228215857</v>
      </c>
      <c r="O573" s="26">
        <v>7.0557437273889247</v>
      </c>
      <c r="P573" s="26">
        <v>2.8716189198971702</v>
      </c>
      <c r="Q573" s="26">
        <v>1.7570821786873676</v>
      </c>
      <c r="R573" s="26">
        <v>6.6105885630697196</v>
      </c>
      <c r="S573" s="26">
        <v>8.0439912476940627</v>
      </c>
      <c r="T573" s="26">
        <v>21.563365693957174</v>
      </c>
      <c r="U573" s="26">
        <v>2.3289709250758506</v>
      </c>
      <c r="V573" s="27">
        <v>52.453467778591857</v>
      </c>
      <c r="W573" s="27">
        <v>72.69814501722621</v>
      </c>
      <c r="X573" s="26">
        <v>7.1833540259245412</v>
      </c>
      <c r="Y573" s="28">
        <v>79.884740041131408</v>
      </c>
      <c r="Z573" s="17" t="str">
        <f>SUBSTITUTE(SUBSTITUTE(SUBSTITUTE(SUBSTITUTE(IF(E573="","",VLOOKUP(E573,[1]Esquemas_NORM!$A$2:$H$126,8,FALSE)),"PROVINCIA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573" s="17" t="str">
        <f>IF($E573="","",INDEX([1]Esquemas_NORM!$H$2:$K$126,MATCH($E573,[1]Esquemas_NORM!$A$2:$A$126,0),MATCH(AA$4,[1]Esquemas_NORM!$H$1:$K$1,0)))</f>
        <v>A la fecha no ha conformado un EAT Región</v>
      </c>
      <c r="AB573" s="17" t="str">
        <f>IF($E573="","",INDEX([1]Esquemas_NORM!$H$2:$K$126,MATCH($E573,[1]Esquemas_NORM!$A$2:$A$126,0),MATCH(AB$4,[1]Esquemas_NORM!$H$1:$K$1,0)))</f>
        <v>A la fecha no ha conformado un EAT Área Metropolitana</v>
      </c>
      <c r="AC573" s="17" t="str">
        <f>IF($E573="","",INDEX([1]Esquemas_NORM!$H$2:$K$126,MATCH($E573,[1]Esquemas_NORM!$A$2:$A$126,0),MATCH(AC$4,[1]Esquemas_NORM!$H$1:$K$1,0)))</f>
        <v>ASOCIACION DE MUNICIPIOS DEL OCCIDENTE ANTIOQUEÑO - AMOCCIDENTE</v>
      </c>
      <c r="AD573" s="23"/>
    </row>
    <row r="574" spans="1:30" x14ac:dyDescent="0.25">
      <c r="A574" s="24">
        <v>2019</v>
      </c>
      <c r="B574" s="25" t="s">
        <v>36</v>
      </c>
      <c r="C574" s="25" t="s">
        <v>158</v>
      </c>
      <c r="D574" s="25" t="s">
        <v>163</v>
      </c>
      <c r="E574" s="25" t="s">
        <v>192</v>
      </c>
      <c r="F574" s="25" t="s">
        <v>161</v>
      </c>
      <c r="G574" s="25" t="s">
        <v>193</v>
      </c>
      <c r="H574" s="26">
        <v>12.236161237484666</v>
      </c>
      <c r="I574" s="26">
        <v>0</v>
      </c>
      <c r="J574" s="27">
        <v>12.236161237484666</v>
      </c>
      <c r="K574" s="26">
        <v>1.628852287159934</v>
      </c>
      <c r="L574" s="26">
        <v>14.554678531365397</v>
      </c>
      <c r="M574" s="27">
        <v>16.18353081852533</v>
      </c>
      <c r="N574" s="26">
        <v>9.881267540777575</v>
      </c>
      <c r="O574" s="26">
        <v>47.726687415206619</v>
      </c>
      <c r="P574" s="26">
        <v>5.615947148899064</v>
      </c>
      <c r="Q574" s="26">
        <v>3.0041927273031099</v>
      </c>
      <c r="R574" s="26">
        <v>27.461050673671856</v>
      </c>
      <c r="S574" s="26">
        <v>19.844272700868888</v>
      </c>
      <c r="T574" s="26">
        <v>28.340323857693896</v>
      </c>
      <c r="U574" s="26">
        <v>5.8623282455214385</v>
      </c>
      <c r="V574" s="27">
        <v>147.73607030994245</v>
      </c>
      <c r="W574" s="27">
        <v>179.52785774785002</v>
      </c>
      <c r="X574" s="26">
        <v>17.739271881190302</v>
      </c>
      <c r="Y574" s="28">
        <v>197.27513326413026</v>
      </c>
      <c r="Z574" s="17" t="str">
        <f>SUBSTITUTE(SUBSTITUTE(SUBSTITUTE(SUBSTITUTE(IF(E574="","",VLOOKUP(E574,[1]Esquemas_NORM!$A$2:$H$126,8,FALSE)),"PROVINCIA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574" s="17" t="str">
        <f>IF($E574="","",INDEX([1]Esquemas_NORM!$H$2:$K$126,MATCH($E574,[1]Esquemas_NORM!$A$2:$A$126,0),MATCH(AA$4,[1]Esquemas_NORM!$H$1:$K$1,0)))</f>
        <v>Región de Planeación y Gestión de Occidente</v>
      </c>
      <c r="AB574" s="17" t="str">
        <f>IF($E574="","",INDEX([1]Esquemas_NORM!$H$2:$K$126,MATCH($E574,[1]Esquemas_NORM!$A$2:$A$126,0),MATCH(AB$4,[1]Esquemas_NORM!$H$1:$K$1,0)))</f>
        <v>A la fecha no ha conformado un EAT Área Metropolitana</v>
      </c>
      <c r="AC574" s="17" t="str">
        <f>IF($E574="","",INDEX([1]Esquemas_NORM!$H$2:$K$126,MATCH($E574,[1]Esquemas_NORM!$A$2:$A$126,0),MATCH(AC$4,[1]Esquemas_NORM!$H$1:$K$1,0)))</f>
        <v>ASOCIACION DE MUNICIPIOS DEL OCCIDENTE ANTIOQUEÑO - AMOCCIDENTE</v>
      </c>
      <c r="AD574" s="23"/>
    </row>
    <row r="575" spans="1:30" x14ac:dyDescent="0.25">
      <c r="A575" s="24">
        <v>2019</v>
      </c>
      <c r="B575" s="25" t="s">
        <v>36</v>
      </c>
      <c r="C575" s="25" t="s">
        <v>158</v>
      </c>
      <c r="D575" s="25" t="s">
        <v>163</v>
      </c>
      <c r="E575" s="25" t="s">
        <v>194</v>
      </c>
      <c r="F575" s="25" t="s">
        <v>161</v>
      </c>
      <c r="G575" s="25" t="s">
        <v>195</v>
      </c>
      <c r="H575" s="26">
        <v>67.446736512679237</v>
      </c>
      <c r="I575" s="26">
        <v>3.4100775580998945</v>
      </c>
      <c r="J575" s="27">
        <v>70.856814070779137</v>
      </c>
      <c r="K575" s="26">
        <v>5.8199482313438082</v>
      </c>
      <c r="L575" s="26">
        <v>24.469818090928381</v>
      </c>
      <c r="M575" s="27">
        <v>30.28976632227219</v>
      </c>
      <c r="N575" s="26">
        <v>14.799221379754311</v>
      </c>
      <c r="O575" s="26">
        <v>66.974675842382851</v>
      </c>
      <c r="P575" s="26">
        <v>8.5660500224778477</v>
      </c>
      <c r="Q575" s="26">
        <v>9.2620198889524801</v>
      </c>
      <c r="R575" s="26">
        <v>26.612629659623149</v>
      </c>
      <c r="S575" s="26">
        <v>32.157726323311529</v>
      </c>
      <c r="T575" s="26">
        <v>64.903871861868637</v>
      </c>
      <c r="U575" s="26">
        <v>8.8944058405646675</v>
      </c>
      <c r="V575" s="27">
        <v>232.1706008189355</v>
      </c>
      <c r="W575" s="27">
        <v>343.60306229743958</v>
      </c>
      <c r="X575" s="26">
        <v>33.951656404566677</v>
      </c>
      <c r="Y575" s="28">
        <v>377.57003706853112</v>
      </c>
      <c r="Z575" s="17" t="str">
        <f>SUBSTITUTE(SUBSTITUTE(SUBSTITUTE(SUBSTITUTE(IF(E575="","",VLOOKUP(E575,[1]Esquemas_NORM!$A$2:$H$126,8,FALSE)),"PROVINCIA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575" s="17" t="str">
        <f>IF($E575="","",INDEX([1]Esquemas_NORM!$H$2:$K$126,MATCH($E575,[1]Esquemas_NORM!$A$2:$A$126,0),MATCH(AA$4,[1]Esquemas_NORM!$H$1:$K$1,0)))</f>
        <v>A la fecha no ha conformado un EAT Región</v>
      </c>
      <c r="AB575" s="17" t="str">
        <f>IF($E575="","",INDEX([1]Esquemas_NORM!$H$2:$K$126,MATCH($E575,[1]Esquemas_NORM!$A$2:$A$126,0),MATCH(AB$4,[1]Esquemas_NORM!$H$1:$K$1,0)))</f>
        <v>A la fecha no ha conformado un EAT Área Metropolitana</v>
      </c>
      <c r="AC575" s="17" t="str">
        <f>IF($E575="","",INDEX([1]Esquemas_NORM!$H$2:$K$126,MATCH($E575,[1]Esquemas_NORM!$A$2:$A$126,0),MATCH(AC$4,[1]Esquemas_NORM!$H$1:$K$1,0)))</f>
        <v>ASOCIACION DE MUNICIPIOS DEL OCCIDENTE ANTIOQUEÑO - AMOCCIDENTE</v>
      </c>
      <c r="AD575" s="23"/>
    </row>
    <row r="576" spans="1:30" x14ac:dyDescent="0.25">
      <c r="A576" s="24">
        <v>2019</v>
      </c>
      <c r="B576" s="25" t="s">
        <v>36</v>
      </c>
      <c r="C576" s="25" t="s">
        <v>158</v>
      </c>
      <c r="D576" s="25" t="s">
        <v>163</v>
      </c>
      <c r="E576" s="25" t="s">
        <v>196</v>
      </c>
      <c r="F576" s="25" t="s">
        <v>161</v>
      </c>
      <c r="G576" s="25" t="s">
        <v>197</v>
      </c>
      <c r="H576" s="26">
        <v>13.729361970664883</v>
      </c>
      <c r="I576" s="26">
        <v>1.7387855495272813</v>
      </c>
      <c r="J576" s="27">
        <v>15.468147520192163</v>
      </c>
      <c r="K576" s="26">
        <v>0.86858466368108467</v>
      </c>
      <c r="L576" s="26">
        <v>12.879969044539672</v>
      </c>
      <c r="M576" s="27">
        <v>13.748553708220758</v>
      </c>
      <c r="N576" s="26">
        <v>6.7916432254927335</v>
      </c>
      <c r="O576" s="26">
        <v>29.780072054364886</v>
      </c>
      <c r="P576" s="26">
        <v>5.3951746827912359</v>
      </c>
      <c r="Q576" s="26">
        <v>3.0421932392257602</v>
      </c>
      <c r="R576" s="26">
        <v>17.77236622509902</v>
      </c>
      <c r="S576" s="26">
        <v>17.63118022474249</v>
      </c>
      <c r="T576" s="26">
        <v>30.822389463583171</v>
      </c>
      <c r="U576" s="26">
        <v>6.5231584389801149</v>
      </c>
      <c r="V576" s="27">
        <v>117.75817755427943</v>
      </c>
      <c r="W576" s="27">
        <v>149.93867736440473</v>
      </c>
      <c r="X576" s="26">
        <v>14.8155444878591</v>
      </c>
      <c r="Y576" s="28">
        <v>164.76090635501757</v>
      </c>
      <c r="Z576" s="17" t="str">
        <f>SUBSTITUTE(SUBSTITUTE(SUBSTITUTE(SUBSTITUTE(IF(E576="","",VLOOKUP(E576,[1]Esquemas_NORM!$A$2:$H$126,8,FALSE)),"PROVINCIA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76" s="17" t="str">
        <f>IF($E576="","",INDEX([1]Esquemas_NORM!$H$2:$K$126,MATCH($E576,[1]Esquemas_NORM!$A$2:$A$126,0),MATCH(AA$4,[1]Esquemas_NORM!$H$1:$K$1,0)))</f>
        <v>A la fecha no ha conformado un EAT Región</v>
      </c>
      <c r="AB576" s="17" t="str">
        <f>IF($E576="","",INDEX([1]Esquemas_NORM!$H$2:$K$126,MATCH($E576,[1]Esquemas_NORM!$A$2:$A$126,0),MATCH(AB$4,[1]Esquemas_NORM!$H$1:$K$1,0)))</f>
        <v>A la fecha no ha conformado un EAT Área Metropolitana</v>
      </c>
      <c r="AC576" s="17" t="str">
        <f>IF($E576="","",INDEX([1]Esquemas_NORM!$H$2:$K$126,MATCH($E576,[1]Esquemas_NORM!$A$2:$A$126,0),MATCH(AC$4,[1]Esquemas_NORM!$H$1:$K$1,0)))</f>
        <v>ASOCIACION DE MUNICIPIOS DEL OCCIDENTE ANTIOQUEÑO - AMOCCIDENTE</v>
      </c>
      <c r="AD576" s="23"/>
    </row>
    <row r="577" spans="1:30" x14ac:dyDescent="0.25">
      <c r="A577" s="24">
        <v>2019</v>
      </c>
      <c r="B577" s="25" t="s">
        <v>36</v>
      </c>
      <c r="C577" s="25" t="s">
        <v>158</v>
      </c>
      <c r="D577" s="25" t="s">
        <v>159</v>
      </c>
      <c r="E577" s="25" t="s">
        <v>198</v>
      </c>
      <c r="F577" s="25" t="s">
        <v>161</v>
      </c>
      <c r="G577" s="25" t="s">
        <v>199</v>
      </c>
      <c r="H577" s="26">
        <v>27.504527313421526</v>
      </c>
      <c r="I577" s="26">
        <v>6.4111158723405559E-2</v>
      </c>
      <c r="J577" s="27">
        <v>27.568638472144933</v>
      </c>
      <c r="K577" s="26">
        <v>0.50764157746694105</v>
      </c>
      <c r="L577" s="26">
        <v>6.6903253744270748</v>
      </c>
      <c r="M577" s="27">
        <v>7.1979669518940161</v>
      </c>
      <c r="N577" s="26">
        <v>2.4290384761429507</v>
      </c>
      <c r="O577" s="26">
        <v>8.5828419354106966</v>
      </c>
      <c r="P577" s="26">
        <v>2.0481447584603973</v>
      </c>
      <c r="Q577" s="26">
        <v>1.0773334915393182</v>
      </c>
      <c r="R577" s="26">
        <v>4.1649123330601654</v>
      </c>
      <c r="S577" s="26">
        <v>6.1083477584710657</v>
      </c>
      <c r="T577" s="26">
        <v>11.10127022327409</v>
      </c>
      <c r="U577" s="26">
        <v>2.5849972621094102</v>
      </c>
      <c r="V577" s="27">
        <v>38.096886238468095</v>
      </c>
      <c r="W577" s="27">
        <v>75.658488372350618</v>
      </c>
      <c r="X577" s="26">
        <v>7.4758676017933663</v>
      </c>
      <c r="Y577" s="28">
        <v>83.137728948901085</v>
      </c>
      <c r="Z577" s="17" t="str">
        <f>SUBSTITUTE(SUBSTITUTE(SUBSTITUTE(SUBSTITUTE(IF(E577="","",VLOOKUP(E577,[1]Esquemas_NORM!$A$2:$H$126,8,FALSE)),"PROVINCIA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577" s="17" t="str">
        <f>IF($E577="","",INDEX([1]Esquemas_NORM!$H$2:$K$126,MATCH($E577,[1]Esquemas_NORM!$A$2:$A$126,0),MATCH(AA$4,[1]Esquemas_NORM!$H$1:$K$1,0)))</f>
        <v>Región de Planeación y Gestión de Occidente</v>
      </c>
      <c r="AB577" s="17" t="str">
        <f>IF($E577="","",INDEX([1]Esquemas_NORM!$H$2:$K$126,MATCH($E577,[1]Esquemas_NORM!$A$2:$A$126,0),MATCH(AB$4,[1]Esquemas_NORM!$H$1:$K$1,0)))</f>
        <v>A la fecha no ha conformado un EAT Área Metropolitana</v>
      </c>
      <c r="AC577" s="17" t="str">
        <f>IF($E577="","",INDEX([1]Esquemas_NORM!$H$2:$K$126,MATCH($E577,[1]Esquemas_NORM!$A$2:$A$126,0),MATCH(AC$4,[1]Esquemas_NORM!$H$1:$K$1,0)))</f>
        <v>ASOCIACION DE MUNICIPIOS DEL OCCIDENTE ANTIOQUEÑO - AMOCCIDENTE</v>
      </c>
      <c r="AD577" s="23"/>
    </row>
    <row r="578" spans="1:30" x14ac:dyDescent="0.25">
      <c r="A578" s="24">
        <v>2019</v>
      </c>
      <c r="B578" s="25" t="s">
        <v>36</v>
      </c>
      <c r="C578" s="25" t="s">
        <v>200</v>
      </c>
      <c r="D578" s="25" t="s">
        <v>201</v>
      </c>
      <c r="E578" s="25" t="s">
        <v>202</v>
      </c>
      <c r="F578" s="25" t="s">
        <v>203</v>
      </c>
      <c r="G578" s="25" t="s">
        <v>204</v>
      </c>
      <c r="H578" s="26">
        <v>59.759480808420065</v>
      </c>
      <c r="I578" s="26">
        <v>0.71125937686623775</v>
      </c>
      <c r="J578" s="27">
        <v>60.470740185286303</v>
      </c>
      <c r="K578" s="26">
        <v>4.037916586619918</v>
      </c>
      <c r="L578" s="26">
        <v>14.925427997670745</v>
      </c>
      <c r="M578" s="27">
        <v>18.963344584290663</v>
      </c>
      <c r="N578" s="26">
        <v>4.3273833576172338</v>
      </c>
      <c r="O578" s="26">
        <v>23.30258763279727</v>
      </c>
      <c r="P578" s="26">
        <v>6.7357893609109993</v>
      </c>
      <c r="Q578" s="26">
        <v>4.9131134893572384</v>
      </c>
      <c r="R578" s="26">
        <v>21.28780833516106</v>
      </c>
      <c r="S578" s="26">
        <v>18.169600810242137</v>
      </c>
      <c r="T578" s="26">
        <v>35.146011487912467</v>
      </c>
      <c r="U578" s="26">
        <v>7.7217884761550231</v>
      </c>
      <c r="V578" s="27">
        <v>121.60408295015343</v>
      </c>
      <c r="W578" s="27">
        <v>206.87772159655427</v>
      </c>
      <c r="X578" s="26">
        <v>20.441730857812228</v>
      </c>
      <c r="Y578" s="28">
        <v>227.328675389529</v>
      </c>
      <c r="Z578" s="17" t="str">
        <f>SUBSTITUTE(SUBSTITUTE(SUBSTITUTE(SUBSTITUTE(IF(E578="","",VLOOKUP(E578,[1]Esquemas_NORM!$A$2:$H$126,8,FALSE)),"PROVINCIA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578" s="17" t="str">
        <f>IF($E578="","",INDEX([1]Esquemas_NORM!$H$2:$K$126,MATCH($E578,[1]Esquemas_NORM!$A$2:$A$126,0),MATCH(AA$4,[1]Esquemas_NORM!$H$1:$K$1,0)))</f>
        <v>A la fecha no ha conformado un EAT Región</v>
      </c>
      <c r="AB578" s="17" t="str">
        <f>IF($E578="","",INDEX([1]Esquemas_NORM!$H$2:$K$126,MATCH($E578,[1]Esquemas_NORM!$A$2:$A$126,0),MATCH(AB$4,[1]Esquemas_NORM!$H$1:$K$1,0)))</f>
        <v>A la fecha no ha conformado un EAT Área Metropolitana</v>
      </c>
      <c r="AC578" s="17" t="str">
        <f>IF($E578="","",INDEX([1]Esquemas_NORM!$H$2:$K$126,MATCH($E578,[1]Esquemas_NORM!$A$2:$A$126,0),MATCH(AC$4,[1]Esquemas_NORM!$H$1:$K$1,0)))</f>
        <v>MUNICIPIOS UNIDOS DEL SUR DE ANTIOQUIA - MUSA</v>
      </c>
      <c r="AD578" s="23"/>
    </row>
    <row r="579" spans="1:30" x14ac:dyDescent="0.25">
      <c r="A579" s="24">
        <v>2019</v>
      </c>
      <c r="B579" s="25" t="s">
        <v>36</v>
      </c>
      <c r="C579" s="25" t="s">
        <v>200</v>
      </c>
      <c r="D579" s="25" t="s">
        <v>205</v>
      </c>
      <c r="E579" s="25" t="s">
        <v>206</v>
      </c>
      <c r="F579" s="25" t="s">
        <v>203</v>
      </c>
      <c r="G579" s="25" t="s">
        <v>207</v>
      </c>
      <c r="H579" s="26">
        <v>5.7243069379751397</v>
      </c>
      <c r="I579" s="26">
        <v>0</v>
      </c>
      <c r="J579" s="27">
        <v>5.7243069379751397</v>
      </c>
      <c r="K579" s="26">
        <v>0.6252611941948949</v>
      </c>
      <c r="L579" s="26">
        <v>4.0206415109214184</v>
      </c>
      <c r="M579" s="27">
        <v>4.6459027051163133</v>
      </c>
      <c r="N579" s="26">
        <v>14.176957853224669</v>
      </c>
      <c r="O579" s="26">
        <v>5.3164031560608542</v>
      </c>
      <c r="P579" s="26">
        <v>0.84728289796622303</v>
      </c>
      <c r="Q579" s="26">
        <v>0.5945159088544314</v>
      </c>
      <c r="R579" s="26">
        <v>3.3731146225662378</v>
      </c>
      <c r="S579" s="26">
        <v>3.8439009411237102</v>
      </c>
      <c r="T579" s="26">
        <v>6.5763123757921562</v>
      </c>
      <c r="U579" s="26">
        <v>0.95957132529622013</v>
      </c>
      <c r="V579" s="27">
        <v>35.6880590808845</v>
      </c>
      <c r="W579" s="27">
        <v>48.107845825695314</v>
      </c>
      <c r="X579" s="26">
        <v>4.7535695430556597</v>
      </c>
      <c r="Y579" s="28">
        <v>52.863560092404335</v>
      </c>
      <c r="Z579" s="17" t="str">
        <f>SUBSTITUTE(SUBSTITUTE(SUBSTITUTE(SUBSTITUTE(IF(E579="","",VLOOKUP(E579,[1]Esquemas_NORM!$A$2:$H$126,8,FALSE)),"PROVINCIA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79" s="17" t="str">
        <f>IF($E579="","",INDEX([1]Esquemas_NORM!$H$2:$K$126,MATCH($E579,[1]Esquemas_NORM!$A$2:$A$126,0),MATCH(AA$4,[1]Esquemas_NORM!$H$1:$K$1,0)))</f>
        <v>A la fecha no ha conformado un EAT Región</v>
      </c>
      <c r="AB579" s="17" t="str">
        <f>IF($E579="","",INDEX([1]Esquemas_NORM!$H$2:$K$126,MATCH($E579,[1]Esquemas_NORM!$A$2:$A$126,0),MATCH(AB$4,[1]Esquemas_NORM!$H$1:$K$1,0)))</f>
        <v>A la fecha no ha conformado un EAT Área Metropolitana</v>
      </c>
      <c r="AC579" s="17" t="str">
        <f>IF($E579="","",INDEX([1]Esquemas_NORM!$H$2:$K$126,MATCH($E579,[1]Esquemas_NORM!$A$2:$A$126,0),MATCH(AC$4,[1]Esquemas_NORM!$H$1:$K$1,0)))</f>
        <v>A la fecha no ha conformado un EAT asociación - unión</v>
      </c>
      <c r="AD579" s="23"/>
    </row>
    <row r="580" spans="1:30" x14ac:dyDescent="0.25">
      <c r="A580" s="24">
        <v>2019</v>
      </c>
      <c r="B580" s="25" t="s">
        <v>36</v>
      </c>
      <c r="C580" s="25" t="s">
        <v>200</v>
      </c>
      <c r="D580" s="25" t="s">
        <v>201</v>
      </c>
      <c r="E580" s="25" t="s">
        <v>208</v>
      </c>
      <c r="F580" s="25" t="s">
        <v>203</v>
      </c>
      <c r="G580" s="25" t="s">
        <v>209</v>
      </c>
      <c r="H580" s="26">
        <v>11.372000738269685</v>
      </c>
      <c r="I580" s="26">
        <v>0</v>
      </c>
      <c r="J580" s="27">
        <v>11.372000738269685</v>
      </c>
      <c r="K580" s="26">
        <v>1.7702156475550859</v>
      </c>
      <c r="L580" s="26">
        <v>3.6834702495051954</v>
      </c>
      <c r="M580" s="27">
        <v>5.4536858970602813</v>
      </c>
      <c r="N580" s="26">
        <v>1.1426715267390568</v>
      </c>
      <c r="O580" s="26">
        <v>6.4513030676827494</v>
      </c>
      <c r="P580" s="26">
        <v>2.2326610293838782</v>
      </c>
      <c r="Q580" s="26">
        <v>1.6188083576498487</v>
      </c>
      <c r="R580" s="26">
        <v>8.0574185504204845</v>
      </c>
      <c r="S580" s="26">
        <v>5.7629208474533202</v>
      </c>
      <c r="T580" s="26">
        <v>14.119521470487474</v>
      </c>
      <c r="U580" s="26">
        <v>1.7003879292269033</v>
      </c>
      <c r="V580" s="27">
        <v>41.085692779043718</v>
      </c>
      <c r="W580" s="27">
        <v>59.012954057102405</v>
      </c>
      <c r="X580" s="26">
        <v>5.8311108351839032</v>
      </c>
      <c r="Y580" s="28">
        <v>64.84669578286659</v>
      </c>
      <c r="Z580" s="17" t="str">
        <f>SUBSTITUTE(SUBSTITUTE(SUBSTITUTE(SUBSTITUTE(IF(E580="","",VLOOKUP(E580,[1]Esquemas_NORM!$A$2:$H$126,8,FALSE)),"PROVINCIA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580" s="17" t="str">
        <f>IF($E580="","",INDEX([1]Esquemas_NORM!$H$2:$K$126,MATCH($E580,[1]Esquemas_NORM!$A$2:$A$126,0),MATCH(AA$4,[1]Esquemas_NORM!$H$1:$K$1,0)))</f>
        <v>A la fecha no ha conformado un EAT Región</v>
      </c>
      <c r="AB580" s="17" t="str">
        <f>IF($E580="","",INDEX([1]Esquemas_NORM!$H$2:$K$126,MATCH($E580,[1]Esquemas_NORM!$A$2:$A$126,0),MATCH(AB$4,[1]Esquemas_NORM!$H$1:$K$1,0)))</f>
        <v>A la fecha no ha conformado un EAT Área Metropolitana</v>
      </c>
      <c r="AC580" s="17" t="str">
        <f>IF($E580="","",INDEX([1]Esquemas_NORM!$H$2:$K$126,MATCH($E580,[1]Esquemas_NORM!$A$2:$A$126,0),MATCH(AC$4,[1]Esquemas_NORM!$H$1:$K$1,0)))</f>
        <v>MUNICIPIOS UNIDOS DEL SUR DE ANTIOQUIA - MUSA</v>
      </c>
      <c r="AD580" s="23"/>
    </row>
    <row r="581" spans="1:30" x14ac:dyDescent="0.25">
      <c r="A581" s="24">
        <v>2019</v>
      </c>
      <c r="B581" s="25" t="s">
        <v>36</v>
      </c>
      <c r="C581" s="25" t="s">
        <v>200</v>
      </c>
      <c r="D581" s="25" t="s">
        <v>210</v>
      </c>
      <c r="E581" s="25" t="s">
        <v>211</v>
      </c>
      <c r="F581" s="25" t="s">
        <v>203</v>
      </c>
      <c r="G581" s="25" t="s">
        <v>212</v>
      </c>
      <c r="H581" s="26">
        <v>11.091067013608274</v>
      </c>
      <c r="I581" s="26">
        <v>0.24084677286320286</v>
      </c>
      <c r="J581" s="27">
        <v>11.331913786471477</v>
      </c>
      <c r="K581" s="26">
        <v>2.8716838588720432</v>
      </c>
      <c r="L581" s="26">
        <v>14.138570922767215</v>
      </c>
      <c r="M581" s="27">
        <v>17.010254781639258</v>
      </c>
      <c r="N581" s="26">
        <v>41.677611709276121</v>
      </c>
      <c r="O581" s="26">
        <v>13.354862048092393</v>
      </c>
      <c r="P581" s="26">
        <v>2.8140777492138707</v>
      </c>
      <c r="Q581" s="26">
        <v>1.9755231913094955</v>
      </c>
      <c r="R581" s="26">
        <v>13.323542586402175</v>
      </c>
      <c r="S581" s="26">
        <v>9.7815783077170249</v>
      </c>
      <c r="T581" s="26">
        <v>14.760666640711555</v>
      </c>
      <c r="U581" s="26">
        <v>2.666841022676123</v>
      </c>
      <c r="V581" s="27">
        <v>100.35470325539876</v>
      </c>
      <c r="W581" s="27">
        <v>133.63475658551152</v>
      </c>
      <c r="X581" s="26">
        <v>13.204542791216433</v>
      </c>
      <c r="Y581" s="28">
        <v>146.84525702497518</v>
      </c>
      <c r="Z581" s="17" t="str">
        <f>SUBSTITUTE(SUBSTITUTE(SUBSTITUTE(SUBSTITUTE(IF(E581="","",VLOOKUP(E581,[1]Esquemas_NORM!$A$2:$H$126,8,FALSE)),"PROVINCIA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81" s="17" t="str">
        <f>IF($E581="","",INDEX([1]Esquemas_NORM!$H$2:$K$126,MATCH($E581,[1]Esquemas_NORM!$A$2:$A$126,0),MATCH(AA$4,[1]Esquemas_NORM!$H$1:$K$1,0)))</f>
        <v>A la fecha no ha conformado un EAT Región</v>
      </c>
      <c r="AB581" s="17" t="str">
        <f>IF($E581="","",INDEX([1]Esquemas_NORM!$H$2:$K$126,MATCH($E581,[1]Esquemas_NORM!$A$2:$A$126,0),MATCH(AB$4,[1]Esquemas_NORM!$H$1:$K$1,0)))</f>
        <v>A la fecha no ha conformado un EAT Área Metropolitana</v>
      </c>
      <c r="AC581" s="17" t="str">
        <f>IF($E581="","",INDEX([1]Esquemas_NORM!$H$2:$K$126,MATCH($E581,[1]Esquemas_NORM!$A$2:$A$126,0),MATCH(AC$4,[1]Esquemas_NORM!$H$1:$K$1,0)))</f>
        <v>A la fecha no ha conformado un EAT asociación - unión</v>
      </c>
      <c r="AD581" s="23"/>
    </row>
    <row r="582" spans="1:30" x14ac:dyDescent="0.25">
      <c r="A582" s="24">
        <v>2019</v>
      </c>
      <c r="B582" s="25" t="s">
        <v>36</v>
      </c>
      <c r="C582" s="25" t="s">
        <v>200</v>
      </c>
      <c r="D582" s="25" t="s">
        <v>205</v>
      </c>
      <c r="E582" s="25" t="s">
        <v>213</v>
      </c>
      <c r="F582" s="25" t="s">
        <v>203</v>
      </c>
      <c r="G582" s="25" t="s">
        <v>214</v>
      </c>
      <c r="H582" s="26">
        <v>12.201200061569521</v>
      </c>
      <c r="I582" s="26">
        <v>8.5351695565094282E-2</v>
      </c>
      <c r="J582" s="27">
        <v>12.286551757134616</v>
      </c>
      <c r="K582" s="26">
        <v>1.7669698605299553</v>
      </c>
      <c r="L582" s="26">
        <v>3.5957972398737645</v>
      </c>
      <c r="M582" s="27">
        <v>5.3627671004037198</v>
      </c>
      <c r="N582" s="26">
        <v>9.7638951261074922</v>
      </c>
      <c r="O582" s="26">
        <v>3.5693015985177881</v>
      </c>
      <c r="P582" s="26">
        <v>0.84778505188040132</v>
      </c>
      <c r="Q582" s="26">
        <v>0.4937875506949278</v>
      </c>
      <c r="R582" s="26">
        <v>4.4409434912576833</v>
      </c>
      <c r="S582" s="26">
        <v>3.3151338603968323</v>
      </c>
      <c r="T582" s="26">
        <v>5.7520318887662949</v>
      </c>
      <c r="U582" s="26">
        <v>1.0967717733099134</v>
      </c>
      <c r="V582" s="27">
        <v>29.279650340931337</v>
      </c>
      <c r="W582" s="27">
        <v>48.904824189571841</v>
      </c>
      <c r="X582" s="26">
        <v>4.832319526803345</v>
      </c>
      <c r="Y582" s="28">
        <v>53.73932397058114</v>
      </c>
      <c r="Z582" s="17" t="str">
        <f>SUBSTITUTE(SUBSTITUTE(SUBSTITUTE(SUBSTITUTE(IF(E582="","",VLOOKUP(E582,[1]Esquemas_NORM!$A$2:$H$126,8,FALSE)),"PROVINCIA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82" s="17" t="str">
        <f>IF($E582="","",INDEX([1]Esquemas_NORM!$H$2:$K$126,MATCH($E582,[1]Esquemas_NORM!$A$2:$A$126,0),MATCH(AA$4,[1]Esquemas_NORM!$H$1:$K$1,0)))</f>
        <v>A la fecha no ha conformado un EAT Región</v>
      </c>
      <c r="AB582" s="17" t="str">
        <f>IF($E582="","",INDEX([1]Esquemas_NORM!$H$2:$K$126,MATCH($E582,[1]Esquemas_NORM!$A$2:$A$126,0),MATCH(AB$4,[1]Esquemas_NORM!$H$1:$K$1,0)))</f>
        <v>A la fecha no ha conformado un EAT Área Metropolitana</v>
      </c>
      <c r="AC582" s="17" t="str">
        <f>IF($E582="","",INDEX([1]Esquemas_NORM!$H$2:$K$126,MATCH($E582,[1]Esquemas_NORM!$A$2:$A$126,0),MATCH(AC$4,[1]Esquemas_NORM!$H$1:$K$1,0)))</f>
        <v>A la fecha no ha conformado un EAT asociación - unión</v>
      </c>
      <c r="AD582" s="23"/>
    </row>
    <row r="583" spans="1:30" x14ac:dyDescent="0.25">
      <c r="A583" s="24">
        <v>2019</v>
      </c>
      <c r="B583" s="25" t="s">
        <v>36</v>
      </c>
      <c r="C583" s="25" t="s">
        <v>200</v>
      </c>
      <c r="D583" s="25" t="s">
        <v>215</v>
      </c>
      <c r="E583" s="25" t="s">
        <v>216</v>
      </c>
      <c r="F583" s="25" t="s">
        <v>203</v>
      </c>
      <c r="G583" s="25" t="s">
        <v>217</v>
      </c>
      <c r="H583" s="26">
        <v>104.46372084521353</v>
      </c>
      <c r="I583" s="26">
        <v>0</v>
      </c>
      <c r="J583" s="27">
        <v>104.46372084521353</v>
      </c>
      <c r="K583" s="26">
        <v>29.051599083450373</v>
      </c>
      <c r="L583" s="26">
        <v>34.526086001517577</v>
      </c>
      <c r="M583" s="27">
        <v>63.577685084967953</v>
      </c>
      <c r="N583" s="26">
        <v>23.391744404585836</v>
      </c>
      <c r="O583" s="26">
        <v>142.67336577909879</v>
      </c>
      <c r="P583" s="26">
        <v>24.108884388173152</v>
      </c>
      <c r="Q583" s="26">
        <v>20.393116560345216</v>
      </c>
      <c r="R583" s="26">
        <v>85.621423535555579</v>
      </c>
      <c r="S583" s="26">
        <v>67.44260024611421</v>
      </c>
      <c r="T583" s="26">
        <v>62.089321100090572</v>
      </c>
      <c r="U583" s="26">
        <v>27.006548691722877</v>
      </c>
      <c r="V583" s="27">
        <v>452.72700470568617</v>
      </c>
      <c r="W583" s="27">
        <v>633.89347553092387</v>
      </c>
      <c r="X583" s="26">
        <v>62.635453055689126</v>
      </c>
      <c r="Y583" s="28">
        <v>696.55718855767066</v>
      </c>
      <c r="Z583" s="17" t="str">
        <f>SUBSTITUTE(SUBSTITUTE(SUBSTITUTE(SUBSTITUTE(IF(E583="","",VLOOKUP(E583,[1]Esquemas_NORM!$A$2:$H$126,8,FALSE)),"PROVINCIA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83" s="17" t="str">
        <f>IF($E583="","",INDEX([1]Esquemas_NORM!$H$2:$K$126,MATCH($E583,[1]Esquemas_NORM!$A$2:$A$126,0),MATCH(AA$4,[1]Esquemas_NORM!$H$1:$K$1,0)))</f>
        <v>A la fecha no ha conformado un EAT Región</v>
      </c>
      <c r="AB583" s="17" t="str">
        <f>IF($E583="","",INDEX([1]Esquemas_NORM!$H$2:$K$126,MATCH($E583,[1]Esquemas_NORM!$A$2:$A$126,0),MATCH(AB$4,[1]Esquemas_NORM!$H$1:$K$1,0)))</f>
        <v>A la fecha no ha conformado un EAT Área Metropolitana</v>
      </c>
      <c r="AC583" s="17" t="str">
        <f>IF($E583="","",INDEX([1]Esquemas_NORM!$H$2:$K$126,MATCH($E583,[1]Esquemas_NORM!$A$2:$A$126,0),MATCH(AC$4,[1]Esquemas_NORM!$H$1:$K$1,0)))</f>
        <v>MUNICIPIOS ASOCIADOS DEL ALTIPLANO DEL ORIENTE ANTIOQUEÑO - MASORA</v>
      </c>
      <c r="AD583" s="23"/>
    </row>
    <row r="584" spans="1:30" x14ac:dyDescent="0.25">
      <c r="A584" s="24">
        <v>2019</v>
      </c>
      <c r="B584" s="25" t="s">
        <v>36</v>
      </c>
      <c r="C584" s="25" t="s">
        <v>200</v>
      </c>
      <c r="D584" s="25" t="s">
        <v>205</v>
      </c>
      <c r="E584" s="25" t="s">
        <v>218</v>
      </c>
      <c r="F584" s="25" t="s">
        <v>203</v>
      </c>
      <c r="G584" s="25" t="s">
        <v>219</v>
      </c>
      <c r="H584" s="26">
        <v>202.24767600270354</v>
      </c>
      <c r="I584" s="26">
        <v>0</v>
      </c>
      <c r="J584" s="27">
        <v>202.24767600270354</v>
      </c>
      <c r="K584" s="26">
        <v>4.3620976009004373</v>
      </c>
      <c r="L584" s="26">
        <v>32.710491531094647</v>
      </c>
      <c r="M584" s="27">
        <v>37.072589131995088</v>
      </c>
      <c r="N584" s="26">
        <v>5.0508033752166135</v>
      </c>
      <c r="O584" s="26">
        <v>38.709253599317378</v>
      </c>
      <c r="P584" s="26">
        <v>7.6257459113401858</v>
      </c>
      <c r="Q584" s="26">
        <v>4.9928552698086071</v>
      </c>
      <c r="R584" s="26">
        <v>26.351717934466766</v>
      </c>
      <c r="S584" s="26">
        <v>17.962392679801688</v>
      </c>
      <c r="T584" s="26">
        <v>27.342381206064161</v>
      </c>
      <c r="U584" s="26">
        <v>7.190467292937937</v>
      </c>
      <c r="V584" s="27">
        <v>135.22561726895336</v>
      </c>
      <c r="W584" s="27">
        <v>392.85822527061816</v>
      </c>
      <c r="X584" s="26">
        <v>38.818593149045235</v>
      </c>
      <c r="Y584" s="28">
        <v>431.69433265904951</v>
      </c>
      <c r="Z584" s="17" t="str">
        <f>SUBSTITUTE(SUBSTITUTE(SUBSTITUTE(SUBSTITUTE(IF(E584="","",VLOOKUP(E584,[1]Esquemas_NORM!$A$2:$H$126,8,FALSE)),"PROVINCIA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84" s="17" t="str">
        <f>IF($E584="","",INDEX([1]Esquemas_NORM!$H$2:$K$126,MATCH($E584,[1]Esquemas_NORM!$A$2:$A$126,0),MATCH(AA$4,[1]Esquemas_NORM!$H$1:$K$1,0)))</f>
        <v>A la fecha no ha conformado un EAT Región</v>
      </c>
      <c r="AB584" s="17" t="str">
        <f>IF($E584="","",INDEX([1]Esquemas_NORM!$H$2:$K$126,MATCH($E584,[1]Esquemas_NORM!$A$2:$A$126,0),MATCH(AB$4,[1]Esquemas_NORM!$H$1:$K$1,0)))</f>
        <v>A la fecha no ha conformado un EAT Área Metropolitana</v>
      </c>
      <c r="AC584" s="17" t="str">
        <f>IF($E584="","",INDEX([1]Esquemas_NORM!$H$2:$K$126,MATCH($E584,[1]Esquemas_NORM!$A$2:$A$126,0),MATCH(AC$4,[1]Esquemas_NORM!$H$1:$K$1,0)))</f>
        <v>A la fecha no ha conformado un EAT asociación - unión</v>
      </c>
      <c r="AD584" s="23"/>
    </row>
    <row r="585" spans="1:30" x14ac:dyDescent="0.25">
      <c r="A585" s="24">
        <v>2019</v>
      </c>
      <c r="B585" s="25" t="s">
        <v>36</v>
      </c>
      <c r="C585" s="25" t="s">
        <v>200</v>
      </c>
      <c r="D585" s="25" t="s">
        <v>215</v>
      </c>
      <c r="E585" s="25" t="s">
        <v>220</v>
      </c>
      <c r="F585" s="25" t="s">
        <v>203</v>
      </c>
      <c r="G585" s="25" t="s">
        <v>221</v>
      </c>
      <c r="H585" s="26">
        <v>42.303314787435035</v>
      </c>
      <c r="I585" s="26">
        <v>0.77816050148098936</v>
      </c>
      <c r="J585" s="27">
        <v>43.081475288916025</v>
      </c>
      <c r="K585" s="26">
        <v>15.431194438956929</v>
      </c>
      <c r="L585" s="26">
        <v>33.483309049984641</v>
      </c>
      <c r="M585" s="27">
        <v>48.91450348894157</v>
      </c>
      <c r="N585" s="26">
        <v>22.434520870255476</v>
      </c>
      <c r="O585" s="26">
        <v>95.366604290209239</v>
      </c>
      <c r="P585" s="26">
        <v>20.929995434174636</v>
      </c>
      <c r="Q585" s="26">
        <v>12.179833537765466</v>
      </c>
      <c r="R585" s="26">
        <v>67.89310419063402</v>
      </c>
      <c r="S585" s="26">
        <v>45.546543728921961</v>
      </c>
      <c r="T585" s="26">
        <v>54.683846625123195</v>
      </c>
      <c r="U585" s="26">
        <v>13.908690863058084</v>
      </c>
      <c r="V585" s="27">
        <v>332.94313954014206</v>
      </c>
      <c r="W585" s="27">
        <v>431.75577602796568</v>
      </c>
      <c r="X585" s="26">
        <v>42.662087061669432</v>
      </c>
      <c r="Y585" s="28">
        <v>474.43711144319218</v>
      </c>
      <c r="Z585" s="17" t="str">
        <f>SUBSTITUTE(SUBSTITUTE(SUBSTITUTE(SUBSTITUTE(IF(E585="","",VLOOKUP(E585,[1]Esquemas_NORM!$A$2:$H$126,8,FALSE)),"PROVINCIA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85" s="17" t="str">
        <f>IF($E585="","",INDEX([1]Esquemas_NORM!$H$2:$K$126,MATCH($E585,[1]Esquemas_NORM!$A$2:$A$126,0),MATCH(AA$4,[1]Esquemas_NORM!$H$1:$K$1,0)))</f>
        <v>A la fecha no ha conformado un EAT Región</v>
      </c>
      <c r="AB585" s="17" t="str">
        <f>IF($E585="","",INDEX([1]Esquemas_NORM!$H$2:$K$126,MATCH($E585,[1]Esquemas_NORM!$A$2:$A$126,0),MATCH(AB$4,[1]Esquemas_NORM!$H$1:$K$1,0)))</f>
        <v>A la fecha no ha conformado un EAT Área Metropolitana</v>
      </c>
      <c r="AC585" s="17" t="str">
        <f>IF($E585="","",INDEX([1]Esquemas_NORM!$H$2:$K$126,MATCH($E585,[1]Esquemas_NORM!$A$2:$A$126,0),MATCH(AC$4,[1]Esquemas_NORM!$H$1:$K$1,0)))</f>
        <v>MUNICIPIOS ASOCIADOS DEL ALTIPLANO DEL ORIENTE ANTIOQUEÑO - MASORA</v>
      </c>
      <c r="AD585" s="23"/>
    </row>
    <row r="586" spans="1:30" x14ac:dyDescent="0.25">
      <c r="A586" s="24">
        <v>2019</v>
      </c>
      <c r="B586" s="25" t="s">
        <v>36</v>
      </c>
      <c r="C586" s="25" t="s">
        <v>200</v>
      </c>
      <c r="D586" s="25" t="s">
        <v>215</v>
      </c>
      <c r="E586" s="25" t="s">
        <v>222</v>
      </c>
      <c r="F586" s="25" t="s">
        <v>203</v>
      </c>
      <c r="G586" s="25" t="s">
        <v>223</v>
      </c>
      <c r="H586" s="26">
        <v>95.804537144739001</v>
      </c>
      <c r="I586" s="26">
        <v>0</v>
      </c>
      <c r="J586" s="27">
        <v>95.804537144739001</v>
      </c>
      <c r="K586" s="26">
        <v>25.12540916517737</v>
      </c>
      <c r="L586" s="26">
        <v>19.690172654245909</v>
      </c>
      <c r="M586" s="27">
        <v>44.815581819423279</v>
      </c>
      <c r="N586" s="26">
        <v>9.6324203690509673</v>
      </c>
      <c r="O586" s="26">
        <v>66.486896539954529</v>
      </c>
      <c r="P586" s="26">
        <v>10.285822184571938</v>
      </c>
      <c r="Q586" s="26">
        <v>11.593321738111886</v>
      </c>
      <c r="R586" s="26">
        <v>45.815404509114913</v>
      </c>
      <c r="S586" s="26">
        <v>33.519240548346495</v>
      </c>
      <c r="T586" s="26">
        <v>47.54945718875755</v>
      </c>
      <c r="U586" s="26">
        <v>10.20428232046015</v>
      </c>
      <c r="V586" s="27">
        <v>235.08684539836841</v>
      </c>
      <c r="W586" s="27">
        <v>385.05378596331349</v>
      </c>
      <c r="X586" s="26">
        <v>38.047431099394281</v>
      </c>
      <c r="Y586" s="28">
        <v>423.11838336787883</v>
      </c>
      <c r="Z586" s="17" t="str">
        <f>SUBSTITUTE(SUBSTITUTE(SUBSTITUTE(SUBSTITUTE(IF(E586="","",VLOOKUP(E586,[1]Esquemas_NORM!$A$2:$H$126,8,FALSE)),"PROVINCIA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86" s="17" t="str">
        <f>IF($E586="","",INDEX([1]Esquemas_NORM!$H$2:$K$126,MATCH($E586,[1]Esquemas_NORM!$A$2:$A$126,0),MATCH(AA$4,[1]Esquemas_NORM!$H$1:$K$1,0)))</f>
        <v>Región de Planeación y Gestión Aeroportuaria de Oriente</v>
      </c>
      <c r="AB586" s="17" t="str">
        <f>IF($E586="","",INDEX([1]Esquemas_NORM!$H$2:$K$126,MATCH($E586,[1]Esquemas_NORM!$A$2:$A$126,0),MATCH(AB$4,[1]Esquemas_NORM!$H$1:$K$1,0)))</f>
        <v>A la fecha no ha conformado un EAT Área Metropolitana</v>
      </c>
      <c r="AC586" s="17" t="str">
        <f>IF($E586="","",INDEX([1]Esquemas_NORM!$H$2:$K$126,MATCH($E586,[1]Esquemas_NORM!$A$2:$A$126,0),MATCH(AC$4,[1]Esquemas_NORM!$H$1:$K$1,0)))</f>
        <v>MUNICIPIOS ASOCIADOS DEL ALTIPLANO DEL ORIENTE ANTIOQUEÑO - MASORA</v>
      </c>
      <c r="AD586" s="23"/>
    </row>
    <row r="587" spans="1:30" x14ac:dyDescent="0.25">
      <c r="A587" s="24">
        <v>2019</v>
      </c>
      <c r="B587" s="25" t="s">
        <v>36</v>
      </c>
      <c r="C587" s="25" t="s">
        <v>200</v>
      </c>
      <c r="D587" s="25" t="s">
        <v>205</v>
      </c>
      <c r="E587" s="25" t="s">
        <v>224</v>
      </c>
      <c r="F587" s="25" t="s">
        <v>203</v>
      </c>
      <c r="G587" s="25" t="s">
        <v>225</v>
      </c>
      <c r="H587" s="26">
        <v>14.869289483125398</v>
      </c>
      <c r="I587" s="26">
        <v>0</v>
      </c>
      <c r="J587" s="27">
        <v>14.869289483125398</v>
      </c>
      <c r="K587" s="26">
        <v>1.1282667496534129</v>
      </c>
      <c r="L587" s="26">
        <v>5.919749250067575</v>
      </c>
      <c r="M587" s="27">
        <v>7.0480159997209881</v>
      </c>
      <c r="N587" s="26">
        <v>8.6725537687419649</v>
      </c>
      <c r="O587" s="26">
        <v>7.382835515776593</v>
      </c>
      <c r="P587" s="26">
        <v>2.3244318592206867</v>
      </c>
      <c r="Q587" s="26">
        <v>1.6666039308371665</v>
      </c>
      <c r="R587" s="26">
        <v>13.805599659433339</v>
      </c>
      <c r="S587" s="26">
        <v>6.0262409579323615</v>
      </c>
      <c r="T587" s="26">
        <v>11.726573741767337</v>
      </c>
      <c r="U587" s="26">
        <v>2.412517607906723</v>
      </c>
      <c r="V587" s="27">
        <v>54.017357041616172</v>
      </c>
      <c r="W587" s="27">
        <v>77.90812503989288</v>
      </c>
      <c r="X587" s="26">
        <v>7.6981557579612172</v>
      </c>
      <c r="Y587" s="28">
        <v>85.609754064962488</v>
      </c>
      <c r="Z587" s="17" t="str">
        <f>SUBSTITUTE(SUBSTITUTE(SUBSTITUTE(SUBSTITUTE(IF(E587="","",VLOOKUP(E587,[1]Esquemas_NORM!$A$2:$H$126,8,FALSE)),"PROVINCIA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87" s="17" t="str">
        <f>IF($E587="","",INDEX([1]Esquemas_NORM!$H$2:$K$126,MATCH($E587,[1]Esquemas_NORM!$A$2:$A$126,0),MATCH(AA$4,[1]Esquemas_NORM!$H$1:$K$1,0)))</f>
        <v>A la fecha no ha conformado un EAT Región</v>
      </c>
      <c r="AB587" s="17" t="str">
        <f>IF($E587="","",INDEX([1]Esquemas_NORM!$H$2:$K$126,MATCH($E587,[1]Esquemas_NORM!$A$2:$A$126,0),MATCH(AB$4,[1]Esquemas_NORM!$H$1:$K$1,0)))</f>
        <v>A la fecha no ha conformado un EAT Área Metropolitana</v>
      </c>
      <c r="AC587" s="17" t="str">
        <f>IF($E587="","",INDEX([1]Esquemas_NORM!$H$2:$K$126,MATCH($E587,[1]Esquemas_NORM!$A$2:$A$126,0),MATCH(AC$4,[1]Esquemas_NORM!$H$1:$K$1,0)))</f>
        <v>A la fecha no ha conformado un EAT asociación - unión</v>
      </c>
      <c r="AD587" s="23"/>
    </row>
    <row r="588" spans="1:30" x14ac:dyDescent="0.25">
      <c r="A588" s="24">
        <v>2019</v>
      </c>
      <c r="B588" s="25" t="s">
        <v>36</v>
      </c>
      <c r="C588" s="25" t="s">
        <v>200</v>
      </c>
      <c r="D588" s="25" t="s">
        <v>215</v>
      </c>
      <c r="E588" s="25" t="s">
        <v>226</v>
      </c>
      <c r="F588" s="25" t="s">
        <v>203</v>
      </c>
      <c r="G588" s="25" t="s">
        <v>227</v>
      </c>
      <c r="H588" s="26">
        <v>76.018446454660747</v>
      </c>
      <c r="I588" s="26">
        <v>0</v>
      </c>
      <c r="J588" s="27">
        <v>76.018446454660747</v>
      </c>
      <c r="K588" s="26">
        <v>533.35160276864235</v>
      </c>
      <c r="L588" s="26">
        <v>183.13229970442188</v>
      </c>
      <c r="M588" s="27">
        <v>716.48390247306429</v>
      </c>
      <c r="N588" s="26">
        <v>35.294489623151549</v>
      </c>
      <c r="O588" s="26">
        <v>137.89419770705027</v>
      </c>
      <c r="P588" s="26">
        <v>24.72442892898729</v>
      </c>
      <c r="Q588" s="26">
        <v>14.722657741677564</v>
      </c>
      <c r="R588" s="26">
        <v>98.889781095846388</v>
      </c>
      <c r="S588" s="26">
        <v>78.034347471770616</v>
      </c>
      <c r="T588" s="26">
        <v>63.676438175626508</v>
      </c>
      <c r="U588" s="26">
        <v>21.905861641294972</v>
      </c>
      <c r="V588" s="27">
        <v>475.14220238540514</v>
      </c>
      <c r="W588" s="27">
        <v>1224.221011245183</v>
      </c>
      <c r="X588" s="26">
        <v>120.96612544469271</v>
      </c>
      <c r="Y588" s="28">
        <v>1345.2417143936727</v>
      </c>
      <c r="Z588" s="17" t="str">
        <f>SUBSTITUTE(SUBSTITUTE(SUBSTITUTE(SUBSTITUTE(IF(E588="","",VLOOKUP(E588,[1]Esquemas_NORM!$A$2:$H$126,8,FALSE)),"PROVINCIA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88" s="17" t="str">
        <f>IF($E588="","",INDEX([1]Esquemas_NORM!$H$2:$K$126,MATCH($E588,[1]Esquemas_NORM!$A$2:$A$126,0),MATCH(AA$4,[1]Esquemas_NORM!$H$1:$K$1,0)))</f>
        <v>A la fecha no ha conformado un EAT Región</v>
      </c>
      <c r="AB588" s="17" t="str">
        <f>IF($E588="","",INDEX([1]Esquemas_NORM!$H$2:$K$126,MATCH($E588,[1]Esquemas_NORM!$A$2:$A$126,0),MATCH(AB$4,[1]Esquemas_NORM!$H$1:$K$1,0)))</f>
        <v>A la fecha no ha conformado un EAT Área Metropolitana</v>
      </c>
      <c r="AC588" s="17" t="str">
        <f>IF($E588="","",INDEX([1]Esquemas_NORM!$H$2:$K$126,MATCH($E588,[1]Esquemas_NORM!$A$2:$A$126,0),MATCH(AC$4,[1]Esquemas_NORM!$H$1:$K$1,0)))</f>
        <v>MUNICIPIOS ASOCIADOS DEL ALTIPLANO DEL ORIENTE ANTIOQUEÑO - MASORA</v>
      </c>
      <c r="AD588" s="23"/>
    </row>
    <row r="589" spans="1:30" x14ac:dyDescent="0.25">
      <c r="A589" s="24">
        <v>2019</v>
      </c>
      <c r="B589" s="25" t="s">
        <v>36</v>
      </c>
      <c r="C589" s="25" t="s">
        <v>200</v>
      </c>
      <c r="D589" s="25" t="s">
        <v>205</v>
      </c>
      <c r="E589" s="25" t="s">
        <v>228</v>
      </c>
      <c r="F589" s="25" t="s">
        <v>203</v>
      </c>
      <c r="G589" s="25" t="s">
        <v>229</v>
      </c>
      <c r="H589" s="26">
        <v>2.8330459163154811</v>
      </c>
      <c r="I589" s="26">
        <v>0</v>
      </c>
      <c r="J589" s="27">
        <v>2.8330459163154811</v>
      </c>
      <c r="K589" s="26">
        <v>6.3740728145780423</v>
      </c>
      <c r="L589" s="26">
        <v>21.971294072553121</v>
      </c>
      <c r="M589" s="27">
        <v>28.345366887131163</v>
      </c>
      <c r="N589" s="26">
        <v>11.707324840323523</v>
      </c>
      <c r="O589" s="26">
        <v>124.35428522112791</v>
      </c>
      <c r="P589" s="26">
        <v>10.870603717392564</v>
      </c>
      <c r="Q589" s="26">
        <v>6.5083567370694153</v>
      </c>
      <c r="R589" s="26">
        <v>50.868828041388539</v>
      </c>
      <c r="S589" s="26">
        <v>32.072117210148392</v>
      </c>
      <c r="T589" s="26">
        <v>30.842306615136788</v>
      </c>
      <c r="U589" s="26">
        <v>11.883367947825226</v>
      </c>
      <c r="V589" s="27">
        <v>279.10719033041238</v>
      </c>
      <c r="W589" s="27">
        <v>315.66552607964371</v>
      </c>
      <c r="X589" s="26">
        <v>31.191129114406177</v>
      </c>
      <c r="Y589" s="28">
        <v>346.87072806114088</v>
      </c>
      <c r="Z589" s="17" t="str">
        <f>SUBSTITUTE(SUBSTITUTE(SUBSTITUTE(SUBSTITUTE(IF(E589="","",VLOOKUP(E589,[1]Esquemas_NORM!$A$2:$H$126,8,FALSE)),"PROVINCIA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89" s="17" t="str">
        <f>IF($E589="","",INDEX([1]Esquemas_NORM!$H$2:$K$126,MATCH($E589,[1]Esquemas_NORM!$A$2:$A$126,0),MATCH(AA$4,[1]Esquemas_NORM!$H$1:$K$1,0)))</f>
        <v>A la fecha no ha conformado un EAT Región</v>
      </c>
      <c r="AB589" s="17" t="str">
        <f>IF($E589="","",INDEX([1]Esquemas_NORM!$H$2:$K$126,MATCH($E589,[1]Esquemas_NORM!$A$2:$A$126,0),MATCH(AB$4,[1]Esquemas_NORM!$H$1:$K$1,0)))</f>
        <v>A la fecha no ha conformado un EAT Área Metropolitana</v>
      </c>
      <c r="AC589" s="17" t="str">
        <f>IF($E589="","",INDEX([1]Esquemas_NORM!$H$2:$K$126,MATCH($E589,[1]Esquemas_NORM!$A$2:$A$126,0),MATCH(AC$4,[1]Esquemas_NORM!$H$1:$K$1,0)))</f>
        <v>A la fecha no ha conformado un EAT asociación - unión</v>
      </c>
      <c r="AD589" s="23"/>
    </row>
    <row r="590" spans="1:30" x14ac:dyDescent="0.25">
      <c r="A590" s="24">
        <v>2019</v>
      </c>
      <c r="B590" s="25" t="s">
        <v>36</v>
      </c>
      <c r="C590" s="25" t="s">
        <v>200</v>
      </c>
      <c r="D590" s="25" t="s">
        <v>215</v>
      </c>
      <c r="E590" s="25" t="s">
        <v>230</v>
      </c>
      <c r="F590" s="25" t="s">
        <v>203</v>
      </c>
      <c r="G590" s="25" t="s">
        <v>231</v>
      </c>
      <c r="H590" s="26">
        <v>42.369356536486194</v>
      </c>
      <c r="I590" s="26">
        <v>0.2674139813248852</v>
      </c>
      <c r="J590" s="27">
        <v>42.63677051781108</v>
      </c>
      <c r="K590" s="26">
        <v>45.113535120235532</v>
      </c>
      <c r="L590" s="26">
        <v>51.502269058535248</v>
      </c>
      <c r="M590" s="27">
        <v>96.615804178770787</v>
      </c>
      <c r="N590" s="26">
        <v>35.78222526155033</v>
      </c>
      <c r="O590" s="26">
        <v>150.70279578863034</v>
      </c>
      <c r="P590" s="26">
        <v>39.370878012286376</v>
      </c>
      <c r="Q590" s="26">
        <v>45.543427029387708</v>
      </c>
      <c r="R590" s="26">
        <v>128.71726458126102</v>
      </c>
      <c r="S590" s="26">
        <v>92.74295084717285</v>
      </c>
      <c r="T590" s="26">
        <v>96.436994377155102</v>
      </c>
      <c r="U590" s="26">
        <v>30.965756608171557</v>
      </c>
      <c r="V590" s="27">
        <v>620.26229250561528</v>
      </c>
      <c r="W590" s="27">
        <v>764.40804351717395</v>
      </c>
      <c r="X590" s="26">
        <v>75.53168785183685</v>
      </c>
      <c r="Y590" s="28">
        <v>839.97380988538634</v>
      </c>
      <c r="Z590" s="17" t="str">
        <f>SUBSTITUTE(SUBSTITUTE(SUBSTITUTE(SUBSTITUTE(IF(E590="","",VLOOKUP(E590,[1]Esquemas_NORM!$A$2:$H$126,8,FALSE)),"PROVINCIA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90" s="17" t="str">
        <f>IF($E590="","",INDEX([1]Esquemas_NORM!$H$2:$K$126,MATCH($E590,[1]Esquemas_NORM!$A$2:$A$126,0),MATCH(AA$4,[1]Esquemas_NORM!$H$1:$K$1,0)))</f>
        <v>Región de Planeación y Gestión Aeroportuaria de Oriente</v>
      </c>
      <c r="AB590" s="17" t="str">
        <f>IF($E590="","",INDEX([1]Esquemas_NORM!$H$2:$K$126,MATCH($E590,[1]Esquemas_NORM!$A$2:$A$126,0),MATCH(AB$4,[1]Esquemas_NORM!$H$1:$K$1,0)))</f>
        <v>A la fecha no ha conformado un EAT Área Metropolitana</v>
      </c>
      <c r="AC590" s="17" t="str">
        <f>IF($E590="","",INDEX([1]Esquemas_NORM!$H$2:$K$126,MATCH($E590,[1]Esquemas_NORM!$A$2:$A$126,0),MATCH(AC$4,[1]Esquemas_NORM!$H$1:$K$1,0)))</f>
        <v>MUNICIPIOS ASOCIADOS DEL ALTIPLANO DEL ORIENTE ANTIOQUEÑO - MASORA</v>
      </c>
      <c r="AD590" s="23"/>
    </row>
    <row r="591" spans="1:30" x14ac:dyDescent="0.25">
      <c r="A591" s="24">
        <v>2019</v>
      </c>
      <c r="B591" s="25" t="s">
        <v>36</v>
      </c>
      <c r="C591" s="25" t="s">
        <v>200</v>
      </c>
      <c r="D591" s="25" t="s">
        <v>215</v>
      </c>
      <c r="E591" s="25" t="s">
        <v>232</v>
      </c>
      <c r="F591" s="25" t="s">
        <v>203</v>
      </c>
      <c r="G591" s="25" t="s">
        <v>233</v>
      </c>
      <c r="H591" s="26">
        <v>26.800209699027974</v>
      </c>
      <c r="I591" s="26">
        <v>2.4658313070581625E-2</v>
      </c>
      <c r="J591" s="27">
        <v>26.824868012098555</v>
      </c>
      <c r="K591" s="26">
        <v>24.832346569387425</v>
      </c>
      <c r="L591" s="26">
        <v>10.860207048364368</v>
      </c>
      <c r="M591" s="27">
        <v>35.692553617751791</v>
      </c>
      <c r="N591" s="26">
        <v>9.8620301876040664</v>
      </c>
      <c r="O591" s="26">
        <v>51.669497461272876</v>
      </c>
      <c r="P591" s="26">
        <v>9.3846395913380434</v>
      </c>
      <c r="Q591" s="26">
        <v>9.5884529985223796</v>
      </c>
      <c r="R591" s="26">
        <v>27.509366220631133</v>
      </c>
      <c r="S591" s="26">
        <v>25.037689819193766</v>
      </c>
      <c r="T591" s="26">
        <v>28.939734107915392</v>
      </c>
      <c r="U591" s="26">
        <v>9.4197139618926204</v>
      </c>
      <c r="V591" s="27">
        <v>171.41112434837029</v>
      </c>
      <c r="W591" s="27">
        <v>236.86081883357895</v>
      </c>
      <c r="X591" s="26">
        <v>23.404381448092813</v>
      </c>
      <c r="Y591" s="28">
        <v>260.27575991060525</v>
      </c>
      <c r="Z591" s="17" t="str">
        <f>SUBSTITUTE(SUBSTITUTE(SUBSTITUTE(SUBSTITUTE(IF(E591="","",VLOOKUP(E591,[1]Esquemas_NORM!$A$2:$H$126,8,FALSE)),"PROVINCIA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591" s="17" t="str">
        <f>IF($E591="","",INDEX([1]Esquemas_NORM!$H$2:$K$126,MATCH($E591,[1]Esquemas_NORM!$A$2:$A$126,0),MATCH(AA$4,[1]Esquemas_NORM!$H$1:$K$1,0)))</f>
        <v>Región de Planeación y Gestión Aeroportuaria de Oriente</v>
      </c>
      <c r="AB591" s="17" t="str">
        <f>IF($E591="","",INDEX([1]Esquemas_NORM!$H$2:$K$126,MATCH($E591,[1]Esquemas_NORM!$A$2:$A$126,0),MATCH(AB$4,[1]Esquemas_NORM!$H$1:$K$1,0)))</f>
        <v>A la fecha no ha conformado un EAT Área Metropolitana</v>
      </c>
      <c r="AC591" s="17" t="str">
        <f>IF($E591="","",INDEX([1]Esquemas_NORM!$H$2:$K$126,MATCH($E591,[1]Esquemas_NORM!$A$2:$A$126,0),MATCH(AC$4,[1]Esquemas_NORM!$H$1:$K$1,0)))</f>
        <v>MUNICIPIOS ASOCIADOS DEL ALTIPLANO DEL ORIENTE ANTIOQUEÑO - MASORA</v>
      </c>
      <c r="AD591" s="23"/>
    </row>
    <row r="592" spans="1:30" x14ac:dyDescent="0.25">
      <c r="A592" s="24">
        <v>2019</v>
      </c>
      <c r="B592" s="25" t="s">
        <v>36</v>
      </c>
      <c r="C592" s="25" t="s">
        <v>200</v>
      </c>
      <c r="D592" s="25" t="s">
        <v>215</v>
      </c>
      <c r="E592" s="25" t="s">
        <v>234</v>
      </c>
      <c r="F592" s="25" t="s">
        <v>203</v>
      </c>
      <c r="G592" s="25" t="s">
        <v>235</v>
      </c>
      <c r="H592" s="26">
        <v>130.61898225101064</v>
      </c>
      <c r="I592" s="26">
        <v>0</v>
      </c>
      <c r="J592" s="27">
        <v>130.61898225101064</v>
      </c>
      <c r="K592" s="26">
        <v>221.74930457162074</v>
      </c>
      <c r="L592" s="26">
        <v>103.18786268605184</v>
      </c>
      <c r="M592" s="27">
        <v>324.93716725767257</v>
      </c>
      <c r="N592" s="26">
        <v>27.090887718076022</v>
      </c>
      <c r="O592" s="26">
        <v>129.64172080108497</v>
      </c>
      <c r="P592" s="26">
        <v>25.005207365780194</v>
      </c>
      <c r="Q592" s="26">
        <v>25.578681478253937</v>
      </c>
      <c r="R592" s="26">
        <v>88.82210805457602</v>
      </c>
      <c r="S592" s="26">
        <v>88.733018678049035</v>
      </c>
      <c r="T592" s="26">
        <v>111.5088655599446</v>
      </c>
      <c r="U592" s="26">
        <v>25.538706250918572</v>
      </c>
      <c r="V592" s="27">
        <v>521.91919590668329</v>
      </c>
      <c r="W592" s="27">
        <v>971.48458075491158</v>
      </c>
      <c r="X592" s="26">
        <v>95.993063820759772</v>
      </c>
      <c r="Y592" s="28">
        <v>1067.5209548907242</v>
      </c>
      <c r="Z592" s="17" t="str">
        <f>SUBSTITUTE(SUBSTITUTE(SUBSTITUTE(SUBSTITUTE(IF(E592="","",VLOOKUP(E592,[1]Esquemas_NORM!$A$2:$H$126,8,FALSE)),"PROVINCIA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92" s="17" t="str">
        <f>IF($E592="","",INDEX([1]Esquemas_NORM!$H$2:$K$126,MATCH($E592,[1]Esquemas_NORM!$A$2:$A$126,0),MATCH(AA$4,[1]Esquemas_NORM!$H$1:$K$1,0)))</f>
        <v>A la fecha no ha conformado un EAT Región</v>
      </c>
      <c r="AB592" s="17" t="str">
        <f>IF($E592="","",INDEX([1]Esquemas_NORM!$H$2:$K$126,MATCH($E592,[1]Esquemas_NORM!$A$2:$A$126,0),MATCH(AB$4,[1]Esquemas_NORM!$H$1:$K$1,0)))</f>
        <v>A la fecha no ha conformado un EAT Área Metropolitana</v>
      </c>
      <c r="AC592" s="17" t="str">
        <f>IF($E592="","",INDEX([1]Esquemas_NORM!$H$2:$K$126,MATCH($E592,[1]Esquemas_NORM!$A$2:$A$126,0),MATCH(AC$4,[1]Esquemas_NORM!$H$1:$K$1,0)))</f>
        <v>MUNICIPIOS ASOCIADOS DEL ALTIPLANO DEL ORIENTE ANTIOQUEÑO - MASORA</v>
      </c>
      <c r="AD592" s="23"/>
    </row>
    <row r="593" spans="1:30" x14ac:dyDescent="0.25">
      <c r="A593" s="24">
        <v>2019</v>
      </c>
      <c r="B593" s="25" t="s">
        <v>36</v>
      </c>
      <c r="C593" s="25" t="s">
        <v>200</v>
      </c>
      <c r="D593" s="25" t="s">
        <v>201</v>
      </c>
      <c r="E593" s="25" t="s">
        <v>236</v>
      </c>
      <c r="F593" s="25" t="s">
        <v>203</v>
      </c>
      <c r="G593" s="25" t="s">
        <v>237</v>
      </c>
      <c r="H593" s="26">
        <v>14.620107379180649</v>
      </c>
      <c r="I593" s="26">
        <v>0</v>
      </c>
      <c r="J593" s="27">
        <v>14.620107379180649</v>
      </c>
      <c r="K593" s="26">
        <v>6.2379728725806665</v>
      </c>
      <c r="L593" s="26">
        <v>5.7467897161410395</v>
      </c>
      <c r="M593" s="27">
        <v>11.984762588721706</v>
      </c>
      <c r="N593" s="26">
        <v>1.4429748885623286</v>
      </c>
      <c r="O593" s="26">
        <v>6.884739655465661</v>
      </c>
      <c r="P593" s="26">
        <v>3.1952649088007399</v>
      </c>
      <c r="Q593" s="26">
        <v>2.2124875927041816</v>
      </c>
      <c r="R593" s="26">
        <v>11.596611942923381</v>
      </c>
      <c r="S593" s="26">
        <v>9.551072959549419</v>
      </c>
      <c r="T593" s="26">
        <v>21.265965682301058</v>
      </c>
      <c r="U593" s="26">
        <v>3.0818306612730928</v>
      </c>
      <c r="V593" s="27">
        <v>59.230948291579864</v>
      </c>
      <c r="W593" s="27">
        <v>86.748525988440235</v>
      </c>
      <c r="X593" s="26">
        <v>8.5716818944182016</v>
      </c>
      <c r="Y593" s="28">
        <v>95.324075268986135</v>
      </c>
      <c r="Z593" s="17" t="str">
        <f>SUBSTITUTE(SUBSTITUTE(SUBSTITUTE(SUBSTITUTE(IF(E593="","",VLOOKUP(E593,[1]Esquemas_NORM!$A$2:$H$126,8,FALSE)),"PROVINCIA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593" s="17" t="str">
        <f>IF($E593="","",INDEX([1]Esquemas_NORM!$H$2:$K$126,MATCH($E593,[1]Esquemas_NORM!$A$2:$A$126,0),MATCH(AA$4,[1]Esquemas_NORM!$H$1:$K$1,0)))</f>
        <v>A la fecha no ha conformado un EAT Región</v>
      </c>
      <c r="AB593" s="17" t="str">
        <f>IF($E593="","",INDEX([1]Esquemas_NORM!$H$2:$K$126,MATCH($E593,[1]Esquemas_NORM!$A$2:$A$126,0),MATCH(AB$4,[1]Esquemas_NORM!$H$1:$K$1,0)))</f>
        <v>A la fecha no ha conformado un EAT Área Metropolitana</v>
      </c>
      <c r="AC593" s="17" t="str">
        <f>IF($E593="","",INDEX([1]Esquemas_NORM!$H$2:$K$126,MATCH($E593,[1]Esquemas_NORM!$A$2:$A$126,0),MATCH(AC$4,[1]Esquemas_NORM!$H$1:$K$1,0)))</f>
        <v>MUNICIPIOS UNIDOS DEL SUR DE ANTIOQUIA - MUSA</v>
      </c>
      <c r="AD593" s="23"/>
    </row>
    <row r="594" spans="1:30" x14ac:dyDescent="0.25">
      <c r="A594" s="24">
        <v>2019</v>
      </c>
      <c r="B594" s="25" t="s">
        <v>36</v>
      </c>
      <c r="C594" s="25" t="s">
        <v>200</v>
      </c>
      <c r="D594" s="25" t="s">
        <v>215</v>
      </c>
      <c r="E594" s="25" t="s">
        <v>238</v>
      </c>
      <c r="F594" s="25" t="s">
        <v>203</v>
      </c>
      <c r="G594" s="25" t="s">
        <v>239</v>
      </c>
      <c r="H594" s="26">
        <v>45.117934101113832</v>
      </c>
      <c r="I594" s="26">
        <v>1.2341810855110598</v>
      </c>
      <c r="J594" s="27">
        <v>46.352115186624893</v>
      </c>
      <c r="K594" s="26">
        <v>1429.1815929359711</v>
      </c>
      <c r="L594" s="26">
        <v>448.87023162498781</v>
      </c>
      <c r="M594" s="27">
        <v>1878.0518245609589</v>
      </c>
      <c r="N594" s="26">
        <v>86.602096796023801</v>
      </c>
      <c r="O594" s="26">
        <v>456.96012450264817</v>
      </c>
      <c r="P594" s="26">
        <v>60.129349707960344</v>
      </c>
      <c r="Q594" s="26">
        <v>74.302966630798963</v>
      </c>
      <c r="R594" s="26">
        <v>226.57000090072191</v>
      </c>
      <c r="S594" s="26">
        <v>241.10152254609312</v>
      </c>
      <c r="T594" s="26">
        <v>335.14001922824696</v>
      </c>
      <c r="U594" s="26">
        <v>49.709198369400248</v>
      </c>
      <c r="V594" s="27">
        <v>1530.5152786818935</v>
      </c>
      <c r="W594" s="27">
        <v>3334.8331851400135</v>
      </c>
      <c r="X594" s="26">
        <v>329.51717517124285</v>
      </c>
      <c r="Y594" s="28">
        <v>3664.4990324350956</v>
      </c>
      <c r="Z594" s="17" t="str">
        <f>SUBSTITUTE(SUBSTITUTE(SUBSTITUTE(SUBSTITUTE(IF(E594="","",VLOOKUP(E594,[1]Esquemas_NORM!$A$2:$H$126,8,FALSE)),"PROVINCIA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594" s="17" t="str">
        <f>IF($E594="","",INDEX([1]Esquemas_NORM!$H$2:$K$126,MATCH($E594,[1]Esquemas_NORM!$A$2:$A$126,0),MATCH(AA$4,[1]Esquemas_NORM!$H$1:$K$1,0)))</f>
        <v>Región de Planeación y Gestión Aeroportuaria de Oriente</v>
      </c>
      <c r="AB594" s="17" t="str">
        <f>IF($E594="","",INDEX([1]Esquemas_NORM!$H$2:$K$126,MATCH($E594,[1]Esquemas_NORM!$A$2:$A$126,0),MATCH(AB$4,[1]Esquemas_NORM!$H$1:$K$1,0)))</f>
        <v>A la fecha no ha conformado un EAT Área Metropolitana</v>
      </c>
      <c r="AC594" s="17" t="str">
        <f>IF($E594="","",INDEX([1]Esquemas_NORM!$H$2:$K$126,MATCH($E594,[1]Esquemas_NORM!$A$2:$A$126,0),MATCH(AC$4,[1]Esquemas_NORM!$H$1:$K$1,0)))</f>
        <v>MUNICIPIOS ASOCIADOS DEL ALTIPLANO DEL ORIENTE ANTIOQUEÑO - MASORA</v>
      </c>
      <c r="AD594" s="23"/>
    </row>
    <row r="595" spans="1:30" x14ac:dyDescent="0.25">
      <c r="A595" s="24">
        <v>2019</v>
      </c>
      <c r="B595" s="25" t="s">
        <v>36</v>
      </c>
      <c r="C595" s="25" t="s">
        <v>200</v>
      </c>
      <c r="D595" s="25" t="s">
        <v>205</v>
      </c>
      <c r="E595" s="25" t="s">
        <v>240</v>
      </c>
      <c r="F595" s="25" t="s">
        <v>203</v>
      </c>
      <c r="G595" s="25" t="s">
        <v>241</v>
      </c>
      <c r="H595" s="26">
        <v>11.506231548924235</v>
      </c>
      <c r="I595" s="26">
        <v>0.30324475561128417</v>
      </c>
      <c r="J595" s="27">
        <v>11.80947630453552</v>
      </c>
      <c r="K595" s="26">
        <v>3.7007376611604563</v>
      </c>
      <c r="L595" s="26">
        <v>58.358183134093885</v>
      </c>
      <c r="M595" s="27">
        <v>62.058920795254338</v>
      </c>
      <c r="N595" s="26">
        <v>483.49541598805212</v>
      </c>
      <c r="O595" s="26">
        <v>14.359522481202063</v>
      </c>
      <c r="P595" s="26">
        <v>3.4599770643990309</v>
      </c>
      <c r="Q595" s="26">
        <v>2.1017844800159247</v>
      </c>
      <c r="R595" s="26">
        <v>12.703745534497545</v>
      </c>
      <c r="S595" s="26">
        <v>34.044989493725105</v>
      </c>
      <c r="T595" s="26">
        <v>15.942059789039101</v>
      </c>
      <c r="U595" s="26">
        <v>3.7071621993885304</v>
      </c>
      <c r="V595" s="27">
        <v>569.81465703031949</v>
      </c>
      <c r="W595" s="27">
        <v>694.23163267841778</v>
      </c>
      <c r="X595" s="26">
        <v>68.597508125460863</v>
      </c>
      <c r="Y595" s="28">
        <v>762.86009074516096</v>
      </c>
      <c r="Z595" s="17" t="str">
        <f>SUBSTITUTE(SUBSTITUTE(SUBSTITUTE(SUBSTITUTE(IF(E595="","",VLOOKUP(E595,[1]Esquemas_NORM!$A$2:$H$126,8,FALSE)),"PROVINCIA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95" s="17" t="str">
        <f>IF($E595="","",INDEX([1]Esquemas_NORM!$H$2:$K$126,MATCH($E595,[1]Esquemas_NORM!$A$2:$A$126,0),MATCH(AA$4,[1]Esquemas_NORM!$H$1:$K$1,0)))</f>
        <v>A la fecha no ha conformado un EAT Región</v>
      </c>
      <c r="AB595" s="17" t="str">
        <f>IF($E595="","",INDEX([1]Esquemas_NORM!$H$2:$K$126,MATCH($E595,[1]Esquemas_NORM!$A$2:$A$126,0),MATCH(AB$4,[1]Esquemas_NORM!$H$1:$K$1,0)))</f>
        <v>A la fecha no ha conformado un EAT Área Metropolitana</v>
      </c>
      <c r="AC595" s="17" t="str">
        <f>IF($E595="","",INDEX([1]Esquemas_NORM!$H$2:$K$126,MATCH($E595,[1]Esquemas_NORM!$A$2:$A$126,0),MATCH(AC$4,[1]Esquemas_NORM!$H$1:$K$1,0)))</f>
        <v>A la fecha no ha conformado un EAT asociación - unión</v>
      </c>
      <c r="AD595" s="23"/>
    </row>
    <row r="596" spans="1:30" x14ac:dyDescent="0.25">
      <c r="A596" s="24">
        <v>2019</v>
      </c>
      <c r="B596" s="25" t="s">
        <v>36</v>
      </c>
      <c r="C596" s="25" t="s">
        <v>200</v>
      </c>
      <c r="D596" s="25" t="s">
        <v>210</v>
      </c>
      <c r="E596" s="25" t="s">
        <v>242</v>
      </c>
      <c r="F596" s="25" t="s">
        <v>203</v>
      </c>
      <c r="G596" s="25" t="s">
        <v>243</v>
      </c>
      <c r="H596" s="26">
        <v>4.0533478917023071</v>
      </c>
      <c r="I596" s="26">
        <v>0</v>
      </c>
      <c r="J596" s="27">
        <v>4.0533478917023071</v>
      </c>
      <c r="K596" s="26">
        <v>4.0363154079159941E-2</v>
      </c>
      <c r="L596" s="26">
        <v>5.437376391836267</v>
      </c>
      <c r="M596" s="27">
        <v>5.4777395459154272</v>
      </c>
      <c r="N596" s="26">
        <v>1.3066279246980863</v>
      </c>
      <c r="O596" s="26">
        <v>13.299694604516121</v>
      </c>
      <c r="P596" s="26">
        <v>2.0632243707923554</v>
      </c>
      <c r="Q596" s="26">
        <v>1.1994511763795916</v>
      </c>
      <c r="R596" s="26">
        <v>8.0297265639766717</v>
      </c>
      <c r="S596" s="26">
        <v>6.3659859894527724</v>
      </c>
      <c r="T596" s="26">
        <v>14.741202822673406</v>
      </c>
      <c r="U596" s="26">
        <v>2.1668952754043227</v>
      </c>
      <c r="V596" s="27">
        <v>49.172808727893333</v>
      </c>
      <c r="W596" s="27">
        <v>59.562707365839906</v>
      </c>
      <c r="X596" s="26">
        <v>5.8854323401243915</v>
      </c>
      <c r="Y596" s="28">
        <v>65.450795105414315</v>
      </c>
      <c r="Z596" s="17" t="str">
        <f>SUBSTITUTE(SUBSTITUTE(SUBSTITUTE(SUBSTITUTE(IF(E596="","",VLOOKUP(E596,[1]Esquemas_NORM!$A$2:$H$126,8,FALSE)),"PROVINCIA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96" s="17" t="str">
        <f>IF($E596="","",INDEX([1]Esquemas_NORM!$H$2:$K$126,MATCH($E596,[1]Esquemas_NORM!$A$2:$A$126,0),MATCH(AA$4,[1]Esquemas_NORM!$H$1:$K$1,0)))</f>
        <v>A la fecha no ha conformado un EAT Región</v>
      </c>
      <c r="AB596" s="17" t="str">
        <f>IF($E596="","",INDEX([1]Esquemas_NORM!$H$2:$K$126,MATCH($E596,[1]Esquemas_NORM!$A$2:$A$126,0),MATCH(AB$4,[1]Esquemas_NORM!$H$1:$K$1,0)))</f>
        <v>A la fecha no ha conformado un EAT Área Metropolitana</v>
      </c>
      <c r="AC596" s="17" t="str">
        <f>IF($E596="","",INDEX([1]Esquemas_NORM!$H$2:$K$126,MATCH($E596,[1]Esquemas_NORM!$A$2:$A$126,0),MATCH(AC$4,[1]Esquemas_NORM!$H$1:$K$1,0)))</f>
        <v>A la fecha no ha conformado un EAT asociación - unión</v>
      </c>
      <c r="AD596" s="23"/>
    </row>
    <row r="597" spans="1:30" x14ac:dyDescent="0.25">
      <c r="A597" s="24">
        <v>2019</v>
      </c>
      <c r="B597" s="25" t="s">
        <v>36</v>
      </c>
      <c r="C597" s="25" t="s">
        <v>200</v>
      </c>
      <c r="D597" s="25" t="s">
        <v>210</v>
      </c>
      <c r="E597" s="25" t="s">
        <v>244</v>
      </c>
      <c r="F597" s="25" t="s">
        <v>203</v>
      </c>
      <c r="G597" s="25" t="s">
        <v>245</v>
      </c>
      <c r="H597" s="26">
        <v>5.0537550826794746</v>
      </c>
      <c r="I597" s="26">
        <v>0.3797028486051654</v>
      </c>
      <c r="J597" s="27">
        <v>5.4334579312846403</v>
      </c>
      <c r="K597" s="26">
        <v>2.2939703681558399</v>
      </c>
      <c r="L597" s="26">
        <v>8.7452640907345085</v>
      </c>
      <c r="M597" s="27">
        <v>11.039234458890348</v>
      </c>
      <c r="N597" s="26">
        <v>3.2956285021037406</v>
      </c>
      <c r="O597" s="26">
        <v>22.293674360547655</v>
      </c>
      <c r="P597" s="26">
        <v>4.2677962271095886</v>
      </c>
      <c r="Q597" s="26">
        <v>3.1259816717084674</v>
      </c>
      <c r="R597" s="26">
        <v>11.870633923381501</v>
      </c>
      <c r="S597" s="26">
        <v>12.124306708617594</v>
      </c>
      <c r="T597" s="26">
        <v>25.418273197713436</v>
      </c>
      <c r="U597" s="26">
        <v>3.9489893161975527</v>
      </c>
      <c r="V597" s="27">
        <v>86.345283907379539</v>
      </c>
      <c r="W597" s="27">
        <v>104.14515205839038</v>
      </c>
      <c r="X597" s="26">
        <v>10.290654557169812</v>
      </c>
      <c r="Y597" s="28">
        <v>114.44044957072003</v>
      </c>
      <c r="Z597" s="17" t="str">
        <f>SUBSTITUTE(SUBSTITUTE(SUBSTITUTE(SUBSTITUTE(IF(E597="","",VLOOKUP(E597,[1]Esquemas_NORM!$A$2:$H$126,8,FALSE)),"PROVINCIA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97" s="17" t="str">
        <f>IF($E597="","",INDEX([1]Esquemas_NORM!$H$2:$K$126,MATCH($E597,[1]Esquemas_NORM!$A$2:$A$126,0),MATCH(AA$4,[1]Esquemas_NORM!$H$1:$K$1,0)))</f>
        <v>A la fecha no ha conformado un EAT Región</v>
      </c>
      <c r="AB597" s="17" t="str">
        <f>IF($E597="","",INDEX([1]Esquemas_NORM!$H$2:$K$126,MATCH($E597,[1]Esquemas_NORM!$A$2:$A$126,0),MATCH(AB$4,[1]Esquemas_NORM!$H$1:$K$1,0)))</f>
        <v>A la fecha no ha conformado un EAT Área Metropolitana</v>
      </c>
      <c r="AC597" s="17" t="str">
        <f>IF($E597="","",INDEX([1]Esquemas_NORM!$H$2:$K$126,MATCH($E597,[1]Esquemas_NORM!$A$2:$A$126,0),MATCH(AC$4,[1]Esquemas_NORM!$H$1:$K$1,0)))</f>
        <v>A la fecha no ha conformado un EAT asociación - unión</v>
      </c>
      <c r="AD597" s="23"/>
    </row>
    <row r="598" spans="1:30" x14ac:dyDescent="0.25">
      <c r="A598" s="24">
        <v>2019</v>
      </c>
      <c r="B598" s="25" t="s">
        <v>36</v>
      </c>
      <c r="C598" s="25" t="s">
        <v>200</v>
      </c>
      <c r="D598" s="25" t="s">
        <v>205</v>
      </c>
      <c r="E598" s="25" t="s">
        <v>246</v>
      </c>
      <c r="F598" s="25" t="s">
        <v>203</v>
      </c>
      <c r="G598" s="25" t="s">
        <v>247</v>
      </c>
      <c r="H598" s="26">
        <v>9.6167000838028525</v>
      </c>
      <c r="I598" s="26">
        <v>0</v>
      </c>
      <c r="J598" s="27">
        <v>9.6167000838028525</v>
      </c>
      <c r="K598" s="26">
        <v>3.2273417582588264</v>
      </c>
      <c r="L598" s="26">
        <v>15.316096628855256</v>
      </c>
      <c r="M598" s="27">
        <v>18.543438387114083</v>
      </c>
      <c r="N598" s="26">
        <v>104.44684143987607</v>
      </c>
      <c r="O598" s="26">
        <v>9.9963919679756419</v>
      </c>
      <c r="P598" s="26">
        <v>1.9406994709399732</v>
      </c>
      <c r="Q598" s="26">
        <v>1.2600004933098456</v>
      </c>
      <c r="R598" s="26">
        <v>7.7152882292346616</v>
      </c>
      <c r="S598" s="26">
        <v>11.218305262209631</v>
      </c>
      <c r="T598" s="26">
        <v>10.702368322676321</v>
      </c>
      <c r="U598" s="26">
        <v>2.1847634920098566</v>
      </c>
      <c r="V598" s="27">
        <v>149.46465867823198</v>
      </c>
      <c r="W598" s="27">
        <v>189.13389424135522</v>
      </c>
      <c r="X598" s="26">
        <v>18.688450995766139</v>
      </c>
      <c r="Y598" s="28">
        <v>207.83077712447098</v>
      </c>
      <c r="Z598" s="17" t="str">
        <f>SUBSTITUTE(SUBSTITUTE(SUBSTITUTE(SUBSTITUTE(IF(E598="","",VLOOKUP(E598,[1]Esquemas_NORM!$A$2:$H$126,8,FALSE)),"PROVINCIA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98" s="17" t="str">
        <f>IF($E598="","",INDEX([1]Esquemas_NORM!$H$2:$K$126,MATCH($E598,[1]Esquemas_NORM!$A$2:$A$126,0),MATCH(AA$4,[1]Esquemas_NORM!$H$1:$K$1,0)))</f>
        <v>A la fecha no ha conformado un EAT Región</v>
      </c>
      <c r="AB598" s="17" t="str">
        <f>IF($E598="","",INDEX([1]Esquemas_NORM!$H$2:$K$126,MATCH($E598,[1]Esquemas_NORM!$A$2:$A$126,0),MATCH(AB$4,[1]Esquemas_NORM!$H$1:$K$1,0)))</f>
        <v>A la fecha no ha conformado un EAT Área Metropolitana</v>
      </c>
      <c r="AC598" s="17" t="str">
        <f>IF($E598="","",INDEX([1]Esquemas_NORM!$H$2:$K$126,MATCH($E598,[1]Esquemas_NORM!$A$2:$A$126,0),MATCH(AC$4,[1]Esquemas_NORM!$H$1:$K$1,0)))</f>
        <v>A la fecha no ha conformado un EAT asociación - unión</v>
      </c>
      <c r="AD598" s="23"/>
    </row>
    <row r="599" spans="1:30" x14ac:dyDescent="0.25">
      <c r="A599" s="24">
        <v>2019</v>
      </c>
      <c r="B599" s="25" t="s">
        <v>36</v>
      </c>
      <c r="C599" s="25" t="s">
        <v>200</v>
      </c>
      <c r="D599" s="25" t="s">
        <v>215</v>
      </c>
      <c r="E599" s="25" t="s">
        <v>248</v>
      </c>
      <c r="F599" s="25" t="s">
        <v>203</v>
      </c>
      <c r="G599" s="25" t="s">
        <v>249</v>
      </c>
      <c r="H599" s="26">
        <v>78.888476398556648</v>
      </c>
      <c r="I599" s="26">
        <v>1.1758144476680782E-2</v>
      </c>
      <c r="J599" s="27">
        <v>78.900234543033335</v>
      </c>
      <c r="K599" s="26">
        <v>4.0434720258246584</v>
      </c>
      <c r="L599" s="26">
        <v>17.347468920484989</v>
      </c>
      <c r="M599" s="27">
        <v>21.390940946309648</v>
      </c>
      <c r="N599" s="26">
        <v>3.9837067984598686</v>
      </c>
      <c r="O599" s="26">
        <v>30.281638408525193</v>
      </c>
      <c r="P599" s="26">
        <v>6.1407176893837079</v>
      </c>
      <c r="Q599" s="26">
        <v>3.5143319977899465</v>
      </c>
      <c r="R599" s="26">
        <v>28.080670010234222</v>
      </c>
      <c r="S599" s="26">
        <v>16.934366946007909</v>
      </c>
      <c r="T599" s="26">
        <v>34.32664411025862</v>
      </c>
      <c r="U599" s="26">
        <v>7.3676413846709954</v>
      </c>
      <c r="V599" s="27">
        <v>130.62971734533048</v>
      </c>
      <c r="W599" s="27">
        <v>238.45756623799303</v>
      </c>
      <c r="X599" s="26">
        <v>23.562157164279572</v>
      </c>
      <c r="Y599" s="28">
        <v>262.03035421672399</v>
      </c>
      <c r="Z599" s="17" t="str">
        <f>SUBSTITUTE(SUBSTITUTE(SUBSTITUTE(SUBSTITUTE(IF(E599="","",VLOOKUP(E599,[1]Esquemas_NORM!$A$2:$H$126,8,FALSE)),"PROVINCIA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599" s="17" t="str">
        <f>IF($E599="","",INDEX([1]Esquemas_NORM!$H$2:$K$126,MATCH($E599,[1]Esquemas_NORM!$A$2:$A$126,0),MATCH(AA$4,[1]Esquemas_NORM!$H$1:$K$1,0)))</f>
        <v>A la fecha no ha conformado un EAT Región</v>
      </c>
      <c r="AB599" s="17" t="str">
        <f>IF($E599="","",INDEX([1]Esquemas_NORM!$H$2:$K$126,MATCH($E599,[1]Esquemas_NORM!$A$2:$A$126,0),MATCH(AB$4,[1]Esquemas_NORM!$H$1:$K$1,0)))</f>
        <v>A la fecha no ha conformado un EAT Área Metropolitana</v>
      </c>
      <c r="AC599" s="17" t="str">
        <f>IF($E599="","",INDEX([1]Esquemas_NORM!$H$2:$K$126,MATCH($E599,[1]Esquemas_NORM!$A$2:$A$126,0),MATCH(AC$4,[1]Esquemas_NORM!$H$1:$K$1,0)))</f>
        <v>MUNICIPIOS ASOCIADOS DEL ALTIPLANO DEL ORIENTE ANTIOQUEÑO - MASORA</v>
      </c>
      <c r="AD599" s="23"/>
    </row>
    <row r="600" spans="1:30" x14ac:dyDescent="0.25">
      <c r="A600" s="24">
        <v>2019</v>
      </c>
      <c r="B600" s="25" t="s">
        <v>36</v>
      </c>
      <c r="C600" s="25" t="s">
        <v>200</v>
      </c>
      <c r="D600" s="25" t="s">
        <v>201</v>
      </c>
      <c r="E600" s="25" t="s">
        <v>250</v>
      </c>
      <c r="F600" s="25" t="s">
        <v>203</v>
      </c>
      <c r="G600" s="25" t="s">
        <v>251</v>
      </c>
      <c r="H600" s="26">
        <v>351.82287721833461</v>
      </c>
      <c r="I600" s="26">
        <v>24.753437238241727</v>
      </c>
      <c r="J600" s="27">
        <v>376.57631445657631</v>
      </c>
      <c r="K600" s="26">
        <v>302.58217902240415</v>
      </c>
      <c r="L600" s="26">
        <v>28.197730015800261</v>
      </c>
      <c r="M600" s="27">
        <v>330.77990903820444</v>
      </c>
      <c r="N600" s="26">
        <v>32.508538249925259</v>
      </c>
      <c r="O600" s="26">
        <v>49.761760615531138</v>
      </c>
      <c r="P600" s="26">
        <v>11.1023263884793</v>
      </c>
      <c r="Q600" s="26">
        <v>9.0030760140896451</v>
      </c>
      <c r="R600" s="26">
        <v>35.284588835952349</v>
      </c>
      <c r="S600" s="26">
        <v>64.283687772234614</v>
      </c>
      <c r="T600" s="26">
        <v>60.92558860874869</v>
      </c>
      <c r="U600" s="26">
        <v>9.8889302053211185</v>
      </c>
      <c r="V600" s="27">
        <v>272.75849669028207</v>
      </c>
      <c r="W600" s="27">
        <v>997.24902061034163</v>
      </c>
      <c r="X600" s="26">
        <v>98.538865955273067</v>
      </c>
      <c r="Y600" s="28">
        <v>1095.8323455000377</v>
      </c>
      <c r="Z600" s="17" t="str">
        <f>SUBSTITUTE(SUBSTITUTE(SUBSTITUTE(SUBSTITUTE(IF(E600="","",VLOOKUP(E600,[1]Esquemas_NORM!$A$2:$H$126,8,FALSE)),"PROVINCIA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600" s="17" t="str">
        <f>IF($E600="","",INDEX([1]Esquemas_NORM!$H$2:$K$126,MATCH($E600,[1]Esquemas_NORM!$A$2:$A$126,0),MATCH(AA$4,[1]Esquemas_NORM!$H$1:$K$1,0)))</f>
        <v>A la fecha no ha conformado un EAT Región</v>
      </c>
      <c r="AB600" s="17" t="str">
        <f>IF($E600="","",INDEX([1]Esquemas_NORM!$H$2:$K$126,MATCH($E600,[1]Esquemas_NORM!$A$2:$A$126,0),MATCH(AB$4,[1]Esquemas_NORM!$H$1:$K$1,0)))</f>
        <v>A la fecha no ha conformado un EAT Área Metropolitana</v>
      </c>
      <c r="AC600" s="17" t="str">
        <f>IF($E600="","",INDEX([1]Esquemas_NORM!$H$2:$K$126,MATCH($E600,[1]Esquemas_NORM!$A$2:$A$126,0),MATCH(AC$4,[1]Esquemas_NORM!$H$1:$K$1,0)))</f>
        <v>A la fecha no ha conformado un EAT asociación - unión</v>
      </c>
      <c r="AD600" s="23"/>
    </row>
    <row r="601" spans="1:30" x14ac:dyDescent="0.25">
      <c r="A601" s="24">
        <v>2019</v>
      </c>
      <c r="B601" s="25" t="s">
        <v>36</v>
      </c>
      <c r="C601" s="25" t="s">
        <v>252</v>
      </c>
      <c r="D601" s="25" t="s">
        <v>253</v>
      </c>
      <c r="E601" s="25" t="s">
        <v>254</v>
      </c>
      <c r="F601" s="25" t="s">
        <v>255</v>
      </c>
      <c r="G601" s="25" t="s">
        <v>256</v>
      </c>
      <c r="H601" s="26">
        <v>36.167736823118581</v>
      </c>
      <c r="I601" s="26">
        <v>8.0383273468067582</v>
      </c>
      <c r="J601" s="27">
        <v>44.206064169925341</v>
      </c>
      <c r="K601" s="26">
        <v>144.39845455295247</v>
      </c>
      <c r="L601" s="26">
        <v>53.767325610573423</v>
      </c>
      <c r="M601" s="27">
        <v>198.16578016352588</v>
      </c>
      <c r="N601" s="26">
        <v>17.498248530617396</v>
      </c>
      <c r="O601" s="26">
        <v>54.430517621098964</v>
      </c>
      <c r="P601" s="26">
        <v>10.139291398826742</v>
      </c>
      <c r="Q601" s="26">
        <v>7.942453931698906</v>
      </c>
      <c r="R601" s="26">
        <v>27.196148003895608</v>
      </c>
      <c r="S601" s="26">
        <v>41.455523305390649</v>
      </c>
      <c r="T601" s="26">
        <v>46.781820041129343</v>
      </c>
      <c r="U601" s="26">
        <v>12.228214821375527</v>
      </c>
      <c r="V601" s="27">
        <v>217.67221765403315</v>
      </c>
      <c r="W601" s="27">
        <v>453.41256168779512</v>
      </c>
      <c r="X601" s="26">
        <v>44.802009042093985</v>
      </c>
      <c r="Y601" s="28">
        <v>498.23478457711298</v>
      </c>
      <c r="Z601" s="17" t="str">
        <f>SUBSTITUTE(SUBSTITUTE(SUBSTITUTE(SUBSTITUTE(IF(E601="","",VLOOKUP(E601,[1]Esquemas_NORM!$A$2:$H$126,8,FALSE)),"PROVINCIA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601" s="17" t="str">
        <f>IF($E601="","",INDEX([1]Esquemas_NORM!$H$2:$K$126,MATCH($E601,[1]Esquemas_NORM!$A$2:$A$126,0),MATCH(AA$4,[1]Esquemas_NORM!$H$1:$K$1,0)))</f>
        <v>A la fecha no ha conformado un EAT Región</v>
      </c>
      <c r="AB601" s="17" t="str">
        <f>IF($E601="","",INDEX([1]Esquemas_NORM!$H$2:$K$126,MATCH($E601,[1]Esquemas_NORM!$A$2:$A$126,0),MATCH(AB$4,[1]Esquemas_NORM!$H$1:$K$1,0)))</f>
        <v>A la fecha no ha conformado un EAT Área Metropolitana</v>
      </c>
      <c r="AC601" s="17" t="str">
        <f>IF($E601="","",INDEX([1]Esquemas_NORM!$H$2:$K$126,MATCH($E601,[1]Esquemas_NORM!$A$2:$A$126,0),MATCH(AC$4,[1]Esquemas_NORM!$H$1:$K$1,0)))</f>
        <v>A la fecha no ha conformado un EAT asociación - unión</v>
      </c>
      <c r="AD601" s="23"/>
    </row>
    <row r="602" spans="1:30" x14ac:dyDescent="0.25">
      <c r="A602" s="24">
        <v>2019</v>
      </c>
      <c r="B602" s="25" t="s">
        <v>36</v>
      </c>
      <c r="C602" s="25" t="s">
        <v>252</v>
      </c>
      <c r="D602" s="25" t="s">
        <v>257</v>
      </c>
      <c r="E602" s="25" t="s">
        <v>258</v>
      </c>
      <c r="F602" s="25" t="s">
        <v>255</v>
      </c>
      <c r="G602" s="25" t="s">
        <v>259</v>
      </c>
      <c r="H602" s="26">
        <v>103.33076185687852</v>
      </c>
      <c r="I602" s="26">
        <v>1.9431861197593965</v>
      </c>
      <c r="J602" s="27">
        <v>105.27394797663793</v>
      </c>
      <c r="K602" s="26">
        <v>71.469464593006833</v>
      </c>
      <c r="L602" s="26">
        <v>83.275384553178995</v>
      </c>
      <c r="M602" s="27">
        <v>154.74484914618583</v>
      </c>
      <c r="N602" s="26">
        <v>13.848166388429801</v>
      </c>
      <c r="O602" s="26">
        <v>81.633383695739809</v>
      </c>
      <c r="P602" s="26">
        <v>16.77848336881134</v>
      </c>
      <c r="Q602" s="26">
        <v>21.983775874064779</v>
      </c>
      <c r="R602" s="26">
        <v>35.381877187557699</v>
      </c>
      <c r="S602" s="26">
        <v>44.742861345130649</v>
      </c>
      <c r="T602" s="26">
        <v>81.549586562644123</v>
      </c>
      <c r="U602" s="26">
        <v>14.799348194481807</v>
      </c>
      <c r="V602" s="27">
        <v>310.71748261686002</v>
      </c>
      <c r="W602" s="27">
        <v>573.80545968144224</v>
      </c>
      <c r="X602" s="26">
        <v>56.698114620713397</v>
      </c>
      <c r="Y602" s="28">
        <v>630.5291554546825</v>
      </c>
      <c r="Z602" s="17" t="str">
        <f>SUBSTITUTE(SUBSTITUTE(SUBSTITUTE(SUBSTITUTE(IF(E602="","",VLOOKUP(E602,[1]Esquemas_NORM!$A$2:$H$126,8,FALSE)),"PROVINCIA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602" s="17" t="str">
        <f>IF($E602="","",INDEX([1]Esquemas_NORM!$H$2:$K$126,MATCH($E602,[1]Esquemas_NORM!$A$2:$A$126,0),MATCH(AA$4,[1]Esquemas_NORM!$H$1:$K$1,0)))</f>
        <v>A la fecha no ha conformado un EAT Región</v>
      </c>
      <c r="AB602" s="17" t="str">
        <f>IF($E602="","",INDEX([1]Esquemas_NORM!$H$2:$K$126,MATCH($E602,[1]Esquemas_NORM!$A$2:$A$126,0),MATCH(AB$4,[1]Esquemas_NORM!$H$1:$K$1,0)))</f>
        <v>A la fecha no ha conformado un EAT Área Metropolitana</v>
      </c>
      <c r="AC602" s="17" t="str">
        <f>IF($E602="","",INDEX([1]Esquemas_NORM!$H$2:$K$126,MATCH($E602,[1]Esquemas_NORM!$A$2:$A$126,0),MATCH(AC$4,[1]Esquemas_NORM!$H$1:$K$1,0)))</f>
        <v>A la fecha no ha conformado un EAT asociación - unión</v>
      </c>
      <c r="AD602" s="23"/>
    </row>
    <row r="603" spans="1:30" x14ac:dyDescent="0.25">
      <c r="A603" s="24">
        <v>2019</v>
      </c>
      <c r="B603" s="25" t="s">
        <v>36</v>
      </c>
      <c r="C603" s="25" t="s">
        <v>252</v>
      </c>
      <c r="D603" s="25" t="s">
        <v>253</v>
      </c>
      <c r="E603" s="25" t="s">
        <v>260</v>
      </c>
      <c r="F603" s="25" t="s">
        <v>255</v>
      </c>
      <c r="G603" s="25" t="s">
        <v>261</v>
      </c>
      <c r="H603" s="26">
        <v>20.98589597137174</v>
      </c>
      <c r="I603" s="26">
        <v>0.51627780511862431</v>
      </c>
      <c r="J603" s="27">
        <v>21.502173776490363</v>
      </c>
      <c r="K603" s="26">
        <v>4.5117724531127701</v>
      </c>
      <c r="L603" s="26">
        <v>1.9893178318864195</v>
      </c>
      <c r="M603" s="27">
        <v>6.5010902849991901</v>
      </c>
      <c r="N603" s="26">
        <v>3.8801889375768863</v>
      </c>
      <c r="O603" s="26">
        <v>8.2490126102151766</v>
      </c>
      <c r="P603" s="26">
        <v>2.0443547043010644</v>
      </c>
      <c r="Q603" s="26">
        <v>1.185376500784922</v>
      </c>
      <c r="R603" s="26">
        <v>5.49607574076862</v>
      </c>
      <c r="S603" s="26">
        <v>6.9414570845604127</v>
      </c>
      <c r="T603" s="26">
        <v>9.4145918048259993</v>
      </c>
      <c r="U603" s="26">
        <v>2.7220063101908911</v>
      </c>
      <c r="V603" s="27">
        <v>39.933063693223971</v>
      </c>
      <c r="W603" s="27">
        <v>70.33580486639444</v>
      </c>
      <c r="X603" s="26">
        <v>6.9499295605660079</v>
      </c>
      <c r="Y603" s="28">
        <v>77.288870108090734</v>
      </c>
      <c r="Z603" s="17" t="str">
        <f>SUBSTITUTE(SUBSTITUTE(SUBSTITUTE(SUBSTITUTE(IF(E603="","",VLOOKUP(E603,[1]Esquemas_NORM!$A$2:$H$126,8,FALSE)),"PROVINCIA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603" s="17" t="str">
        <f>IF($E603="","",INDEX([1]Esquemas_NORM!$H$2:$K$126,MATCH($E603,[1]Esquemas_NORM!$A$2:$A$126,0),MATCH(AA$4,[1]Esquemas_NORM!$H$1:$K$1,0)))</f>
        <v>A la fecha no ha conformado un EAT Región</v>
      </c>
      <c r="AB603" s="17" t="str">
        <f>IF($E603="","",INDEX([1]Esquemas_NORM!$H$2:$K$126,MATCH($E603,[1]Esquemas_NORM!$A$2:$A$126,0),MATCH(AB$4,[1]Esquemas_NORM!$H$1:$K$1,0)))</f>
        <v>A la fecha no ha conformado un EAT Área Metropolitana</v>
      </c>
      <c r="AC603" s="17" t="str">
        <f>IF($E603="","",INDEX([1]Esquemas_NORM!$H$2:$K$126,MATCH($E603,[1]Esquemas_NORM!$A$2:$A$126,0),MATCH(AC$4,[1]Esquemas_NORM!$H$1:$K$1,0)))</f>
        <v>A la fecha no ha conformado un EAT asociación - unión</v>
      </c>
      <c r="AD603" s="23"/>
    </row>
    <row r="604" spans="1:30" x14ac:dyDescent="0.25">
      <c r="A604" s="24">
        <v>2019</v>
      </c>
      <c r="B604" s="25" t="s">
        <v>36</v>
      </c>
      <c r="C604" s="25" t="s">
        <v>252</v>
      </c>
      <c r="D604" s="25" t="s">
        <v>257</v>
      </c>
      <c r="E604" s="25" t="s">
        <v>262</v>
      </c>
      <c r="F604" s="25" t="s">
        <v>255</v>
      </c>
      <c r="G604" s="25" t="s">
        <v>263</v>
      </c>
      <c r="H604" s="26">
        <v>54.175858178618668</v>
      </c>
      <c r="I604" s="26">
        <v>0</v>
      </c>
      <c r="J604" s="27">
        <v>54.175858178618668</v>
      </c>
      <c r="K604" s="26">
        <v>9.2453228946606618</v>
      </c>
      <c r="L604" s="26">
        <v>3.8566228867837062</v>
      </c>
      <c r="M604" s="27">
        <v>13.101945781444368</v>
      </c>
      <c r="N604" s="26">
        <v>2.6680741276785711</v>
      </c>
      <c r="O604" s="26">
        <v>15.20162185762516</v>
      </c>
      <c r="P604" s="26">
        <v>3.7514199070844656</v>
      </c>
      <c r="Q604" s="26">
        <v>1.8715656009367057</v>
      </c>
      <c r="R604" s="26">
        <v>8.1088029178220431</v>
      </c>
      <c r="S604" s="26">
        <v>10.688843875727578</v>
      </c>
      <c r="T604" s="26">
        <v>23.067179415360968</v>
      </c>
      <c r="U604" s="26">
        <v>3.6898059064607143</v>
      </c>
      <c r="V604" s="27">
        <v>69.047313608696214</v>
      </c>
      <c r="W604" s="27">
        <v>141.61441439571303</v>
      </c>
      <c r="X604" s="26">
        <v>13.993018302421055</v>
      </c>
      <c r="Y604" s="28">
        <v>155.61374609211367</v>
      </c>
      <c r="Z604" s="17" t="str">
        <f>SUBSTITUTE(SUBSTITUTE(SUBSTITUTE(SUBSTITUTE(IF(E604="","",VLOOKUP(E604,[1]Esquemas_NORM!$A$2:$H$126,8,FALSE)),"PROVINCIA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604" s="17" t="str">
        <f>IF($E604="","",INDEX([1]Esquemas_NORM!$H$2:$K$126,MATCH($E604,[1]Esquemas_NORM!$A$2:$A$126,0),MATCH(AA$4,[1]Esquemas_NORM!$H$1:$K$1,0)))</f>
        <v>A la fecha no ha conformado un EAT Región</v>
      </c>
      <c r="AB604" s="17" t="str">
        <f>IF($E604="","",INDEX([1]Esquemas_NORM!$H$2:$K$126,MATCH($E604,[1]Esquemas_NORM!$A$2:$A$126,0),MATCH(AB$4,[1]Esquemas_NORM!$H$1:$K$1,0)))</f>
        <v>A la fecha no ha conformado un EAT Área Metropolitana</v>
      </c>
      <c r="AC604" s="17" t="str">
        <f>IF($E604="","",INDEX([1]Esquemas_NORM!$H$2:$K$126,MATCH($E604,[1]Esquemas_NORM!$A$2:$A$126,0),MATCH(AC$4,[1]Esquemas_NORM!$H$1:$K$1,0)))</f>
        <v>A la fecha no ha conformado un EAT asociación - unión</v>
      </c>
      <c r="AD604" s="23"/>
    </row>
    <row r="605" spans="1:30" x14ac:dyDescent="0.25">
      <c r="A605" s="24">
        <v>2019</v>
      </c>
      <c r="B605" s="25" t="s">
        <v>36</v>
      </c>
      <c r="C605" s="25" t="s">
        <v>252</v>
      </c>
      <c r="D605" s="25" t="s">
        <v>264</v>
      </c>
      <c r="E605" s="25" t="s">
        <v>265</v>
      </c>
      <c r="F605" s="25" t="s">
        <v>255</v>
      </c>
      <c r="G605" s="25" t="s">
        <v>266</v>
      </c>
      <c r="H605" s="26">
        <v>75.13013012274655</v>
      </c>
      <c r="I605" s="26">
        <v>0</v>
      </c>
      <c r="J605" s="27">
        <v>75.13013012274655</v>
      </c>
      <c r="K605" s="26">
        <v>6.689851687881462</v>
      </c>
      <c r="L605" s="26">
        <v>11.020028096828604</v>
      </c>
      <c r="M605" s="27">
        <v>17.709879784710065</v>
      </c>
      <c r="N605" s="26">
        <v>3.2619632222484549</v>
      </c>
      <c r="O605" s="26">
        <v>23.554972708736376</v>
      </c>
      <c r="P605" s="26">
        <v>4.8247371749637553</v>
      </c>
      <c r="Q605" s="26">
        <v>3.721873342334062</v>
      </c>
      <c r="R605" s="26">
        <v>11.180571112487449</v>
      </c>
      <c r="S605" s="26">
        <v>13.586049245269415</v>
      </c>
      <c r="T605" s="26">
        <v>31.062442040000196</v>
      </c>
      <c r="U605" s="26">
        <v>4.7120512079213253</v>
      </c>
      <c r="V605" s="27">
        <v>95.904660053961024</v>
      </c>
      <c r="W605" s="27">
        <v>196.1720006991238</v>
      </c>
      <c r="X605" s="26">
        <v>19.383891166154715</v>
      </c>
      <c r="Y605" s="28">
        <v>215.56463752251591</v>
      </c>
      <c r="Z605" s="17" t="str">
        <f>SUBSTITUTE(SUBSTITUTE(SUBSTITUTE(SUBSTITUTE(IF(E605="","",VLOOKUP(E605,[1]Esquemas_NORM!$A$2:$H$126,8,FALSE)),"PROVINCIA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605" s="17" t="str">
        <f>IF($E605="","",INDEX([1]Esquemas_NORM!$H$2:$K$126,MATCH($E605,[1]Esquemas_NORM!$A$2:$A$126,0),MATCH(AA$4,[1]Esquemas_NORM!$H$1:$K$1,0)))</f>
        <v>A la fecha no ha conformado un EAT Región</v>
      </c>
      <c r="AB605" s="17" t="str">
        <f>IF($E605="","",INDEX([1]Esquemas_NORM!$H$2:$K$126,MATCH($E605,[1]Esquemas_NORM!$A$2:$A$126,0),MATCH(AB$4,[1]Esquemas_NORM!$H$1:$K$1,0)))</f>
        <v>A la fecha no ha conformado un EAT Área Metropolitana</v>
      </c>
      <c r="AC605" s="17" t="str">
        <f>IF($E605="","",INDEX([1]Esquemas_NORM!$H$2:$K$126,MATCH($E605,[1]Esquemas_NORM!$A$2:$A$126,0),MATCH(AC$4,[1]Esquemas_NORM!$H$1:$K$1,0)))</f>
        <v>A la fecha no ha conformado un EAT asociación - unión</v>
      </c>
      <c r="AD605" s="23"/>
    </row>
    <row r="606" spans="1:30" x14ac:dyDescent="0.25">
      <c r="A606" s="24">
        <v>2019</v>
      </c>
      <c r="B606" s="25" t="s">
        <v>36</v>
      </c>
      <c r="C606" s="25" t="s">
        <v>252</v>
      </c>
      <c r="D606" s="25" t="s">
        <v>267</v>
      </c>
      <c r="E606" s="25" t="s">
        <v>268</v>
      </c>
      <c r="F606" s="25" t="s">
        <v>255</v>
      </c>
      <c r="G606" s="25" t="s">
        <v>269</v>
      </c>
      <c r="H606" s="26">
        <v>11.566028694170361</v>
      </c>
      <c r="I606" s="26">
        <v>0</v>
      </c>
      <c r="J606" s="27">
        <v>11.566028694170361</v>
      </c>
      <c r="K606" s="26">
        <v>2.1214258955589647</v>
      </c>
      <c r="L606" s="26">
        <v>3.1181171148479634</v>
      </c>
      <c r="M606" s="27">
        <v>5.239543010406928</v>
      </c>
      <c r="N606" s="26">
        <v>1.200493705176038</v>
      </c>
      <c r="O606" s="26">
        <v>8.4382167770476855</v>
      </c>
      <c r="P606" s="26">
        <v>1.7486271520294836</v>
      </c>
      <c r="Q606" s="26">
        <v>1.3268423385622665</v>
      </c>
      <c r="R606" s="26">
        <v>3.7994537102349617</v>
      </c>
      <c r="S606" s="26">
        <v>5.6936270187705684</v>
      </c>
      <c r="T606" s="26">
        <v>12.275356111105406</v>
      </c>
      <c r="U606" s="26">
        <v>1.7086597857253489</v>
      </c>
      <c r="V606" s="27">
        <v>36.191276598651761</v>
      </c>
      <c r="W606" s="27">
        <v>54.340254285943153</v>
      </c>
      <c r="X606" s="26">
        <v>5.3693981366661063</v>
      </c>
      <c r="Y606" s="28">
        <v>59.712074996862896</v>
      </c>
      <c r="Z606" s="17" t="str">
        <f>SUBSTITUTE(SUBSTITUTE(SUBSTITUTE(SUBSTITUTE(IF(E606="","",VLOOKUP(E606,[1]Esquemas_NORM!$A$2:$H$126,8,FALSE)),"PROVINCIA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06" s="17" t="str">
        <f>IF($E606="","",INDEX([1]Esquemas_NORM!$H$2:$K$126,MATCH($E606,[1]Esquemas_NORM!$A$2:$A$126,0),MATCH(AA$4,[1]Esquemas_NORM!$H$1:$K$1,0)))</f>
        <v>A la fecha no ha conformado un EAT Región</v>
      </c>
      <c r="AB606" s="17" t="str">
        <f>IF($E606="","",INDEX([1]Esquemas_NORM!$H$2:$K$126,MATCH($E606,[1]Esquemas_NORM!$A$2:$A$126,0),MATCH(AB$4,[1]Esquemas_NORM!$H$1:$K$1,0)))</f>
        <v>A la fecha no ha conformado un EAT Área Metropolitana</v>
      </c>
      <c r="AC606" s="17" t="str">
        <f>IF($E606="","",INDEX([1]Esquemas_NORM!$H$2:$K$126,MATCH($E606,[1]Esquemas_NORM!$A$2:$A$126,0),MATCH(AC$4,[1]Esquemas_NORM!$H$1:$K$1,0)))</f>
        <v>A la fecha no ha conformado un EAT asociación - unión</v>
      </c>
      <c r="AD606" s="23"/>
    </row>
    <row r="607" spans="1:30" x14ac:dyDescent="0.25">
      <c r="A607" s="24">
        <v>2019</v>
      </c>
      <c r="B607" s="25" t="s">
        <v>36</v>
      </c>
      <c r="C607" s="25" t="s">
        <v>252</v>
      </c>
      <c r="D607" s="25" t="s">
        <v>257</v>
      </c>
      <c r="E607" s="25" t="s">
        <v>270</v>
      </c>
      <c r="F607" s="25" t="s">
        <v>255</v>
      </c>
      <c r="G607" s="25" t="s">
        <v>271</v>
      </c>
      <c r="H607" s="26">
        <v>70.278221733268623</v>
      </c>
      <c r="I607" s="26">
        <v>0</v>
      </c>
      <c r="J607" s="27">
        <v>70.278221733268623</v>
      </c>
      <c r="K607" s="26">
        <v>8.0068763851806857</v>
      </c>
      <c r="L607" s="26">
        <v>18.825002034806527</v>
      </c>
      <c r="M607" s="27">
        <v>26.831878419987213</v>
      </c>
      <c r="N607" s="26">
        <v>7.4870598254668721</v>
      </c>
      <c r="O607" s="26">
        <v>49.224064531757321</v>
      </c>
      <c r="P607" s="26">
        <v>9.1023380271384635</v>
      </c>
      <c r="Q607" s="26">
        <v>12.057586769768442</v>
      </c>
      <c r="R607" s="26">
        <v>23.444327164585701</v>
      </c>
      <c r="S607" s="26">
        <v>27.074505944503176</v>
      </c>
      <c r="T607" s="26">
        <v>57.373729100783798</v>
      </c>
      <c r="U607" s="26">
        <v>9.0223418105786788</v>
      </c>
      <c r="V607" s="27">
        <v>194.78595317458246</v>
      </c>
      <c r="W607" s="27">
        <v>299.86228687343896</v>
      </c>
      <c r="X607" s="26">
        <v>29.629600110493474</v>
      </c>
      <c r="Y607" s="28">
        <v>329.50525531769108</v>
      </c>
      <c r="Z607" s="17" t="str">
        <f>SUBSTITUTE(SUBSTITUTE(SUBSTITUTE(SUBSTITUTE(IF(E607="","",VLOOKUP(E607,[1]Esquemas_NORM!$A$2:$H$126,8,FALSE)),"PROVINCIA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607" s="17" t="str">
        <f>IF($E607="","",INDEX([1]Esquemas_NORM!$H$2:$K$126,MATCH($E607,[1]Esquemas_NORM!$A$2:$A$126,0),MATCH(AA$4,[1]Esquemas_NORM!$H$1:$K$1,0)))</f>
        <v>A la fecha no ha conformado un EAT Región</v>
      </c>
      <c r="AB607" s="17" t="str">
        <f>IF($E607="","",INDEX([1]Esquemas_NORM!$H$2:$K$126,MATCH($E607,[1]Esquemas_NORM!$A$2:$A$126,0),MATCH(AB$4,[1]Esquemas_NORM!$H$1:$K$1,0)))</f>
        <v>A la fecha no ha conformado un EAT Área Metropolitana</v>
      </c>
      <c r="AC607" s="17" t="str">
        <f>IF($E607="","",INDEX([1]Esquemas_NORM!$H$2:$K$126,MATCH($E607,[1]Esquemas_NORM!$A$2:$A$126,0),MATCH(AC$4,[1]Esquemas_NORM!$H$1:$K$1,0)))</f>
        <v>A la fecha no ha conformado un EAT asociación - unión</v>
      </c>
      <c r="AD607" s="23"/>
    </row>
    <row r="608" spans="1:30" x14ac:dyDescent="0.25">
      <c r="A608" s="24">
        <v>2019</v>
      </c>
      <c r="B608" s="25" t="s">
        <v>36</v>
      </c>
      <c r="C608" s="25" t="s">
        <v>252</v>
      </c>
      <c r="D608" s="25" t="s">
        <v>264</v>
      </c>
      <c r="E608" s="25" t="s">
        <v>272</v>
      </c>
      <c r="F608" s="25" t="s">
        <v>255</v>
      </c>
      <c r="G608" s="25" t="s">
        <v>273</v>
      </c>
      <c r="H608" s="26">
        <v>91.1375955415199</v>
      </c>
      <c r="I608" s="26">
        <v>0</v>
      </c>
      <c r="J608" s="27">
        <v>91.1375955415199</v>
      </c>
      <c r="K608" s="26">
        <v>8.9635809334989585</v>
      </c>
      <c r="L608" s="26">
        <v>15.342714192536645</v>
      </c>
      <c r="M608" s="27">
        <v>24.306295126035604</v>
      </c>
      <c r="N608" s="26">
        <v>8.4444894995160773</v>
      </c>
      <c r="O608" s="26">
        <v>35.260681765809814</v>
      </c>
      <c r="P608" s="26">
        <v>7.4732719294533014</v>
      </c>
      <c r="Q608" s="26">
        <v>5.4614550854053157</v>
      </c>
      <c r="R608" s="26">
        <v>15.621941172491143</v>
      </c>
      <c r="S608" s="26">
        <v>19.023922268812541</v>
      </c>
      <c r="T608" s="26">
        <v>35.814209221904335</v>
      </c>
      <c r="U608" s="26">
        <v>7.0630751313239184</v>
      </c>
      <c r="V608" s="27">
        <v>134.16304607471645</v>
      </c>
      <c r="W608" s="27">
        <v>259.11214350331778</v>
      </c>
      <c r="X608" s="26">
        <v>25.60305023957622</v>
      </c>
      <c r="Y608" s="28">
        <v>284.72674537098089</v>
      </c>
      <c r="Z608" s="17" t="str">
        <f>SUBSTITUTE(SUBSTITUTE(SUBSTITUTE(SUBSTITUTE(IF(E608="","",VLOOKUP(E608,[1]Esquemas_NORM!$A$2:$H$126,8,FALSE)),"PROVINCIA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608" s="17" t="str">
        <f>IF($E608="","",INDEX([1]Esquemas_NORM!$H$2:$K$126,MATCH($E608,[1]Esquemas_NORM!$A$2:$A$126,0),MATCH(AA$4,[1]Esquemas_NORM!$H$1:$K$1,0)))</f>
        <v>A la fecha no ha conformado un EAT Región</v>
      </c>
      <c r="AB608" s="17" t="str">
        <f>IF($E608="","",INDEX([1]Esquemas_NORM!$H$2:$K$126,MATCH($E608,[1]Esquemas_NORM!$A$2:$A$126,0),MATCH(AB$4,[1]Esquemas_NORM!$H$1:$K$1,0)))</f>
        <v>A la fecha no ha conformado un EAT Área Metropolitana</v>
      </c>
      <c r="AC608" s="17" t="str">
        <f>IF($E608="","",INDEX([1]Esquemas_NORM!$H$2:$K$126,MATCH($E608,[1]Esquemas_NORM!$A$2:$A$126,0),MATCH(AC$4,[1]Esquemas_NORM!$H$1:$K$1,0)))</f>
        <v>A la fecha no ha conformado un EAT asociación - unión</v>
      </c>
      <c r="AD608" s="23"/>
    </row>
    <row r="609" spans="1:30" x14ac:dyDescent="0.25">
      <c r="A609" s="24">
        <v>2019</v>
      </c>
      <c r="B609" s="25" t="s">
        <v>36</v>
      </c>
      <c r="C609" s="25" t="s">
        <v>252</v>
      </c>
      <c r="D609" s="25" t="s">
        <v>253</v>
      </c>
      <c r="E609" s="25" t="s">
        <v>274</v>
      </c>
      <c r="F609" s="25" t="s">
        <v>255</v>
      </c>
      <c r="G609" s="25" t="s">
        <v>275</v>
      </c>
      <c r="H609" s="26">
        <v>111.66263623790228</v>
      </c>
      <c r="I609" s="26">
        <v>2.8375887474483581</v>
      </c>
      <c r="J609" s="27">
        <v>114.50022498535064</v>
      </c>
      <c r="K609" s="26">
        <v>9.4914953650362275</v>
      </c>
      <c r="L609" s="26">
        <v>20.716793878437372</v>
      </c>
      <c r="M609" s="27">
        <v>30.208289243473601</v>
      </c>
      <c r="N609" s="26">
        <v>6.4920273411453877</v>
      </c>
      <c r="O609" s="26">
        <v>38.444581052188639</v>
      </c>
      <c r="P609" s="26">
        <v>8.3076630929923354</v>
      </c>
      <c r="Q609" s="26">
        <v>5.8011148780994732</v>
      </c>
      <c r="R609" s="26">
        <v>19.577062990372031</v>
      </c>
      <c r="S609" s="26">
        <v>24.498197646522513</v>
      </c>
      <c r="T609" s="26">
        <v>41.630530538415634</v>
      </c>
      <c r="U609" s="26">
        <v>9.3849866486342304</v>
      </c>
      <c r="V609" s="27">
        <v>154.13616418837023</v>
      </c>
      <c r="W609" s="27">
        <v>310.35491452029214</v>
      </c>
      <c r="X609" s="26">
        <v>30.666383910567021</v>
      </c>
      <c r="Y609" s="28">
        <v>341.03513454250952</v>
      </c>
      <c r="Z609" s="17" t="str">
        <f>SUBSTITUTE(SUBSTITUTE(SUBSTITUTE(SUBSTITUTE(IF(E609="","",VLOOKUP(E609,[1]Esquemas_NORM!$A$2:$H$126,8,FALSE)),"PROVINCIA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09" s="17" t="str">
        <f>IF($E609="","",INDEX([1]Esquemas_NORM!$H$2:$K$126,MATCH($E609,[1]Esquemas_NORM!$A$2:$A$126,0),MATCH(AA$4,[1]Esquemas_NORM!$H$1:$K$1,0)))</f>
        <v>A la fecha no ha conformado un EAT Región</v>
      </c>
      <c r="AB609" s="17" t="str">
        <f>IF($E609="","",INDEX([1]Esquemas_NORM!$H$2:$K$126,MATCH($E609,[1]Esquemas_NORM!$A$2:$A$126,0),MATCH(AB$4,[1]Esquemas_NORM!$H$1:$K$1,0)))</f>
        <v>A la fecha no ha conformado un EAT Área Metropolitana</v>
      </c>
      <c r="AC609" s="17" t="str">
        <f>IF($E609="","",INDEX([1]Esquemas_NORM!$H$2:$K$126,MATCH($E609,[1]Esquemas_NORM!$A$2:$A$126,0),MATCH(AC$4,[1]Esquemas_NORM!$H$1:$K$1,0)))</f>
        <v>A la fecha no ha conformado un EAT asociación - unión</v>
      </c>
      <c r="AD609" s="23"/>
    </row>
    <row r="610" spans="1:30" x14ac:dyDescent="0.25">
      <c r="A610" s="24">
        <v>2019</v>
      </c>
      <c r="B610" s="25" t="s">
        <v>36</v>
      </c>
      <c r="C610" s="25" t="s">
        <v>252</v>
      </c>
      <c r="D610" s="25" t="s">
        <v>257</v>
      </c>
      <c r="E610" s="25" t="s">
        <v>276</v>
      </c>
      <c r="F610" s="25" t="s">
        <v>255</v>
      </c>
      <c r="G610" s="25" t="s">
        <v>277</v>
      </c>
      <c r="H610" s="26">
        <v>13.757851561669547</v>
      </c>
      <c r="I610" s="26">
        <v>0</v>
      </c>
      <c r="J610" s="27">
        <v>13.757851561669547</v>
      </c>
      <c r="K610" s="26">
        <v>2.6197270676871209</v>
      </c>
      <c r="L610" s="26">
        <v>3.4864622427554206</v>
      </c>
      <c r="M610" s="27">
        <v>6.1061893104425415</v>
      </c>
      <c r="N610" s="26">
        <v>3.2651838617704065</v>
      </c>
      <c r="O610" s="26">
        <v>10.524370730122724</v>
      </c>
      <c r="P610" s="26">
        <v>2.0896791004401361</v>
      </c>
      <c r="Q610" s="26">
        <v>1.1647994481770885</v>
      </c>
      <c r="R610" s="26">
        <v>5.8890620596444023</v>
      </c>
      <c r="S610" s="26">
        <v>6.2982087151143382</v>
      </c>
      <c r="T610" s="26">
        <v>10.857386134350968</v>
      </c>
      <c r="U610" s="26">
        <v>1.8805852179696805</v>
      </c>
      <c r="V610" s="27">
        <v>41.969275267589744</v>
      </c>
      <c r="W610" s="27">
        <v>63.586467756950853</v>
      </c>
      <c r="X610" s="26">
        <v>6.2830228893445783</v>
      </c>
      <c r="Y610" s="28">
        <v>69.872325431330822</v>
      </c>
      <c r="Z610" s="17" t="str">
        <f>SUBSTITUTE(SUBSTITUTE(SUBSTITUTE(SUBSTITUTE(IF(E610="","",VLOOKUP(E610,[1]Esquemas_NORM!$A$2:$H$126,8,FALSE)),"PROVINCIA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610" s="17" t="str">
        <f>IF($E610="","",INDEX([1]Esquemas_NORM!$H$2:$K$126,MATCH($E610,[1]Esquemas_NORM!$A$2:$A$126,0),MATCH(AA$4,[1]Esquemas_NORM!$H$1:$K$1,0)))</f>
        <v>A la fecha no ha conformado un EAT Región</v>
      </c>
      <c r="AB610" s="17" t="str">
        <f>IF($E610="","",INDEX([1]Esquemas_NORM!$H$2:$K$126,MATCH($E610,[1]Esquemas_NORM!$A$2:$A$126,0),MATCH(AB$4,[1]Esquemas_NORM!$H$1:$K$1,0)))</f>
        <v>A la fecha no ha conformado un EAT Área Metropolitana</v>
      </c>
      <c r="AC610" s="17" t="str">
        <f>IF($E610="","",INDEX([1]Esquemas_NORM!$H$2:$K$126,MATCH($E610,[1]Esquemas_NORM!$A$2:$A$126,0),MATCH(AC$4,[1]Esquemas_NORM!$H$1:$K$1,0)))</f>
        <v>A la fecha no ha conformado un EAT asociación - unión</v>
      </c>
      <c r="AD610" s="23"/>
    </row>
    <row r="611" spans="1:30" x14ac:dyDescent="0.25">
      <c r="A611" s="24">
        <v>2019</v>
      </c>
      <c r="B611" s="25" t="s">
        <v>36</v>
      </c>
      <c r="C611" s="25" t="s">
        <v>252</v>
      </c>
      <c r="D611" s="25" t="s">
        <v>257</v>
      </c>
      <c r="E611" s="25" t="s">
        <v>278</v>
      </c>
      <c r="F611" s="25" t="s">
        <v>255</v>
      </c>
      <c r="G611" s="25" t="s">
        <v>279</v>
      </c>
      <c r="H611" s="26">
        <v>58.044980697493209</v>
      </c>
      <c r="I611" s="26">
        <v>0</v>
      </c>
      <c r="J611" s="27">
        <v>58.044980697493209</v>
      </c>
      <c r="K611" s="26">
        <v>11.387015186207147</v>
      </c>
      <c r="L611" s="26">
        <v>7.4067819753973563</v>
      </c>
      <c r="M611" s="27">
        <v>18.793797161604502</v>
      </c>
      <c r="N611" s="26">
        <v>4.4720055197613346</v>
      </c>
      <c r="O611" s="26">
        <v>33.556319361698819</v>
      </c>
      <c r="P611" s="26">
        <v>5.5473628293784607</v>
      </c>
      <c r="Q611" s="26">
        <v>5.0802229372659768</v>
      </c>
      <c r="R611" s="26">
        <v>17.662934160687332</v>
      </c>
      <c r="S611" s="26">
        <v>15.606375850425096</v>
      </c>
      <c r="T611" s="26">
        <v>25.480862470879</v>
      </c>
      <c r="U611" s="26">
        <v>5.2869161663543549</v>
      </c>
      <c r="V611" s="27">
        <v>112.69299929645038</v>
      </c>
      <c r="W611" s="27">
        <v>195.63081460086238</v>
      </c>
      <c r="X611" s="26">
        <v>19.330416193215726</v>
      </c>
      <c r="Y611" s="28">
        <v>214.96995232438562</v>
      </c>
      <c r="Z611" s="17" t="str">
        <f>SUBSTITUTE(SUBSTITUTE(SUBSTITUTE(SUBSTITUTE(IF(E611="","",VLOOKUP(E611,[1]Esquemas_NORM!$A$2:$H$126,8,FALSE)),"PROVINCIA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611" s="17" t="str">
        <f>IF($E611="","",INDEX([1]Esquemas_NORM!$H$2:$K$126,MATCH($E611,[1]Esquemas_NORM!$A$2:$A$126,0),MATCH(AA$4,[1]Esquemas_NORM!$H$1:$K$1,0)))</f>
        <v>A la fecha no ha conformado un EAT Región</v>
      </c>
      <c r="AB611" s="17" t="str">
        <f>IF($E611="","",INDEX([1]Esquemas_NORM!$H$2:$K$126,MATCH($E611,[1]Esquemas_NORM!$A$2:$A$126,0),MATCH(AB$4,[1]Esquemas_NORM!$H$1:$K$1,0)))</f>
        <v>A la fecha no ha conformado un EAT Área Metropolitana</v>
      </c>
      <c r="AC611" s="17" t="str">
        <f>IF($E611="","",INDEX([1]Esquemas_NORM!$H$2:$K$126,MATCH($E611,[1]Esquemas_NORM!$A$2:$A$126,0),MATCH(AC$4,[1]Esquemas_NORM!$H$1:$K$1,0)))</f>
        <v>A la fecha no ha conformado un EAT asociación - unión</v>
      </c>
      <c r="AD611" s="23"/>
    </row>
    <row r="612" spans="1:30" x14ac:dyDescent="0.25">
      <c r="A612" s="24">
        <v>2019</v>
      </c>
      <c r="B612" s="25" t="s">
        <v>36</v>
      </c>
      <c r="C612" s="25" t="s">
        <v>252</v>
      </c>
      <c r="D612" s="25" t="s">
        <v>267</v>
      </c>
      <c r="E612" s="25" t="s">
        <v>280</v>
      </c>
      <c r="F612" s="25" t="s">
        <v>255</v>
      </c>
      <c r="G612" s="25" t="s">
        <v>281</v>
      </c>
      <c r="H612" s="26">
        <v>55.98177684410215</v>
      </c>
      <c r="I612" s="26">
        <v>0</v>
      </c>
      <c r="J612" s="27">
        <v>55.98177684410215</v>
      </c>
      <c r="K612" s="26">
        <v>3.8149573180742613</v>
      </c>
      <c r="L612" s="26">
        <v>13.55699502636217</v>
      </c>
      <c r="M612" s="27">
        <v>17.37195234443643</v>
      </c>
      <c r="N612" s="26">
        <v>19.330078808042046</v>
      </c>
      <c r="O612" s="26">
        <v>21.943064137160015</v>
      </c>
      <c r="P612" s="26">
        <v>3.982604769504912</v>
      </c>
      <c r="Q612" s="26">
        <v>3.0731557162562693</v>
      </c>
      <c r="R612" s="26">
        <v>11.010855421460072</v>
      </c>
      <c r="S612" s="26">
        <v>14.365505186634088</v>
      </c>
      <c r="T612" s="26">
        <v>25.711256911829597</v>
      </c>
      <c r="U612" s="26">
        <v>4.9573568532126835</v>
      </c>
      <c r="V612" s="27">
        <v>104.37387780409968</v>
      </c>
      <c r="W612" s="27">
        <v>184.99720640341437</v>
      </c>
      <c r="X612" s="26">
        <v>18.27970200735685</v>
      </c>
      <c r="Y612" s="28">
        <v>203.28515587805163</v>
      </c>
      <c r="Z612" s="17" t="str">
        <f>SUBSTITUTE(SUBSTITUTE(SUBSTITUTE(SUBSTITUTE(IF(E612="","",VLOOKUP(E612,[1]Esquemas_NORM!$A$2:$H$126,8,FALSE)),"PROVINCIA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12" s="17" t="str">
        <f>IF($E612="","",INDEX([1]Esquemas_NORM!$H$2:$K$126,MATCH($E612,[1]Esquemas_NORM!$A$2:$A$126,0),MATCH(AA$4,[1]Esquemas_NORM!$H$1:$K$1,0)))</f>
        <v>A la fecha no ha conformado un EAT Región</v>
      </c>
      <c r="AB612" s="17" t="str">
        <f>IF($E612="","",INDEX([1]Esquemas_NORM!$H$2:$K$126,MATCH($E612,[1]Esquemas_NORM!$A$2:$A$126,0),MATCH(AB$4,[1]Esquemas_NORM!$H$1:$K$1,0)))</f>
        <v>A la fecha no ha conformado un EAT Área Metropolitana</v>
      </c>
      <c r="AC612" s="17" t="str">
        <f>IF($E612="","",INDEX([1]Esquemas_NORM!$H$2:$K$126,MATCH($E612,[1]Esquemas_NORM!$A$2:$A$126,0),MATCH(AC$4,[1]Esquemas_NORM!$H$1:$K$1,0)))</f>
        <v>A la fecha no ha conformado un EAT asociación - unión</v>
      </c>
      <c r="AD612" s="23"/>
    </row>
    <row r="613" spans="1:30" x14ac:dyDescent="0.25">
      <c r="A613" s="24">
        <v>2019</v>
      </c>
      <c r="B613" s="25" t="s">
        <v>36</v>
      </c>
      <c r="C613" s="25" t="s">
        <v>252</v>
      </c>
      <c r="D613" s="25" t="s">
        <v>267</v>
      </c>
      <c r="E613" s="25" t="s">
        <v>282</v>
      </c>
      <c r="F613" s="25" t="s">
        <v>255</v>
      </c>
      <c r="G613" s="25" t="s">
        <v>283</v>
      </c>
      <c r="H613" s="26">
        <v>5.5677311779677101</v>
      </c>
      <c r="I613" s="26">
        <v>3.0868421319324391</v>
      </c>
      <c r="J613" s="27">
        <v>8.6545733099001492</v>
      </c>
      <c r="K613" s="26">
        <v>17.805113200537118</v>
      </c>
      <c r="L613" s="26">
        <v>51.705213783331573</v>
      </c>
      <c r="M613" s="27">
        <v>69.510326983868694</v>
      </c>
      <c r="N613" s="26">
        <v>6.9311939362870687</v>
      </c>
      <c r="O613" s="26">
        <v>45.186715614044573</v>
      </c>
      <c r="P613" s="26">
        <v>3.6213261476785283</v>
      </c>
      <c r="Q613" s="26">
        <v>2.2991479073947527</v>
      </c>
      <c r="R613" s="26">
        <v>8.8491242314767735</v>
      </c>
      <c r="S613" s="26">
        <v>12.93952864649178</v>
      </c>
      <c r="T613" s="26">
        <v>17.778304380485913</v>
      </c>
      <c r="U613" s="26">
        <v>3.6658328607475115</v>
      </c>
      <c r="V613" s="27">
        <v>101.27117372460691</v>
      </c>
      <c r="W613" s="27">
        <v>178.30572886441695</v>
      </c>
      <c r="X613" s="26">
        <v>17.618512480343401</v>
      </c>
      <c r="Y613" s="28">
        <v>195.93219049541685</v>
      </c>
      <c r="Z613" s="17" t="str">
        <f>SUBSTITUTE(SUBSTITUTE(SUBSTITUTE(SUBSTITUTE(IF(E613="","",VLOOKUP(E613,[1]Esquemas_NORM!$A$2:$H$126,8,FALSE)),"PROVINCIA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13" s="17" t="str">
        <f>IF($E613="","",INDEX([1]Esquemas_NORM!$H$2:$K$126,MATCH($E613,[1]Esquemas_NORM!$A$2:$A$126,0),MATCH(AA$4,[1]Esquemas_NORM!$H$1:$K$1,0)))</f>
        <v>A la fecha no ha conformado un EAT Región</v>
      </c>
      <c r="AB613" s="17" t="str">
        <f>IF($E613="","",INDEX([1]Esquemas_NORM!$H$2:$K$126,MATCH($E613,[1]Esquemas_NORM!$A$2:$A$126,0),MATCH(AB$4,[1]Esquemas_NORM!$H$1:$K$1,0)))</f>
        <v>A la fecha no ha conformado un EAT Área Metropolitana</v>
      </c>
      <c r="AC613" s="17" t="str">
        <f>IF($E613="","",INDEX([1]Esquemas_NORM!$H$2:$K$126,MATCH($E613,[1]Esquemas_NORM!$A$2:$A$126,0),MATCH(AC$4,[1]Esquemas_NORM!$H$1:$K$1,0)))</f>
        <v>A la fecha no ha conformado un EAT asociación - unión</v>
      </c>
      <c r="AD613" s="23"/>
    </row>
    <row r="614" spans="1:30" x14ac:dyDescent="0.25">
      <c r="A614" s="24">
        <v>2019</v>
      </c>
      <c r="B614" s="25" t="s">
        <v>36</v>
      </c>
      <c r="C614" s="25" t="s">
        <v>252</v>
      </c>
      <c r="D614" s="25" t="s">
        <v>267</v>
      </c>
      <c r="E614" s="25" t="s">
        <v>284</v>
      </c>
      <c r="F614" s="25" t="s">
        <v>255</v>
      </c>
      <c r="G614" s="25" t="s">
        <v>285</v>
      </c>
      <c r="H614" s="26">
        <v>13.367245875433145</v>
      </c>
      <c r="I614" s="26">
        <v>8.3487268856890888E-3</v>
      </c>
      <c r="J614" s="27">
        <v>13.375594602318834</v>
      </c>
      <c r="K614" s="26">
        <v>6.4687615081925118</v>
      </c>
      <c r="L614" s="26">
        <v>22.783635431282086</v>
      </c>
      <c r="M614" s="27">
        <v>29.252396939474597</v>
      </c>
      <c r="N614" s="26">
        <v>1.4046872889459854</v>
      </c>
      <c r="O614" s="26">
        <v>11.60678833111899</v>
      </c>
      <c r="P614" s="26">
        <v>2.5734126922984721</v>
      </c>
      <c r="Q614" s="26">
        <v>1.5937686127601773</v>
      </c>
      <c r="R614" s="26">
        <v>7.7829614977907742</v>
      </c>
      <c r="S614" s="26">
        <v>8.5725992700280464</v>
      </c>
      <c r="T614" s="26">
        <v>21.415875820681403</v>
      </c>
      <c r="U614" s="26">
        <v>2.7775666525741891</v>
      </c>
      <c r="V614" s="27">
        <v>57.727660166198042</v>
      </c>
      <c r="W614" s="27">
        <v>100.13791502734995</v>
      </c>
      <c r="X614" s="26">
        <v>9.8946966925908093</v>
      </c>
      <c r="Y614" s="28">
        <v>110.0370760261526</v>
      </c>
      <c r="Z614" s="17" t="str">
        <f>SUBSTITUTE(SUBSTITUTE(SUBSTITUTE(SUBSTITUTE(IF(E614="","",VLOOKUP(E614,[1]Esquemas_NORM!$A$2:$H$126,8,FALSE)),"PROVINCIA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14" s="17" t="str">
        <f>IF($E614="","",INDEX([1]Esquemas_NORM!$H$2:$K$126,MATCH($E614,[1]Esquemas_NORM!$A$2:$A$126,0),MATCH(AA$4,[1]Esquemas_NORM!$H$1:$K$1,0)))</f>
        <v>A la fecha no ha conformado un EAT Región</v>
      </c>
      <c r="AB614" s="17" t="str">
        <f>IF($E614="","",INDEX([1]Esquemas_NORM!$H$2:$K$126,MATCH($E614,[1]Esquemas_NORM!$A$2:$A$126,0),MATCH(AB$4,[1]Esquemas_NORM!$H$1:$K$1,0)))</f>
        <v>A la fecha no ha conformado un EAT Área Metropolitana</v>
      </c>
      <c r="AC614" s="17" t="str">
        <f>IF($E614="","",INDEX([1]Esquemas_NORM!$H$2:$K$126,MATCH($E614,[1]Esquemas_NORM!$A$2:$A$126,0),MATCH(AC$4,[1]Esquemas_NORM!$H$1:$K$1,0)))</f>
        <v>A la fecha no ha conformado un EAT asociación - unión</v>
      </c>
      <c r="AD614" s="23"/>
    </row>
    <row r="615" spans="1:30" x14ac:dyDescent="0.25">
      <c r="A615" s="24">
        <v>2019</v>
      </c>
      <c r="B615" s="25" t="s">
        <v>36</v>
      </c>
      <c r="C615" s="25" t="s">
        <v>252</v>
      </c>
      <c r="D615" s="25" t="s">
        <v>267</v>
      </c>
      <c r="E615" s="25" t="s">
        <v>286</v>
      </c>
      <c r="F615" s="25" t="s">
        <v>255</v>
      </c>
      <c r="G615" s="25" t="s">
        <v>287</v>
      </c>
      <c r="H615" s="26">
        <v>16.666033339532824</v>
      </c>
      <c r="I615" s="26">
        <v>0</v>
      </c>
      <c r="J615" s="27">
        <v>16.666033339532824</v>
      </c>
      <c r="K615" s="26">
        <v>1.4279986289550819</v>
      </c>
      <c r="L615" s="26">
        <v>7.8619626378523959</v>
      </c>
      <c r="M615" s="27">
        <v>9.2899612668074774</v>
      </c>
      <c r="N615" s="26">
        <v>2.2850770721954654</v>
      </c>
      <c r="O615" s="26">
        <v>9.1191006138867099</v>
      </c>
      <c r="P615" s="26">
        <v>3.5300378012167055</v>
      </c>
      <c r="Q615" s="26">
        <v>2.1491492666980365</v>
      </c>
      <c r="R615" s="26">
        <v>6.9232185141865834</v>
      </c>
      <c r="S615" s="26">
        <v>9.3109187912024964</v>
      </c>
      <c r="T615" s="26">
        <v>20.699807536191997</v>
      </c>
      <c r="U615" s="26">
        <v>3.4403739362024037</v>
      </c>
      <c r="V615" s="27">
        <v>57.457683531780404</v>
      </c>
      <c r="W615" s="27">
        <v>85.076913008834723</v>
      </c>
      <c r="X615" s="26">
        <v>8.4065086589264091</v>
      </c>
      <c r="Y615" s="28">
        <v>93.487214530745391</v>
      </c>
      <c r="Z615" s="17" t="str">
        <f>SUBSTITUTE(SUBSTITUTE(SUBSTITUTE(SUBSTITUTE(IF(E615="","",VLOOKUP(E615,[1]Esquemas_NORM!$A$2:$H$126,8,FALSE)),"PROVINCIA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15" s="17" t="str">
        <f>IF($E615="","",INDEX([1]Esquemas_NORM!$H$2:$K$126,MATCH($E615,[1]Esquemas_NORM!$A$2:$A$126,0),MATCH(AA$4,[1]Esquemas_NORM!$H$1:$K$1,0)))</f>
        <v>A la fecha no ha conformado un EAT Región</v>
      </c>
      <c r="AB615" s="17" t="str">
        <f>IF($E615="","",INDEX([1]Esquemas_NORM!$H$2:$K$126,MATCH($E615,[1]Esquemas_NORM!$A$2:$A$126,0),MATCH(AB$4,[1]Esquemas_NORM!$H$1:$K$1,0)))</f>
        <v>A la fecha no ha conformado un EAT Área Metropolitana</v>
      </c>
      <c r="AC615" s="17" t="str">
        <f>IF($E615="","",INDEX([1]Esquemas_NORM!$H$2:$K$126,MATCH($E615,[1]Esquemas_NORM!$A$2:$A$126,0),MATCH(AC$4,[1]Esquemas_NORM!$H$1:$K$1,0)))</f>
        <v>A la fecha no ha conformado un EAT asociación - unión</v>
      </c>
      <c r="AD615" s="23"/>
    </row>
    <row r="616" spans="1:30" x14ac:dyDescent="0.25">
      <c r="A616" s="24">
        <v>2019</v>
      </c>
      <c r="B616" s="25" t="s">
        <v>36</v>
      </c>
      <c r="C616" s="25" t="s">
        <v>252</v>
      </c>
      <c r="D616" s="25" t="s">
        <v>264</v>
      </c>
      <c r="E616" s="25" t="s">
        <v>288</v>
      </c>
      <c r="F616" s="25" t="s">
        <v>255</v>
      </c>
      <c r="G616" s="25" t="s">
        <v>289</v>
      </c>
      <c r="H616" s="26">
        <v>72.745454994166181</v>
      </c>
      <c r="I616" s="26">
        <v>0</v>
      </c>
      <c r="J616" s="27">
        <v>72.745454994166181</v>
      </c>
      <c r="K616" s="26">
        <v>6.6863903664561226</v>
      </c>
      <c r="L616" s="26">
        <v>12.771158285772477</v>
      </c>
      <c r="M616" s="27">
        <v>19.457548652228599</v>
      </c>
      <c r="N616" s="26">
        <v>17.162876833429046</v>
      </c>
      <c r="O616" s="26">
        <v>27.04530189922944</v>
      </c>
      <c r="P616" s="26">
        <v>4.8280961585194069</v>
      </c>
      <c r="Q616" s="26">
        <v>3.9697230628843094</v>
      </c>
      <c r="R616" s="26">
        <v>10.112764183569542</v>
      </c>
      <c r="S616" s="26">
        <v>15.489329830628101</v>
      </c>
      <c r="T616" s="26">
        <v>29.212420081232537</v>
      </c>
      <c r="U616" s="26">
        <v>5.6521492041703922</v>
      </c>
      <c r="V616" s="27">
        <v>113.47266125366275</v>
      </c>
      <c r="W616" s="27">
        <v>214.44062307164066</v>
      </c>
      <c r="X616" s="26">
        <v>21.189026387097854</v>
      </c>
      <c r="Y616" s="28">
        <v>235.63920955997864</v>
      </c>
      <c r="Z616" s="17" t="str">
        <f>SUBSTITUTE(SUBSTITUTE(SUBSTITUTE(SUBSTITUTE(IF(E616="","",VLOOKUP(E616,[1]Esquemas_NORM!$A$2:$H$126,8,FALSE)),"PROVINCIA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616" s="17" t="str">
        <f>IF($E616="","",INDEX([1]Esquemas_NORM!$H$2:$K$126,MATCH($E616,[1]Esquemas_NORM!$A$2:$A$126,0),MATCH(AA$4,[1]Esquemas_NORM!$H$1:$K$1,0)))</f>
        <v>A la fecha no ha conformado un EAT Región</v>
      </c>
      <c r="AB616" s="17" t="str">
        <f>IF($E616="","",INDEX([1]Esquemas_NORM!$H$2:$K$126,MATCH($E616,[1]Esquemas_NORM!$A$2:$A$126,0),MATCH(AB$4,[1]Esquemas_NORM!$H$1:$K$1,0)))</f>
        <v>A la fecha no ha conformado un EAT Área Metropolitana</v>
      </c>
      <c r="AC616" s="17" t="str">
        <f>IF($E616="","",INDEX([1]Esquemas_NORM!$H$2:$K$126,MATCH($E616,[1]Esquemas_NORM!$A$2:$A$126,0),MATCH(AC$4,[1]Esquemas_NORM!$H$1:$K$1,0)))</f>
        <v>A la fecha no ha conformado un EAT asociación - unión</v>
      </c>
      <c r="AD616" s="23"/>
    </row>
    <row r="617" spans="1:30" x14ac:dyDescent="0.25">
      <c r="A617" s="24">
        <v>2019</v>
      </c>
      <c r="B617" s="25" t="s">
        <v>36</v>
      </c>
      <c r="C617" s="25" t="s">
        <v>252</v>
      </c>
      <c r="D617" s="25" t="s">
        <v>267</v>
      </c>
      <c r="E617" s="25" t="s">
        <v>290</v>
      </c>
      <c r="F617" s="25" t="s">
        <v>255</v>
      </c>
      <c r="G617" s="25" t="s">
        <v>291</v>
      </c>
      <c r="H617" s="26">
        <v>47.619437498566434</v>
      </c>
      <c r="I617" s="26">
        <v>0</v>
      </c>
      <c r="J617" s="27">
        <v>47.619437498566434</v>
      </c>
      <c r="K617" s="26">
        <v>8.772916502994768</v>
      </c>
      <c r="L617" s="26">
        <v>14.647716714880831</v>
      </c>
      <c r="M617" s="27">
        <v>23.420633217875597</v>
      </c>
      <c r="N617" s="26">
        <v>7.8726768258208111</v>
      </c>
      <c r="O617" s="26">
        <v>57.152973474633541</v>
      </c>
      <c r="P617" s="26">
        <v>8.8737070184361464</v>
      </c>
      <c r="Q617" s="26">
        <v>7.0736085410265543</v>
      </c>
      <c r="R617" s="26">
        <v>27.298279078779192</v>
      </c>
      <c r="S617" s="26">
        <v>23.054088373530096</v>
      </c>
      <c r="T617" s="26">
        <v>32.309855548777804</v>
      </c>
      <c r="U617" s="26">
        <v>9.0220619799259261</v>
      </c>
      <c r="V617" s="27">
        <v>172.65725084093009</v>
      </c>
      <c r="W617" s="27">
        <v>249.93116805525531</v>
      </c>
      <c r="X617" s="26">
        <v>24.695871701103862</v>
      </c>
      <c r="Y617" s="28">
        <v>274.6381820820784</v>
      </c>
      <c r="Z617" s="17" t="str">
        <f>SUBSTITUTE(SUBSTITUTE(SUBSTITUTE(SUBSTITUTE(IF(E617="","",VLOOKUP(E617,[1]Esquemas_NORM!$A$2:$H$126,8,FALSE)),"PROVINCIA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17" s="17" t="str">
        <f>IF($E617="","",INDEX([1]Esquemas_NORM!$H$2:$K$126,MATCH($E617,[1]Esquemas_NORM!$A$2:$A$126,0),MATCH(AA$4,[1]Esquemas_NORM!$H$1:$K$1,0)))</f>
        <v>A la fecha no ha conformado un EAT Región</v>
      </c>
      <c r="AB617" s="17" t="str">
        <f>IF($E617="","",INDEX([1]Esquemas_NORM!$H$2:$K$126,MATCH($E617,[1]Esquemas_NORM!$A$2:$A$126,0),MATCH(AB$4,[1]Esquemas_NORM!$H$1:$K$1,0)))</f>
        <v>A la fecha no ha conformado un EAT Área Metropolitana</v>
      </c>
      <c r="AC617" s="17" t="str">
        <f>IF($E617="","",INDEX([1]Esquemas_NORM!$H$2:$K$126,MATCH($E617,[1]Esquemas_NORM!$A$2:$A$126,0),MATCH(AC$4,[1]Esquemas_NORM!$H$1:$K$1,0)))</f>
        <v>A la fecha no ha conformado un EAT asociación - unión</v>
      </c>
      <c r="AD617" s="23"/>
    </row>
    <row r="618" spans="1:30" x14ac:dyDescent="0.25">
      <c r="A618" s="24">
        <v>2019</v>
      </c>
      <c r="B618" s="25" t="s">
        <v>36</v>
      </c>
      <c r="C618" s="25" t="s">
        <v>252</v>
      </c>
      <c r="D618" s="25" t="s">
        <v>267</v>
      </c>
      <c r="E618" s="25" t="s">
        <v>292</v>
      </c>
      <c r="F618" s="25" t="s">
        <v>255</v>
      </c>
      <c r="G618" s="25" t="s">
        <v>293</v>
      </c>
      <c r="H618" s="26">
        <v>69.222512638377523</v>
      </c>
      <c r="I618" s="26">
        <v>0</v>
      </c>
      <c r="J618" s="27">
        <v>69.222512638377523</v>
      </c>
      <c r="K618" s="26">
        <v>5.6723590626387654</v>
      </c>
      <c r="L618" s="26">
        <v>23.331962403464551</v>
      </c>
      <c r="M618" s="27">
        <v>29.004321466103317</v>
      </c>
      <c r="N618" s="26">
        <v>5.7065191562013542</v>
      </c>
      <c r="O618" s="26">
        <v>26.897344712831689</v>
      </c>
      <c r="P618" s="26">
        <v>5.6688566818198547</v>
      </c>
      <c r="Q618" s="26">
        <v>4.5003819369984477</v>
      </c>
      <c r="R618" s="26">
        <v>13.681352837967827</v>
      </c>
      <c r="S618" s="26">
        <v>15.143525497405463</v>
      </c>
      <c r="T618" s="26">
        <v>27.5660663261779</v>
      </c>
      <c r="U618" s="26">
        <v>5.9409468758024255</v>
      </c>
      <c r="V618" s="27">
        <v>105.10499402520497</v>
      </c>
      <c r="W618" s="27">
        <v>209.54102271487474</v>
      </c>
      <c r="X618" s="26">
        <v>20.704893484671803</v>
      </c>
      <c r="Y618" s="28">
        <v>230.25525786887408</v>
      </c>
      <c r="Z618" s="17" t="str">
        <f>SUBSTITUTE(SUBSTITUTE(SUBSTITUTE(SUBSTITUTE(IF(E618="","",VLOOKUP(E618,[1]Esquemas_NORM!$A$2:$H$126,8,FALSE)),"PROVINCIA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18" s="17" t="str">
        <f>IF($E618="","",INDEX([1]Esquemas_NORM!$H$2:$K$126,MATCH($E618,[1]Esquemas_NORM!$A$2:$A$126,0),MATCH(AA$4,[1]Esquemas_NORM!$H$1:$K$1,0)))</f>
        <v>A la fecha no ha conformado un EAT Región</v>
      </c>
      <c r="AB618" s="17" t="str">
        <f>IF($E618="","",INDEX([1]Esquemas_NORM!$H$2:$K$126,MATCH($E618,[1]Esquemas_NORM!$A$2:$A$126,0),MATCH(AB$4,[1]Esquemas_NORM!$H$1:$K$1,0)))</f>
        <v>A la fecha no ha conformado un EAT Área Metropolitana</v>
      </c>
      <c r="AC618" s="17" t="str">
        <f>IF($E618="","",INDEX([1]Esquemas_NORM!$H$2:$K$126,MATCH($E618,[1]Esquemas_NORM!$A$2:$A$126,0),MATCH(AC$4,[1]Esquemas_NORM!$H$1:$K$1,0)))</f>
        <v>A la fecha no ha conformado un EAT asociación - unión</v>
      </c>
      <c r="AD618" s="23"/>
    </row>
    <row r="619" spans="1:30" x14ac:dyDescent="0.25">
      <c r="A619" s="24">
        <v>2019</v>
      </c>
      <c r="B619" s="25" t="s">
        <v>36</v>
      </c>
      <c r="C619" s="25" t="s">
        <v>252</v>
      </c>
      <c r="D619" s="25" t="s">
        <v>267</v>
      </c>
      <c r="E619" s="25" t="s">
        <v>294</v>
      </c>
      <c r="F619" s="25" t="s">
        <v>255</v>
      </c>
      <c r="G619" s="25" t="s">
        <v>295</v>
      </c>
      <c r="H619" s="26">
        <v>35.54869701737389</v>
      </c>
      <c r="I619" s="26">
        <v>1.8021052187058537</v>
      </c>
      <c r="J619" s="27">
        <v>37.350802236079744</v>
      </c>
      <c r="K619" s="26">
        <v>4.7971599831715626</v>
      </c>
      <c r="L619" s="26">
        <v>4.4565015414470714</v>
      </c>
      <c r="M619" s="27">
        <v>9.253661524618634</v>
      </c>
      <c r="N619" s="26">
        <v>4.2448083290318479</v>
      </c>
      <c r="O619" s="26">
        <v>6.7396850727581183</v>
      </c>
      <c r="P619" s="26">
        <v>2.4623004176125987</v>
      </c>
      <c r="Q619" s="26">
        <v>1.9342789611697075</v>
      </c>
      <c r="R619" s="26">
        <v>6.6774488919838797</v>
      </c>
      <c r="S619" s="26">
        <v>8.9628004049816798</v>
      </c>
      <c r="T619" s="26">
        <v>18.22746248828577</v>
      </c>
      <c r="U619" s="26">
        <v>2.5422894450018232</v>
      </c>
      <c r="V619" s="27">
        <v>51.791074010825419</v>
      </c>
      <c r="W619" s="27">
        <v>102.31006794727979</v>
      </c>
      <c r="X619" s="26">
        <v>10.109328626025183</v>
      </c>
      <c r="Y619" s="28">
        <v>112.42395771752035</v>
      </c>
      <c r="Z619" s="17" t="str">
        <f>SUBSTITUTE(SUBSTITUTE(SUBSTITUTE(SUBSTITUTE(IF(E619="","",VLOOKUP(E619,[1]Esquemas_NORM!$A$2:$H$126,8,FALSE)),"PROVINCIA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19" s="17" t="str">
        <f>IF($E619="","",INDEX([1]Esquemas_NORM!$H$2:$K$126,MATCH($E619,[1]Esquemas_NORM!$A$2:$A$126,0),MATCH(AA$4,[1]Esquemas_NORM!$H$1:$K$1,0)))</f>
        <v>A la fecha no ha conformado un EAT Región</v>
      </c>
      <c r="AB619" s="17" t="str">
        <f>IF($E619="","",INDEX([1]Esquemas_NORM!$H$2:$K$126,MATCH($E619,[1]Esquemas_NORM!$A$2:$A$126,0),MATCH(AB$4,[1]Esquemas_NORM!$H$1:$K$1,0)))</f>
        <v>A la fecha no ha conformado un EAT Área Metropolitana</v>
      </c>
      <c r="AC619" s="17" t="str">
        <f>IF($E619="","",INDEX([1]Esquemas_NORM!$H$2:$K$126,MATCH($E619,[1]Esquemas_NORM!$A$2:$A$126,0),MATCH(AC$4,[1]Esquemas_NORM!$H$1:$K$1,0)))</f>
        <v>A la fecha no ha conformado un EAT asociación - unión</v>
      </c>
      <c r="AD619" s="23"/>
    </row>
    <row r="620" spans="1:30" x14ac:dyDescent="0.25">
      <c r="A620" s="24">
        <v>2019</v>
      </c>
      <c r="B620" s="25" t="s">
        <v>36</v>
      </c>
      <c r="C620" s="25" t="s">
        <v>252</v>
      </c>
      <c r="D620" s="25" t="s">
        <v>253</v>
      </c>
      <c r="E620" s="25" t="s">
        <v>296</v>
      </c>
      <c r="F620" s="25" t="s">
        <v>255</v>
      </c>
      <c r="G620" s="25" t="s">
        <v>297</v>
      </c>
      <c r="H620" s="26">
        <v>16.495611285065596</v>
      </c>
      <c r="I620" s="26">
        <v>2.5210591538986931</v>
      </c>
      <c r="J620" s="27">
        <v>19.01667043896429</v>
      </c>
      <c r="K620" s="26">
        <v>3.5762050265458716</v>
      </c>
      <c r="L620" s="26">
        <v>5.4975644469481404</v>
      </c>
      <c r="M620" s="27">
        <v>9.0737694734940124</v>
      </c>
      <c r="N620" s="26">
        <v>3.9577114254335699</v>
      </c>
      <c r="O620" s="26">
        <v>15.201935885934912</v>
      </c>
      <c r="P620" s="26">
        <v>3.4110601615568381</v>
      </c>
      <c r="Q620" s="26">
        <v>1.8987185295460478</v>
      </c>
      <c r="R620" s="26">
        <v>9.5686282105910525</v>
      </c>
      <c r="S620" s="26">
        <v>12.082481542686976</v>
      </c>
      <c r="T620" s="26">
        <v>20.091280606189358</v>
      </c>
      <c r="U620" s="26">
        <v>4.2567337561765521</v>
      </c>
      <c r="V620" s="27">
        <v>70.468550118115317</v>
      </c>
      <c r="W620" s="27">
        <v>101.25452232934451</v>
      </c>
      <c r="X620" s="26">
        <v>10.005029432941104</v>
      </c>
      <c r="Y620" s="28">
        <v>111.26406584861233</v>
      </c>
      <c r="Z620" s="17" t="str">
        <f>SUBSTITUTE(SUBSTITUTE(SUBSTITUTE(SUBSTITUTE(IF(E620="","",VLOOKUP(E620,[1]Esquemas_NORM!$A$2:$H$126,8,FALSE)),"PROVINCIA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620" s="17" t="str">
        <f>IF($E620="","",INDEX([1]Esquemas_NORM!$H$2:$K$126,MATCH($E620,[1]Esquemas_NORM!$A$2:$A$126,0),MATCH(AA$4,[1]Esquemas_NORM!$H$1:$K$1,0)))</f>
        <v>A la fecha no ha conformado un EAT Región</v>
      </c>
      <c r="AB620" s="17" t="str">
        <f>IF($E620="","",INDEX([1]Esquemas_NORM!$H$2:$K$126,MATCH($E620,[1]Esquemas_NORM!$A$2:$A$126,0),MATCH(AB$4,[1]Esquemas_NORM!$H$1:$K$1,0)))</f>
        <v>A la fecha no ha conformado un EAT Área Metropolitana</v>
      </c>
      <c r="AC620" s="17" t="str">
        <f>IF($E620="","",INDEX([1]Esquemas_NORM!$H$2:$K$126,MATCH($E620,[1]Esquemas_NORM!$A$2:$A$126,0),MATCH(AC$4,[1]Esquemas_NORM!$H$1:$K$1,0)))</f>
        <v>A la fecha no ha conformado un EAT asociación - unión</v>
      </c>
      <c r="AD620" s="23"/>
    </row>
    <row r="621" spans="1:30" x14ac:dyDescent="0.25">
      <c r="A621" s="24">
        <v>2019</v>
      </c>
      <c r="B621" s="25" t="s">
        <v>36</v>
      </c>
      <c r="C621" s="25" t="s">
        <v>252</v>
      </c>
      <c r="D621" s="25" t="s">
        <v>264</v>
      </c>
      <c r="E621" s="25" t="s">
        <v>298</v>
      </c>
      <c r="F621" s="25" t="s">
        <v>255</v>
      </c>
      <c r="G621" s="25" t="s">
        <v>299</v>
      </c>
      <c r="H621" s="26">
        <v>347.54903162790839</v>
      </c>
      <c r="I621" s="26">
        <v>0</v>
      </c>
      <c r="J621" s="27">
        <v>347.54903162790839</v>
      </c>
      <c r="K621" s="26">
        <v>30.000551902003849</v>
      </c>
      <c r="L621" s="26">
        <v>35.011532401749932</v>
      </c>
      <c r="M621" s="27">
        <v>65.012084303753781</v>
      </c>
      <c r="N621" s="26">
        <v>10.284695600559191</v>
      </c>
      <c r="O621" s="26">
        <v>47.019783301404821</v>
      </c>
      <c r="P621" s="26">
        <v>11.07095012436128</v>
      </c>
      <c r="Q621" s="26">
        <v>10.565718709048307</v>
      </c>
      <c r="R621" s="26">
        <v>24.331388971586289</v>
      </c>
      <c r="S621" s="26">
        <v>30.330919567448653</v>
      </c>
      <c r="T621" s="26">
        <v>63.518435210373724</v>
      </c>
      <c r="U621" s="26">
        <v>9.9286933788065586</v>
      </c>
      <c r="V621" s="27">
        <v>207.05058486358885</v>
      </c>
      <c r="W621" s="27">
        <v>650.7896153471147</v>
      </c>
      <c r="X621" s="26">
        <v>64.304972325273837</v>
      </c>
      <c r="Y621" s="28">
        <v>715.12360090001096</v>
      </c>
      <c r="Z621" s="17" t="str">
        <f>SUBSTITUTE(SUBSTITUTE(SUBSTITUTE(SUBSTITUTE(IF(E621="","",VLOOKUP(E621,[1]Esquemas_NORM!$A$2:$H$126,8,FALSE)),"PROVINCIA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621" s="17" t="str">
        <f>IF($E621="","",INDEX([1]Esquemas_NORM!$H$2:$K$126,MATCH($E621,[1]Esquemas_NORM!$A$2:$A$126,0),MATCH(AA$4,[1]Esquemas_NORM!$H$1:$K$1,0)))</f>
        <v>A la fecha no ha conformado un EAT Región</v>
      </c>
      <c r="AB621" s="17" t="str">
        <f>IF($E621="","",INDEX([1]Esquemas_NORM!$H$2:$K$126,MATCH($E621,[1]Esquemas_NORM!$A$2:$A$126,0),MATCH(AB$4,[1]Esquemas_NORM!$H$1:$K$1,0)))</f>
        <v>A la fecha no ha conformado un EAT Área Metropolitana</v>
      </c>
      <c r="AC621" s="17" t="str">
        <f>IF($E621="","",INDEX([1]Esquemas_NORM!$H$2:$K$126,MATCH($E621,[1]Esquemas_NORM!$A$2:$A$126,0),MATCH(AC$4,[1]Esquemas_NORM!$H$1:$K$1,0)))</f>
        <v>A la fecha no ha conformado un EAT asociación - unión</v>
      </c>
      <c r="AD621" s="23"/>
    </row>
    <row r="622" spans="1:30" x14ac:dyDescent="0.25">
      <c r="A622" s="24">
        <v>2019</v>
      </c>
      <c r="B622" s="25" t="s">
        <v>36</v>
      </c>
      <c r="C622" s="25" t="s">
        <v>252</v>
      </c>
      <c r="D622" s="25" t="s">
        <v>267</v>
      </c>
      <c r="E622" s="25" t="s">
        <v>300</v>
      </c>
      <c r="F622" s="25" t="s">
        <v>255</v>
      </c>
      <c r="G622" s="25" t="s">
        <v>301</v>
      </c>
      <c r="H622" s="26">
        <v>91.605369348742286</v>
      </c>
      <c r="I622" s="26">
        <v>3.8202473187096944</v>
      </c>
      <c r="J622" s="27">
        <v>95.425616667451976</v>
      </c>
      <c r="K622" s="26">
        <v>1.1198050110453071</v>
      </c>
      <c r="L622" s="26">
        <v>14.186393372573203</v>
      </c>
      <c r="M622" s="27">
        <v>15.30619838361851</v>
      </c>
      <c r="N622" s="26">
        <v>2.1521143593464362</v>
      </c>
      <c r="O622" s="26">
        <v>10.375774057080388</v>
      </c>
      <c r="P622" s="26">
        <v>2.7393978161072581</v>
      </c>
      <c r="Q622" s="26">
        <v>1.6261593240179184</v>
      </c>
      <c r="R622" s="26">
        <v>8.3481246006952858</v>
      </c>
      <c r="S622" s="26">
        <v>7.502163054267843</v>
      </c>
      <c r="T622" s="26">
        <v>15.177792278161489</v>
      </c>
      <c r="U622" s="26">
        <v>3.1540387253521818</v>
      </c>
      <c r="V622" s="27">
        <v>51.075564215028805</v>
      </c>
      <c r="W622" s="27">
        <v>170.83245501331123</v>
      </c>
      <c r="X622" s="26">
        <v>16.880073118609044</v>
      </c>
      <c r="Y622" s="28">
        <v>187.72014411223984</v>
      </c>
      <c r="Z622" s="17" t="str">
        <f>SUBSTITUTE(SUBSTITUTE(SUBSTITUTE(SUBSTITUTE(IF(E622="","",VLOOKUP(E622,[1]Esquemas_NORM!$A$2:$H$126,8,FALSE)),"PROVINCIA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22" s="17" t="str">
        <f>IF($E622="","",INDEX([1]Esquemas_NORM!$H$2:$K$126,MATCH($E622,[1]Esquemas_NORM!$A$2:$A$126,0),MATCH(AA$4,[1]Esquemas_NORM!$H$1:$K$1,0)))</f>
        <v>A la fecha no ha conformado un EAT Región</v>
      </c>
      <c r="AB622" s="17" t="str">
        <f>IF($E622="","",INDEX([1]Esquemas_NORM!$H$2:$K$126,MATCH($E622,[1]Esquemas_NORM!$A$2:$A$126,0),MATCH(AB$4,[1]Esquemas_NORM!$H$1:$K$1,0)))</f>
        <v>A la fecha no ha conformado un EAT Área Metropolitana</v>
      </c>
      <c r="AC622" s="17" t="str">
        <f>IF($E622="","",INDEX([1]Esquemas_NORM!$H$2:$K$126,MATCH($E622,[1]Esquemas_NORM!$A$2:$A$126,0),MATCH(AC$4,[1]Esquemas_NORM!$H$1:$K$1,0)))</f>
        <v>A la fecha no ha conformado un EAT asociación - unión</v>
      </c>
      <c r="AD622" s="23"/>
    </row>
    <row r="623" spans="1:30" x14ac:dyDescent="0.25">
      <c r="A623" s="24">
        <v>2019</v>
      </c>
      <c r="B623" s="25" t="s">
        <v>36</v>
      </c>
      <c r="C623" s="25" t="s">
        <v>252</v>
      </c>
      <c r="D623" s="25" t="s">
        <v>253</v>
      </c>
      <c r="E623" s="25" t="s">
        <v>302</v>
      </c>
      <c r="F623" s="25" t="s">
        <v>255</v>
      </c>
      <c r="G623" s="25" t="s">
        <v>303</v>
      </c>
      <c r="H623" s="26">
        <v>30.086947532107256</v>
      </c>
      <c r="I623" s="26">
        <v>2.8957182855284773</v>
      </c>
      <c r="J623" s="27">
        <v>32.982665817635734</v>
      </c>
      <c r="K623" s="26">
        <v>4.857894827980231</v>
      </c>
      <c r="L623" s="26">
        <v>11.566004929564437</v>
      </c>
      <c r="M623" s="27">
        <v>16.423899757544667</v>
      </c>
      <c r="N623" s="26">
        <v>5.5889402051511352</v>
      </c>
      <c r="O623" s="26">
        <v>26.951620939248805</v>
      </c>
      <c r="P623" s="26">
        <v>4.9432456180955002</v>
      </c>
      <c r="Q623" s="26">
        <v>2.7587371337069002</v>
      </c>
      <c r="R623" s="26">
        <v>13.406810761430712</v>
      </c>
      <c r="S623" s="26">
        <v>16.769471799873703</v>
      </c>
      <c r="T623" s="26">
        <v>29.634359522311179</v>
      </c>
      <c r="U623" s="26">
        <v>5.3943614327000144</v>
      </c>
      <c r="V623" s="27">
        <v>105.44754741251793</v>
      </c>
      <c r="W623" s="27">
        <v>159.22232884719045</v>
      </c>
      <c r="X623" s="26">
        <v>15.732868516392626</v>
      </c>
      <c r="Y623" s="28">
        <v>174.96229574616419</v>
      </c>
      <c r="Z623" s="17" t="str">
        <f>SUBSTITUTE(SUBSTITUTE(SUBSTITUTE(SUBSTITUTE(IF(E623="","",VLOOKUP(E623,[1]Esquemas_NORM!$A$2:$H$126,8,FALSE)),"PROVINCIA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623" s="17" t="str">
        <f>IF($E623="","",INDEX([1]Esquemas_NORM!$H$2:$K$126,MATCH($E623,[1]Esquemas_NORM!$A$2:$A$126,0),MATCH(AA$4,[1]Esquemas_NORM!$H$1:$K$1,0)))</f>
        <v>A la fecha no ha conformado un EAT Región</v>
      </c>
      <c r="AB623" s="17" t="str">
        <f>IF($E623="","",INDEX([1]Esquemas_NORM!$H$2:$K$126,MATCH($E623,[1]Esquemas_NORM!$A$2:$A$126,0),MATCH(AB$4,[1]Esquemas_NORM!$H$1:$K$1,0)))</f>
        <v>A la fecha no ha conformado un EAT Área Metropolitana</v>
      </c>
      <c r="AC623" s="17" t="str">
        <f>IF($E623="","",INDEX([1]Esquemas_NORM!$H$2:$K$126,MATCH($E623,[1]Esquemas_NORM!$A$2:$A$126,0),MATCH(AC$4,[1]Esquemas_NORM!$H$1:$K$1,0)))</f>
        <v>A la fecha no ha conformado un EAT asociación - unión</v>
      </c>
      <c r="AD623" s="23"/>
    </row>
    <row r="624" spans="1:30" x14ac:dyDescent="0.25">
      <c r="A624" s="24">
        <v>2019</v>
      </c>
      <c r="B624" s="25" t="s">
        <v>36</v>
      </c>
      <c r="C624" s="25" t="s">
        <v>304</v>
      </c>
      <c r="D624" s="25" t="s">
        <v>305</v>
      </c>
      <c r="E624" s="25" t="s">
        <v>306</v>
      </c>
      <c r="F624" s="25" t="s">
        <v>307</v>
      </c>
      <c r="G624" s="25" t="s">
        <v>308</v>
      </c>
      <c r="H624" s="26">
        <v>496.78483380808689</v>
      </c>
      <c r="I624" s="26">
        <v>3.0473108962153117</v>
      </c>
      <c r="J624" s="27">
        <v>499.83214470430221</v>
      </c>
      <c r="K624" s="26">
        <v>82.311107559955758</v>
      </c>
      <c r="L624" s="26">
        <v>176.71024597579773</v>
      </c>
      <c r="M624" s="27">
        <v>259.02135353575352</v>
      </c>
      <c r="N624" s="26">
        <v>69.314134870915254</v>
      </c>
      <c r="O624" s="26">
        <v>426.43121455823263</v>
      </c>
      <c r="P624" s="26">
        <v>60.668339256540577</v>
      </c>
      <c r="Q624" s="26">
        <v>76.145300625001468</v>
      </c>
      <c r="R624" s="26">
        <v>143.7241258471974</v>
      </c>
      <c r="S624" s="26">
        <v>176.49432322311003</v>
      </c>
      <c r="T624" s="26">
        <v>263.52392842635538</v>
      </c>
      <c r="U624" s="26">
        <v>52.437306802031856</v>
      </c>
      <c r="V624" s="27">
        <v>1268.7386736093845</v>
      </c>
      <c r="W624" s="27">
        <v>2083.73128859598</v>
      </c>
      <c r="X624" s="26">
        <v>205.89493084496837</v>
      </c>
      <c r="Y624" s="28">
        <v>2289.7191154687202</v>
      </c>
      <c r="Z624" s="17" t="str">
        <f>SUBSTITUTE(SUBSTITUTE(SUBSTITUTE(SUBSTITUTE(IF(E624="","",VLOOKUP(E624,[1]Esquemas_NORM!$A$2:$H$126,8,FALSE)),"PROVINCIA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24" s="17" t="str">
        <f>IF($E624="","",INDEX([1]Esquemas_NORM!$H$2:$K$126,MATCH($E624,[1]Esquemas_NORM!$A$2:$A$126,0),MATCH(AA$4,[1]Esquemas_NORM!$H$1:$K$1,0)))</f>
        <v>Región de Planeación y Gestión de Urabá - RPG (Acuerdo de Voluntades)</v>
      </c>
      <c r="AB624" s="17" t="str">
        <f>IF($E624="","",INDEX([1]Esquemas_NORM!$H$2:$K$126,MATCH($E624,[1]Esquemas_NORM!$A$2:$A$126,0),MATCH(AB$4,[1]Esquemas_NORM!$H$1:$K$1,0)))</f>
        <v>A la fecha no ha conformado un EAT Área Metropolitana</v>
      </c>
      <c r="AC624" s="17" t="str">
        <f>IF($E624="","",INDEX([1]Esquemas_NORM!$H$2:$K$126,MATCH($E624,[1]Esquemas_NORM!$A$2:$A$126,0),MATCH(AC$4,[1]Esquemas_NORM!$H$1:$K$1,0)))</f>
        <v>ASOCIACIÓN DE MUNICIPIOS DEL URABÁ ANTIOQUEÑO - ASOMURA</v>
      </c>
      <c r="AD624" s="23"/>
    </row>
    <row r="625" spans="1:30" x14ac:dyDescent="0.25">
      <c r="A625" s="24">
        <v>2019</v>
      </c>
      <c r="B625" s="25" t="s">
        <v>36</v>
      </c>
      <c r="C625" s="25" t="s">
        <v>304</v>
      </c>
      <c r="D625" s="25" t="s">
        <v>309</v>
      </c>
      <c r="E625" s="25" t="s">
        <v>310</v>
      </c>
      <c r="F625" s="25" t="s">
        <v>307</v>
      </c>
      <c r="G625" s="25" t="s">
        <v>311</v>
      </c>
      <c r="H625" s="26">
        <v>42.441559182341848</v>
      </c>
      <c r="I625" s="26">
        <v>0</v>
      </c>
      <c r="J625" s="27">
        <v>42.441559182341848</v>
      </c>
      <c r="K625" s="26">
        <v>2.7337571220067121</v>
      </c>
      <c r="L625" s="26">
        <v>19.316875220841734</v>
      </c>
      <c r="M625" s="27">
        <v>22.050632342848445</v>
      </c>
      <c r="N625" s="26">
        <v>6.4275106443455803</v>
      </c>
      <c r="O625" s="26">
        <v>56.815959738927248</v>
      </c>
      <c r="P625" s="26">
        <v>7.9021188165063476</v>
      </c>
      <c r="Q625" s="26">
        <v>5.1750415981750981</v>
      </c>
      <c r="R625" s="26">
        <v>13.878867385237257</v>
      </c>
      <c r="S625" s="26">
        <v>22.917687388487774</v>
      </c>
      <c r="T625" s="26">
        <v>51.203048841599731</v>
      </c>
      <c r="U625" s="26">
        <v>6.1553159738597767</v>
      </c>
      <c r="V625" s="27">
        <v>170.47555038713884</v>
      </c>
      <c r="W625" s="27">
        <v>241.56650168658868</v>
      </c>
      <c r="X625" s="26">
        <v>23.869353227755571</v>
      </c>
      <c r="Y625" s="28">
        <v>265.44662433004214</v>
      </c>
      <c r="Z625" s="17" t="str">
        <f>SUBSTITUTE(SUBSTITUTE(SUBSTITUTE(SUBSTITUTE(IF(E625="","",VLOOKUP(E625,[1]Esquemas_NORM!$A$2:$H$126,8,FALSE)),"PROVINCIA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25" s="17" t="str">
        <f>IF($E625="","",INDEX([1]Esquemas_NORM!$H$2:$K$126,MATCH($E625,[1]Esquemas_NORM!$A$2:$A$126,0),MATCH(AA$4,[1]Esquemas_NORM!$H$1:$K$1,0)))</f>
        <v>Región de Planeación y Gestión de Urabá - RPG (Acuerdo de Voluntades)</v>
      </c>
      <c r="AB625" s="17" t="str">
        <f>IF($E625="","",INDEX([1]Esquemas_NORM!$H$2:$K$126,MATCH($E625,[1]Esquemas_NORM!$A$2:$A$126,0),MATCH(AB$4,[1]Esquemas_NORM!$H$1:$K$1,0)))</f>
        <v>A la fecha no ha conformado un EAT Área Metropolitana</v>
      </c>
      <c r="AC625" s="17" t="str">
        <f>IF($E625="","",INDEX([1]Esquemas_NORM!$H$2:$K$126,MATCH($E625,[1]Esquemas_NORM!$A$2:$A$126,0),MATCH(AC$4,[1]Esquemas_NORM!$H$1:$K$1,0)))</f>
        <v>ASOCIACIÓN DE MUNICIPIOS DEL URABÁ ANTIOQUEÑO - ASOMURA /ASOCIACIÓN DE MUNICIPIOS DEL URABÁ NORTE-ASOURANOR</v>
      </c>
      <c r="AD625" s="23"/>
    </row>
    <row r="626" spans="1:30" x14ac:dyDescent="0.25">
      <c r="A626" s="24">
        <v>2019</v>
      </c>
      <c r="B626" s="25" t="s">
        <v>36</v>
      </c>
      <c r="C626" s="25" t="s">
        <v>304</v>
      </c>
      <c r="D626" s="25" t="s">
        <v>305</v>
      </c>
      <c r="E626" s="25" t="s">
        <v>312</v>
      </c>
      <c r="F626" s="25" t="s">
        <v>307</v>
      </c>
      <c r="G626" s="25" t="s">
        <v>313</v>
      </c>
      <c r="H626" s="26">
        <v>486.19280944218195</v>
      </c>
      <c r="I626" s="26">
        <v>1.2761016302719719</v>
      </c>
      <c r="J626" s="27">
        <v>487.46891107245392</v>
      </c>
      <c r="K626" s="26">
        <v>43.78628476980446</v>
      </c>
      <c r="L626" s="26">
        <v>44.79429417971911</v>
      </c>
      <c r="M626" s="27">
        <v>88.58057894952357</v>
      </c>
      <c r="N626" s="26">
        <v>21.95589334219234</v>
      </c>
      <c r="O626" s="26">
        <v>116.17752808629768</v>
      </c>
      <c r="P626" s="26">
        <v>20.327553161267293</v>
      </c>
      <c r="Q626" s="26">
        <v>16.095627557409188</v>
      </c>
      <c r="R626" s="26">
        <v>38.599995996790106</v>
      </c>
      <c r="S626" s="26">
        <v>49.745538865206342</v>
      </c>
      <c r="T626" s="26">
        <v>69.651560638119932</v>
      </c>
      <c r="U626" s="26">
        <v>16.019450113553212</v>
      </c>
      <c r="V626" s="27">
        <v>348.57314776083609</v>
      </c>
      <c r="W626" s="27">
        <v>971.95878019346719</v>
      </c>
      <c r="X626" s="26">
        <v>96.039919795452306</v>
      </c>
      <c r="Y626" s="28">
        <v>1068.0420314445305</v>
      </c>
      <c r="Z626" s="17" t="str">
        <f>SUBSTITUTE(SUBSTITUTE(SUBSTITUTE(SUBSTITUTE(IF(E626="","",VLOOKUP(E626,[1]Esquemas_NORM!$A$2:$H$126,8,FALSE)),"PROVINCIA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26" s="17" t="str">
        <f>IF($E626="","",INDEX([1]Esquemas_NORM!$H$2:$K$126,MATCH($E626,[1]Esquemas_NORM!$A$2:$A$126,0),MATCH(AA$4,[1]Esquemas_NORM!$H$1:$K$1,0)))</f>
        <v>Región de Planeación y Gestión de Urabá - RPG (Acuerdo de Voluntades)</v>
      </c>
      <c r="AB626" s="17" t="str">
        <f>IF($E626="","",INDEX([1]Esquemas_NORM!$H$2:$K$126,MATCH($E626,[1]Esquemas_NORM!$A$2:$A$126,0),MATCH(AB$4,[1]Esquemas_NORM!$H$1:$K$1,0)))</f>
        <v>A la fecha no ha conformado un EAT Área Metropolitana</v>
      </c>
      <c r="AC626" s="17" t="str">
        <f>IF($E626="","",INDEX([1]Esquemas_NORM!$H$2:$K$126,MATCH($E626,[1]Esquemas_NORM!$A$2:$A$126,0),MATCH(AC$4,[1]Esquemas_NORM!$H$1:$K$1,0)))</f>
        <v>ASOCIACIÓN DE MUNICIPIOS DEL URABÁ ANTIOQUEÑO - ASOMURA / ASOCIACIÓN DE MUNICIPIOS DEL CHOCÓ Y URABÁ - ASUMUCUR</v>
      </c>
      <c r="AD626" s="23"/>
    </row>
    <row r="627" spans="1:30" x14ac:dyDescent="0.25">
      <c r="A627" s="24">
        <v>2019</v>
      </c>
      <c r="B627" s="25" t="s">
        <v>36</v>
      </c>
      <c r="C627" s="25" t="s">
        <v>304</v>
      </c>
      <c r="D627" s="25" t="s">
        <v>305</v>
      </c>
      <c r="E627" s="25" t="s">
        <v>314</v>
      </c>
      <c r="F627" s="25" t="s">
        <v>307</v>
      </c>
      <c r="G627" s="25" t="s">
        <v>315</v>
      </c>
      <c r="H627" s="26">
        <v>225.67428550330428</v>
      </c>
      <c r="I627" s="26">
        <v>2.5879884102479247</v>
      </c>
      <c r="J627" s="27">
        <v>228.26227391355221</v>
      </c>
      <c r="K627" s="26">
        <v>18.014994902905215</v>
      </c>
      <c r="L627" s="26">
        <v>50.629699280187971</v>
      </c>
      <c r="M627" s="27">
        <v>68.644694183093179</v>
      </c>
      <c r="N627" s="26">
        <v>27.009108334169625</v>
      </c>
      <c r="O627" s="26">
        <v>110.30306218547362</v>
      </c>
      <c r="P627" s="26">
        <v>26.261136684546724</v>
      </c>
      <c r="Q627" s="26">
        <v>25.997908533919663</v>
      </c>
      <c r="R627" s="26">
        <v>47.376114265424519</v>
      </c>
      <c r="S627" s="26">
        <v>58.800336118772449</v>
      </c>
      <c r="T627" s="26">
        <v>109.2570546665237</v>
      </c>
      <c r="U627" s="26">
        <v>24.268277363246479</v>
      </c>
      <c r="V627" s="27">
        <v>429.27299815207675</v>
      </c>
      <c r="W627" s="27">
        <v>751.12374565585287</v>
      </c>
      <c r="X627" s="26">
        <v>74.219057185641049</v>
      </c>
      <c r="Y627" s="28">
        <v>825.37628912291541</v>
      </c>
      <c r="Z627" s="17" t="str">
        <f>SUBSTITUTE(SUBSTITUTE(SUBSTITUTE(SUBSTITUTE(IF(E627="","",VLOOKUP(E627,[1]Esquemas_NORM!$A$2:$H$126,8,FALSE)),"PROVINCIA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27" s="17" t="str">
        <f>IF($E627="","",INDEX([1]Esquemas_NORM!$H$2:$K$126,MATCH($E627,[1]Esquemas_NORM!$A$2:$A$126,0),MATCH(AA$4,[1]Esquemas_NORM!$H$1:$K$1,0)))</f>
        <v>Región de Planeación y Gestión de Urabá - RPG (Acuerdo de Voluntades)</v>
      </c>
      <c r="AB627" s="17" t="str">
        <f>IF($E627="","",INDEX([1]Esquemas_NORM!$H$2:$K$126,MATCH($E627,[1]Esquemas_NORM!$A$2:$A$126,0),MATCH(AB$4,[1]Esquemas_NORM!$H$1:$K$1,0)))</f>
        <v>A la fecha no ha conformado un EAT Área Metropolitana</v>
      </c>
      <c r="AC627" s="17" t="str">
        <f>IF($E627="","",INDEX([1]Esquemas_NORM!$H$2:$K$126,MATCH($E627,[1]Esquemas_NORM!$A$2:$A$126,0),MATCH(AC$4,[1]Esquemas_NORM!$H$1:$K$1,0)))</f>
        <v>ASOCIACIÓN DE MUNICIPIOS DEL URABÁ ANTIOQUEÑO - ASOMURA</v>
      </c>
      <c r="AD627" s="23"/>
    </row>
    <row r="628" spans="1:30" x14ac:dyDescent="0.25">
      <c r="A628" s="24">
        <v>2019</v>
      </c>
      <c r="B628" s="25" t="s">
        <v>36</v>
      </c>
      <c r="C628" s="25" t="s">
        <v>304</v>
      </c>
      <c r="D628" s="25" t="s">
        <v>316</v>
      </c>
      <c r="E628" s="25" t="s">
        <v>317</v>
      </c>
      <c r="F628" s="25" t="s">
        <v>307</v>
      </c>
      <c r="G628" s="25" t="s">
        <v>318</v>
      </c>
      <c r="H628" s="26">
        <v>1.1539293344717205</v>
      </c>
      <c r="I628" s="26">
        <v>0</v>
      </c>
      <c r="J628" s="27">
        <v>1.1539293344717205</v>
      </c>
      <c r="K628" s="26">
        <v>0.31507382989451266</v>
      </c>
      <c r="L628" s="26">
        <v>3.3449235421276877</v>
      </c>
      <c r="M628" s="27">
        <v>3.6599973720222003</v>
      </c>
      <c r="N628" s="26">
        <v>0.6087405678363228</v>
      </c>
      <c r="O628" s="26">
        <v>8.1915486181551582</v>
      </c>
      <c r="P628" s="26">
        <v>1.5711268075883085</v>
      </c>
      <c r="Q628" s="26">
        <v>0.7593828193392812</v>
      </c>
      <c r="R628" s="26">
        <v>2.2777222451750543</v>
      </c>
      <c r="S628" s="26">
        <v>5.5666476522253561</v>
      </c>
      <c r="T628" s="26">
        <v>15.778207661580385</v>
      </c>
      <c r="U628" s="26">
        <v>1.2803188298730894</v>
      </c>
      <c r="V628" s="27">
        <v>36.03369520177295</v>
      </c>
      <c r="W628" s="27">
        <v>41.414933353734966</v>
      </c>
      <c r="X628" s="26">
        <v>4.0922382293181592</v>
      </c>
      <c r="Y628" s="28">
        <v>45.50901792611095</v>
      </c>
      <c r="Z628" s="17" t="str">
        <f>SUBSTITUTE(SUBSTITUTE(SUBSTITUTE(SUBSTITUTE(IF(E628="","",VLOOKUP(E628,[1]Esquemas_NORM!$A$2:$H$126,8,FALSE)),"PROVINCIA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28" s="17" t="str">
        <f>IF($E628="","",INDEX([1]Esquemas_NORM!$H$2:$K$126,MATCH($E628,[1]Esquemas_NORM!$A$2:$A$126,0),MATCH(AA$4,[1]Esquemas_NORM!$H$1:$K$1,0)))</f>
        <v>Región de Planeación y Gestión de Urabá - RPG (Acuerdo de Voluntades)</v>
      </c>
      <c r="AB628" s="17" t="str">
        <f>IF($E628="","",INDEX([1]Esquemas_NORM!$H$2:$K$126,MATCH($E628,[1]Esquemas_NORM!$A$2:$A$126,0),MATCH(AB$4,[1]Esquemas_NORM!$H$1:$K$1,0)))</f>
        <v>A la fecha no ha conformado un EAT Área Metropolitana</v>
      </c>
      <c r="AC628" s="17" t="str">
        <f>IF($E628="","",INDEX([1]Esquemas_NORM!$H$2:$K$126,MATCH($E628,[1]Esquemas_NORM!$A$2:$A$126,0),MATCH(AC$4,[1]Esquemas_NORM!$H$1:$K$1,0)))</f>
        <v>ASOCIACION DE MUNICIPIOS DE LA CUENCA DEL ATRATO Y DARIEN ASOATRATO / ASOCIACIÓN DE MUNICIPIOS DEL CHOCÓ Y URABÁ - ASUMUCUR</v>
      </c>
      <c r="AD628" s="23"/>
    </row>
    <row r="629" spans="1:30" x14ac:dyDescent="0.25">
      <c r="A629" s="24">
        <v>2019</v>
      </c>
      <c r="B629" s="25" t="s">
        <v>36</v>
      </c>
      <c r="C629" s="25" t="s">
        <v>304</v>
      </c>
      <c r="D629" s="25" t="s">
        <v>305</v>
      </c>
      <c r="E629" s="25" t="s">
        <v>319</v>
      </c>
      <c r="F629" s="25" t="s">
        <v>307</v>
      </c>
      <c r="G629" s="25" t="s">
        <v>320</v>
      </c>
      <c r="H629" s="26">
        <v>47.161441755412675</v>
      </c>
      <c r="I629" s="26">
        <v>20.855145198205925</v>
      </c>
      <c r="J629" s="27">
        <v>68.016586953618599</v>
      </c>
      <c r="K629" s="26">
        <v>1.2748026270765824</v>
      </c>
      <c r="L629" s="26">
        <v>14.14438447009109</v>
      </c>
      <c r="M629" s="27">
        <v>15.419187097167672</v>
      </c>
      <c r="N629" s="26">
        <v>6.8763114054228458</v>
      </c>
      <c r="O629" s="26">
        <v>30.066167203390069</v>
      </c>
      <c r="P629" s="26">
        <v>4.1945425960193585</v>
      </c>
      <c r="Q629" s="26">
        <v>3.2957252493245419</v>
      </c>
      <c r="R629" s="26">
        <v>8.4890312145384677</v>
      </c>
      <c r="S629" s="26">
        <v>18.059099145915663</v>
      </c>
      <c r="T629" s="26">
        <v>37.079324102586867</v>
      </c>
      <c r="U629" s="26">
        <v>3.3170871894731535</v>
      </c>
      <c r="V629" s="27">
        <v>111.37728810667097</v>
      </c>
      <c r="W629" s="27">
        <v>205.62834962838576</v>
      </c>
      <c r="X629" s="26">
        <v>20.318279548917044</v>
      </c>
      <c r="Y629" s="28">
        <v>225.95579641349241</v>
      </c>
      <c r="Z629" s="17" t="str">
        <f>SUBSTITUTE(SUBSTITUTE(SUBSTITUTE(SUBSTITUTE(IF(E629="","",VLOOKUP(E629,[1]Esquemas_NORM!$A$2:$H$126,8,FALSE)),"PROVINCIA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29" s="17" t="str">
        <f>IF($E629="","",INDEX([1]Esquemas_NORM!$H$2:$K$126,MATCH($E629,[1]Esquemas_NORM!$A$2:$A$126,0),MATCH(AA$4,[1]Esquemas_NORM!$H$1:$K$1,0)))</f>
        <v>Región de Planeación y Gestión de Urabá - RPG (Acuerdo de Voluntades)</v>
      </c>
      <c r="AB629" s="17" t="str">
        <f>IF($E629="","",INDEX([1]Esquemas_NORM!$H$2:$K$126,MATCH($E629,[1]Esquemas_NORM!$A$2:$A$126,0),MATCH(AB$4,[1]Esquemas_NORM!$H$1:$K$1,0)))</f>
        <v>A la fecha no ha conformado un EAT Área Metropolitana</v>
      </c>
      <c r="AC629" s="17" t="str">
        <f>IF($E629="","",INDEX([1]Esquemas_NORM!$H$2:$K$126,MATCH($E629,[1]Esquemas_NORM!$A$2:$A$126,0),MATCH(AC$4,[1]Esquemas_NORM!$H$1:$K$1,0)))</f>
        <v>ASOCIACIÓN DE MUNICIPIOS DEL URABÁ ANTIOQUEÑO - ASOMURA / ASOCIACIÓN DE MUNICIPIOS DEL CHOCÓ Y URABÁ - ASUMUCUR</v>
      </c>
      <c r="AD629" s="23"/>
    </row>
    <row r="630" spans="1:30" x14ac:dyDescent="0.25">
      <c r="A630" s="24">
        <v>2019</v>
      </c>
      <c r="B630" s="25" t="s">
        <v>36</v>
      </c>
      <c r="C630" s="25" t="s">
        <v>304</v>
      </c>
      <c r="D630" s="25" t="s">
        <v>309</v>
      </c>
      <c r="E630" s="25" t="s">
        <v>321</v>
      </c>
      <c r="F630" s="25" t="s">
        <v>307</v>
      </c>
      <c r="G630" s="25" t="s">
        <v>322</v>
      </c>
      <c r="H630" s="26">
        <v>81.547023926895847</v>
      </c>
      <c r="I630" s="26">
        <v>0</v>
      </c>
      <c r="J630" s="27">
        <v>81.547023926895847</v>
      </c>
      <c r="K630" s="26">
        <v>6.1015865709514925</v>
      </c>
      <c r="L630" s="26">
        <v>32.988740264739555</v>
      </c>
      <c r="M630" s="27">
        <v>39.090326835691044</v>
      </c>
      <c r="N630" s="26">
        <v>21.909873825711752</v>
      </c>
      <c r="O630" s="26">
        <v>85.55564878618911</v>
      </c>
      <c r="P630" s="26">
        <v>12.458905521374639</v>
      </c>
      <c r="Q630" s="26">
        <v>9.5119061794646331</v>
      </c>
      <c r="R630" s="26">
        <v>25.258773038959905</v>
      </c>
      <c r="S630" s="26">
        <v>39.550664651513443</v>
      </c>
      <c r="T630" s="26">
        <v>91.267611672757766</v>
      </c>
      <c r="U630" s="26">
        <v>10.127872941132585</v>
      </c>
      <c r="V630" s="27">
        <v>295.64125661710381</v>
      </c>
      <c r="W630" s="27">
        <v>428.83204107570776</v>
      </c>
      <c r="X630" s="26">
        <v>42.373190787420263</v>
      </c>
      <c r="Y630" s="28">
        <v>471.22434987196891</v>
      </c>
      <c r="Z630" s="17" t="str">
        <f>SUBSTITUTE(SUBSTITUTE(SUBSTITUTE(SUBSTITUTE(IF(E630="","",VLOOKUP(E630,[1]Esquemas_NORM!$A$2:$H$126,8,FALSE)),"PROVINCIA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30" s="17" t="str">
        <f>IF($E630="","",INDEX([1]Esquemas_NORM!$H$2:$K$126,MATCH($E630,[1]Esquemas_NORM!$A$2:$A$126,0),MATCH(AA$4,[1]Esquemas_NORM!$H$1:$K$1,0)))</f>
        <v>Región de Planeación y Gestión de Urabá - RPG (Acuerdo de Voluntades)</v>
      </c>
      <c r="AB630" s="17" t="str">
        <f>IF($E630="","",INDEX([1]Esquemas_NORM!$H$2:$K$126,MATCH($E630,[1]Esquemas_NORM!$A$2:$A$126,0),MATCH(AB$4,[1]Esquemas_NORM!$H$1:$K$1,0)))</f>
        <v>A la fecha no ha conformado un EAT Área Metropolitana</v>
      </c>
      <c r="AC630" s="17" t="str">
        <f>IF($E630="","",INDEX([1]Esquemas_NORM!$H$2:$K$126,MATCH($E630,[1]Esquemas_NORM!$A$2:$A$126,0),MATCH(AC$4,[1]Esquemas_NORM!$H$1:$K$1,0)))</f>
        <v>ASOCIACIÓN DE MUNICIPIOS DEL URABÁ NORTE-ASOURANOR</v>
      </c>
      <c r="AD630" s="23"/>
    </row>
    <row r="631" spans="1:30" x14ac:dyDescent="0.25">
      <c r="A631" s="24">
        <v>2019</v>
      </c>
      <c r="B631" s="25" t="s">
        <v>36</v>
      </c>
      <c r="C631" s="25" t="s">
        <v>304</v>
      </c>
      <c r="D631" s="25" t="s">
        <v>309</v>
      </c>
      <c r="E631" s="25" t="s">
        <v>323</v>
      </c>
      <c r="F631" s="25" t="s">
        <v>307</v>
      </c>
      <c r="G631" s="25" t="s">
        <v>324</v>
      </c>
      <c r="H631" s="26">
        <v>49.82886641519363</v>
      </c>
      <c r="I631" s="26">
        <v>0</v>
      </c>
      <c r="J631" s="27">
        <v>49.82886641519363</v>
      </c>
      <c r="K631" s="26">
        <v>2.2079892405442778</v>
      </c>
      <c r="L631" s="26">
        <v>14.816824418835242</v>
      </c>
      <c r="M631" s="27">
        <v>17.024813659379522</v>
      </c>
      <c r="N631" s="26">
        <v>9.1616014734508884</v>
      </c>
      <c r="O631" s="26">
        <v>28.290371505800277</v>
      </c>
      <c r="P631" s="26">
        <v>5.7209542124159176</v>
      </c>
      <c r="Q631" s="26">
        <v>3.5360074243405055</v>
      </c>
      <c r="R631" s="26">
        <v>6.2421357055311359</v>
      </c>
      <c r="S631" s="26">
        <v>15.78776125765263</v>
      </c>
      <c r="T631" s="26">
        <v>43.596191981188475</v>
      </c>
      <c r="U631" s="26">
        <v>4.2211584297782174</v>
      </c>
      <c r="V631" s="27">
        <v>116.55618199015804</v>
      </c>
      <c r="W631" s="27">
        <v>189.87679820503263</v>
      </c>
      <c r="X631" s="26">
        <v>18.761857850601036</v>
      </c>
      <c r="Y631" s="28">
        <v>208.64712106281377</v>
      </c>
      <c r="Z631" s="17" t="str">
        <f>SUBSTITUTE(SUBSTITUTE(SUBSTITUTE(SUBSTITUTE(IF(E631="","",VLOOKUP(E631,[1]Esquemas_NORM!$A$2:$H$126,8,FALSE)),"PROVINCIA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31" s="17" t="str">
        <f>IF($E631="","",INDEX([1]Esquemas_NORM!$H$2:$K$126,MATCH($E631,[1]Esquemas_NORM!$A$2:$A$126,0),MATCH(AA$4,[1]Esquemas_NORM!$H$1:$K$1,0)))</f>
        <v>Región de Planeación y Gestión de Urabá - RPG (Acuerdo de Voluntades)</v>
      </c>
      <c r="AB631" s="17" t="str">
        <f>IF($E631="","",INDEX([1]Esquemas_NORM!$H$2:$K$126,MATCH($E631,[1]Esquemas_NORM!$A$2:$A$126,0),MATCH(AB$4,[1]Esquemas_NORM!$H$1:$K$1,0)))</f>
        <v>A la fecha no ha conformado un EAT Área Metropolitana</v>
      </c>
      <c r="AC631" s="17" t="str">
        <f>IF($E631="","",INDEX([1]Esquemas_NORM!$H$2:$K$126,MATCH($E631,[1]Esquemas_NORM!$A$2:$A$126,0),MATCH(AC$4,[1]Esquemas_NORM!$H$1:$K$1,0)))</f>
        <v>ASOCIACIÓN DE MUNICIPIOS DEL URABÁ ANTIOQUEÑO - ASOMURA / ASOCIACIÓN DE MUNICIPIOS DEL CHOCÓ Y URABÁ - ASUMUCUR</v>
      </c>
      <c r="AD631" s="23"/>
    </row>
    <row r="632" spans="1:30" x14ac:dyDescent="0.25">
      <c r="A632" s="24">
        <v>2019</v>
      </c>
      <c r="B632" s="25" t="s">
        <v>36</v>
      </c>
      <c r="C632" s="25" t="s">
        <v>304</v>
      </c>
      <c r="D632" s="25" t="s">
        <v>309</v>
      </c>
      <c r="E632" s="25" t="s">
        <v>325</v>
      </c>
      <c r="F632" s="25" t="s">
        <v>307</v>
      </c>
      <c r="G632" s="25" t="s">
        <v>326</v>
      </c>
      <c r="H632" s="26">
        <v>33.819928138835529</v>
      </c>
      <c r="I632" s="26">
        <v>0</v>
      </c>
      <c r="J632" s="27">
        <v>33.819928138835529</v>
      </c>
      <c r="K632" s="26">
        <v>2.3744658228106594</v>
      </c>
      <c r="L632" s="26">
        <v>19.064976905317064</v>
      </c>
      <c r="M632" s="27">
        <v>21.439442728127723</v>
      </c>
      <c r="N632" s="26">
        <v>8.2085746298860176</v>
      </c>
      <c r="O632" s="26">
        <v>58.255241956563736</v>
      </c>
      <c r="P632" s="26">
        <v>7.6057028606820225</v>
      </c>
      <c r="Q632" s="26">
        <v>5.1895092652759391</v>
      </c>
      <c r="R632" s="26">
        <v>10.826448776104547</v>
      </c>
      <c r="S632" s="26">
        <v>24.874182553630028</v>
      </c>
      <c r="T632" s="26">
        <v>57.537216773231748</v>
      </c>
      <c r="U632" s="26">
        <v>4.9745076395827716</v>
      </c>
      <c r="V632" s="27">
        <v>177.47138445495682</v>
      </c>
      <c r="W632" s="27">
        <v>239.10555484557887</v>
      </c>
      <c r="X632" s="26">
        <v>23.626185367095491</v>
      </c>
      <c r="Y632" s="28">
        <v>262.74239991548023</v>
      </c>
      <c r="Z632" s="17" t="str">
        <f>SUBSTITUTE(SUBSTITUTE(SUBSTITUTE(SUBSTITUTE(IF(E632="","",VLOOKUP(E632,[1]Esquemas_NORM!$A$2:$H$126,8,FALSE)),"PROVINCIA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32" s="17" t="str">
        <f>IF($E632="","",INDEX([1]Esquemas_NORM!$H$2:$K$126,MATCH($E632,[1]Esquemas_NORM!$A$2:$A$126,0),MATCH(AA$4,[1]Esquemas_NORM!$H$1:$K$1,0)))</f>
        <v>Región de Planeación y Gestión de Urabá - RPG (Acuerdo de Voluntades)</v>
      </c>
      <c r="AB632" s="17" t="str">
        <f>IF($E632="","",INDEX([1]Esquemas_NORM!$H$2:$K$126,MATCH($E632,[1]Esquemas_NORM!$A$2:$A$126,0),MATCH(AB$4,[1]Esquemas_NORM!$H$1:$K$1,0)))</f>
        <v>A la fecha no ha conformado un EAT Área Metropolitana</v>
      </c>
      <c r="AC632" s="17" t="str">
        <f>IF($E632="","",INDEX([1]Esquemas_NORM!$H$2:$K$126,MATCH($E632,[1]Esquemas_NORM!$A$2:$A$126,0),MATCH(AC$4,[1]Esquemas_NORM!$H$1:$K$1,0)))</f>
        <v>ASOCIACIÓN DE MUNICIPIOS DEL URABÁ NORTE-ASOURANOR</v>
      </c>
      <c r="AD632" s="23"/>
    </row>
    <row r="633" spans="1:30" x14ac:dyDescent="0.25">
      <c r="A633" s="24">
        <v>2019</v>
      </c>
      <c r="B633" s="25" t="s">
        <v>36</v>
      </c>
      <c r="C633" s="25" t="s">
        <v>304</v>
      </c>
      <c r="D633" s="25" t="s">
        <v>305</v>
      </c>
      <c r="E633" s="25" t="s">
        <v>327</v>
      </c>
      <c r="F633" s="25" t="s">
        <v>307</v>
      </c>
      <c r="G633" s="25" t="s">
        <v>328</v>
      </c>
      <c r="H633" s="26">
        <v>596.8566716678082</v>
      </c>
      <c r="I633" s="26">
        <v>1.0337107227070172</v>
      </c>
      <c r="J633" s="27">
        <v>597.89038239051524</v>
      </c>
      <c r="K633" s="26">
        <v>22.148099044883661</v>
      </c>
      <c r="L633" s="26">
        <v>154.45478766807383</v>
      </c>
      <c r="M633" s="27">
        <v>176.60288671295748</v>
      </c>
      <c r="N633" s="26">
        <v>45.690251635193384</v>
      </c>
      <c r="O633" s="26">
        <v>325.90384821104675</v>
      </c>
      <c r="P633" s="26">
        <v>47.240717448832342</v>
      </c>
      <c r="Q633" s="26">
        <v>37.086921363284794</v>
      </c>
      <c r="R633" s="26">
        <v>80.421807997390061</v>
      </c>
      <c r="S633" s="26">
        <v>152.18769361870034</v>
      </c>
      <c r="T633" s="26">
        <v>373.2838619555946</v>
      </c>
      <c r="U633" s="26">
        <v>34.20913548956625</v>
      </c>
      <c r="V633" s="27">
        <v>1096.0242377196084</v>
      </c>
      <c r="W633" s="27">
        <v>1940.0504210477961</v>
      </c>
      <c r="X633" s="26">
        <v>191.69772487627245</v>
      </c>
      <c r="Y633" s="28">
        <v>2131.8346364321192</v>
      </c>
      <c r="Z633" s="17" t="str">
        <f>SUBSTITUTE(SUBSTITUTE(SUBSTITUTE(SUBSTITUTE(IF(E633="","",VLOOKUP(E633,[1]Esquemas_NORM!$A$2:$H$126,8,FALSE)),"PROVINCIA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33" s="17" t="str">
        <f>IF($E633="","",INDEX([1]Esquemas_NORM!$H$2:$K$126,MATCH($E633,[1]Esquemas_NORM!$A$2:$A$126,0),MATCH(AA$4,[1]Esquemas_NORM!$H$1:$K$1,0)))</f>
        <v>Región de Planeación y Gestión de Urabá - RPG (Acuerdo de Voluntades)</v>
      </c>
      <c r="AB633" s="17" t="str">
        <f>IF($E633="","",INDEX([1]Esquemas_NORM!$H$2:$K$126,MATCH($E633,[1]Esquemas_NORM!$A$2:$A$126,0),MATCH(AB$4,[1]Esquemas_NORM!$H$1:$K$1,0)))</f>
        <v>A la fecha no ha conformado un EAT Área Metropolitana</v>
      </c>
      <c r="AC633" s="17" t="str">
        <f>IF($E633="","",INDEX([1]Esquemas_NORM!$H$2:$K$126,MATCH($E633,[1]Esquemas_NORM!$A$2:$A$126,0),MATCH(AC$4,[1]Esquemas_NORM!$H$1:$K$1,0)))</f>
        <v>ASOCIACIÓN DE MUNICIPIOS DEL URABÁ ANTIOQUEÑO - ASOMURA</v>
      </c>
      <c r="AD633" s="23"/>
    </row>
    <row r="634" spans="1:30" ht="15.75" thickBot="1" x14ac:dyDescent="0.3">
      <c r="A634" s="29">
        <v>2019</v>
      </c>
      <c r="B634" s="30" t="s">
        <v>36</v>
      </c>
      <c r="C634" s="30" t="s">
        <v>304</v>
      </c>
      <c r="D634" s="30" t="s">
        <v>316</v>
      </c>
      <c r="E634" s="30" t="s">
        <v>329</v>
      </c>
      <c r="F634" s="30" t="s">
        <v>307</v>
      </c>
      <c r="G634" s="30" t="s">
        <v>330</v>
      </c>
      <c r="H634" s="32">
        <v>8.8881925745664105</v>
      </c>
      <c r="I634" s="32">
        <v>6.9471191148781336E-2</v>
      </c>
      <c r="J634" s="33">
        <v>8.9576637657151927</v>
      </c>
      <c r="K634" s="32">
        <v>0.64061750993014632</v>
      </c>
      <c r="L634" s="32">
        <v>5.3818581614619889</v>
      </c>
      <c r="M634" s="33">
        <v>6.0224756713921348</v>
      </c>
      <c r="N634" s="32">
        <v>1.4498114256353587</v>
      </c>
      <c r="O634" s="32">
        <v>11.517601286290896</v>
      </c>
      <c r="P634" s="32">
        <v>8.2794351463202762</v>
      </c>
      <c r="Q634" s="32">
        <v>0.71601518883940296</v>
      </c>
      <c r="R634" s="32">
        <v>2.6422783669836027</v>
      </c>
      <c r="S634" s="32">
        <v>9.2247939787574449</v>
      </c>
      <c r="T634" s="32">
        <v>16.481700552370611</v>
      </c>
      <c r="U634" s="32">
        <v>1.5783453120800803</v>
      </c>
      <c r="V634" s="33">
        <v>51.889981257277675</v>
      </c>
      <c r="W634" s="33">
        <v>68.302021389731706</v>
      </c>
      <c r="X634" s="32">
        <v>6.7489700075891577</v>
      </c>
      <c r="Y634" s="35">
        <v>75.054036409175609</v>
      </c>
      <c r="Z634" s="17" t="str">
        <f>SUBSTITUTE(SUBSTITUTE(SUBSTITUTE(SUBSTITUTE(IF(E634="","",VLOOKUP(E634,[1]Esquemas_NORM!$A$2:$H$126,8,FALSE)),"PROVINCIA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34" s="17" t="str">
        <f>IF($E634="","",INDEX([1]Esquemas_NORM!$H$2:$K$126,MATCH($E634,[1]Esquemas_NORM!$A$2:$A$126,0),MATCH(AA$4,[1]Esquemas_NORM!$H$1:$K$1,0)))</f>
        <v>Región de Planeación y Gestión de Urabá - RPG (Acuerdo de Voluntades)</v>
      </c>
      <c r="AB634" s="17" t="str">
        <f>IF($E634="","",INDEX([1]Esquemas_NORM!$H$2:$K$126,MATCH($E634,[1]Esquemas_NORM!$A$2:$A$126,0),MATCH(AB$4,[1]Esquemas_NORM!$H$1:$K$1,0)))</f>
        <v>A la fecha no ha conformado un EAT Área Metropolitana</v>
      </c>
      <c r="AC634" s="17" t="str">
        <f>IF($E634="","",INDEX([1]Esquemas_NORM!$H$2:$K$126,MATCH($E634,[1]Esquemas_NORM!$A$2:$A$126,0),MATCH(AC$4,[1]Esquemas_NORM!$H$1:$K$1,0)))</f>
        <v>ASOCIACION DE MUNICIPIOS DE LA CUENCA DEL ATRATO Y DARIEN ASOATRATO</v>
      </c>
      <c r="AD634" s="23"/>
    </row>
    <row r="635" spans="1:30" ht="15.75" thickBot="1" x14ac:dyDescent="0.3">
      <c r="A635" s="38">
        <v>2020</v>
      </c>
      <c r="B635" s="39" t="s">
        <v>36</v>
      </c>
      <c r="C635" s="39"/>
      <c r="D635" s="39"/>
      <c r="E635" s="39"/>
      <c r="F635" s="39"/>
      <c r="G635" s="39" t="s">
        <v>37</v>
      </c>
      <c r="H635" s="40">
        <v>7000.7477793875023</v>
      </c>
      <c r="I635" s="40">
        <v>2605.4572004804145</v>
      </c>
      <c r="J635" s="40">
        <v>9606.2049798679163</v>
      </c>
      <c r="K635" s="40">
        <v>18333.579085641253</v>
      </c>
      <c r="L635" s="40">
        <v>7004.5718934995984</v>
      </c>
      <c r="M635" s="40">
        <v>25338.150979140853</v>
      </c>
      <c r="N635" s="40">
        <v>5227.5758856188559</v>
      </c>
      <c r="O635" s="40">
        <v>18463.272769946132</v>
      </c>
      <c r="P635" s="40">
        <v>3607.6997737773468</v>
      </c>
      <c r="Q635" s="40">
        <v>6817.4255785859214</v>
      </c>
      <c r="R635" s="40">
        <v>11769.974348584574</v>
      </c>
      <c r="S635" s="40">
        <v>11045.907818368605</v>
      </c>
      <c r="T635" s="40">
        <v>15014.41181303405</v>
      </c>
      <c r="U635" s="40">
        <v>2965.5926589842306</v>
      </c>
      <c r="V635" s="40">
        <v>74911.860646899717</v>
      </c>
      <c r="W635" s="40">
        <v>110296.46667174212</v>
      </c>
      <c r="X635" s="40">
        <v>10944.675123268429</v>
      </c>
      <c r="Y635" s="41">
        <v>121247.01609385105</v>
      </c>
      <c r="Z635" s="17" t="str">
        <f>SUBSTITUTE(SUBSTITUTE(SUBSTITUTE(SUBSTITUTE(IF(E635="","",VLOOKUP(E635,[1]Esquemas_NORM!$A$2:$H$126,8,FALSE)),"PROVINCIA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635" s="17" t="str">
        <f>IF($E635="","",INDEX([1]Esquemas_NORM!$H$2:$K$126,MATCH($E635,[1]Esquemas_NORM!$A$2:$A$126,0),MATCH(AA$4,[1]Esquemas_NORM!$H$1:$K$1,0)))</f>
        <v/>
      </c>
      <c r="AB635" s="17" t="str">
        <f>IF($E635="","",INDEX([1]Esquemas_NORM!$H$2:$K$126,MATCH($E635,[1]Esquemas_NORM!$A$2:$A$126,0),MATCH(AB$4,[1]Esquemas_NORM!$H$1:$K$1,0)))</f>
        <v/>
      </c>
      <c r="AC635" s="17" t="str">
        <f>IF($E635="","",INDEX([1]Esquemas_NORM!$H$2:$K$126,MATCH($E635,[1]Esquemas_NORM!$A$2:$A$126,0),MATCH(AC$4,[1]Esquemas_NORM!$H$1:$K$1,0)))</f>
        <v/>
      </c>
      <c r="AD635" s="23"/>
    </row>
    <row r="636" spans="1:30" x14ac:dyDescent="0.25">
      <c r="A636" s="18">
        <v>2020</v>
      </c>
      <c r="B636" s="19" t="s">
        <v>36</v>
      </c>
      <c r="C636" s="19" t="s">
        <v>38</v>
      </c>
      <c r="D636" s="19" t="s">
        <v>39</v>
      </c>
      <c r="E636" s="19" t="s">
        <v>40</v>
      </c>
      <c r="F636" s="19" t="s">
        <v>41</v>
      </c>
      <c r="G636" s="19" t="s">
        <v>42</v>
      </c>
      <c r="H636" s="20">
        <v>111.35629747271081</v>
      </c>
      <c r="I636" s="20">
        <v>6.3156769310988992</v>
      </c>
      <c r="J636" s="21">
        <v>117.67197440380971</v>
      </c>
      <c r="K636" s="20">
        <v>6425.5805235985981</v>
      </c>
      <c r="L636" s="20">
        <v>3285.988141995213</v>
      </c>
      <c r="M636" s="21">
        <v>9711.5686655938116</v>
      </c>
      <c r="N636" s="20">
        <v>1684.6527397402863</v>
      </c>
      <c r="O636" s="20">
        <v>8964.0110900137242</v>
      </c>
      <c r="P636" s="20">
        <v>1695.892696591686</v>
      </c>
      <c r="Q636" s="20">
        <v>4993.1494041231026</v>
      </c>
      <c r="R636" s="20">
        <v>6057.2887611445403</v>
      </c>
      <c r="S636" s="20">
        <v>5297.4502804039021</v>
      </c>
      <c r="T636" s="20">
        <v>7338.7628083699983</v>
      </c>
      <c r="U636" s="20">
        <v>1394.3329136625673</v>
      </c>
      <c r="V636" s="21">
        <v>37425.540694049807</v>
      </c>
      <c r="W636" s="21">
        <v>46384.917045711911</v>
      </c>
      <c r="X636" s="20">
        <v>4602.7571236345084</v>
      </c>
      <c r="Y636" s="22">
        <v>50990.144591769189</v>
      </c>
      <c r="Z636" s="17" t="str">
        <f>SUBSTITUTE(SUBSTITUTE(SUBSTITUTE(SUBSTITUTE(IF(E636="","",VLOOKUP(E636,[1]Esquemas_NORM!$A$2:$H$126,8,FALSE)),"PROVINCIA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36" s="17" t="str">
        <f>IF($E636="","",INDEX([1]Esquemas_NORM!$H$2:$K$126,MATCH($E636,[1]Esquemas_NORM!$A$2:$A$126,0),MATCH(AA$4,[1]Esquemas_NORM!$H$1:$K$1,0)))</f>
        <v>A la fecha no ha conformado un EAT Región</v>
      </c>
      <c r="AB636" s="17" t="str">
        <f>IF($E636="","",INDEX([1]Esquemas_NORM!$H$2:$K$126,MATCH($E636,[1]Esquemas_NORM!$A$2:$A$126,0),MATCH(AB$4,[1]Esquemas_NORM!$H$1:$K$1,0)))</f>
        <v>Área Metropolitana del Valle de Aburrá</v>
      </c>
      <c r="AC636" s="17" t="str">
        <f>IF($E636="","",INDEX([1]Esquemas_NORM!$H$2:$K$126,MATCH($E636,[1]Esquemas_NORM!$A$2:$A$126,0),MATCH(AC$4,[1]Esquemas_NORM!$H$1:$K$1,0)))</f>
        <v>A la fecha no ha conformado un EAT asociación - unión</v>
      </c>
      <c r="AD636" s="23"/>
    </row>
    <row r="637" spans="1:30" x14ac:dyDescent="0.25">
      <c r="A637" s="24">
        <v>2020</v>
      </c>
      <c r="B637" s="25" t="s">
        <v>36</v>
      </c>
      <c r="C637" s="25" t="s">
        <v>38</v>
      </c>
      <c r="D637" s="25" t="s">
        <v>43</v>
      </c>
      <c r="E637" s="25" t="s">
        <v>44</v>
      </c>
      <c r="F637" s="25" t="s">
        <v>41</v>
      </c>
      <c r="G637" s="25" t="s">
        <v>45</v>
      </c>
      <c r="H637" s="26">
        <v>71.909139285870083</v>
      </c>
      <c r="I637" s="26">
        <v>2.6650344676550564</v>
      </c>
      <c r="J637" s="27">
        <v>74.574173753525145</v>
      </c>
      <c r="K637" s="26">
        <v>301.35411919821712</v>
      </c>
      <c r="L637" s="26">
        <v>89.163319786033938</v>
      </c>
      <c r="M637" s="27">
        <v>390.51743898425104</v>
      </c>
      <c r="N637" s="26">
        <v>97.30089254736879</v>
      </c>
      <c r="O637" s="26">
        <v>103.69972918812974</v>
      </c>
      <c r="P637" s="26">
        <v>13.27920183349724</v>
      </c>
      <c r="Q637" s="26">
        <v>9.2743064487203277</v>
      </c>
      <c r="R637" s="26">
        <v>46.572358737803796</v>
      </c>
      <c r="S637" s="26">
        <v>56.062851839830216</v>
      </c>
      <c r="T637" s="26">
        <v>43.837633004214439</v>
      </c>
      <c r="U637" s="26">
        <v>14.294338495345999</v>
      </c>
      <c r="V637" s="27">
        <v>384.32131209491047</v>
      </c>
      <c r="W637" s="27">
        <v>843.44838247052405</v>
      </c>
      <c r="X637" s="26">
        <v>83.695052143971751</v>
      </c>
      <c r="Y637" s="28">
        <v>927.18835597965449</v>
      </c>
      <c r="Z637" s="17" t="str">
        <f>SUBSTITUTE(SUBSTITUTE(SUBSTITUTE(SUBSTITUTE(IF(E637="","",VLOOKUP(E637,[1]Esquemas_NORM!$A$2:$H$126,8,FALSE)),"PROVINCIA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37" s="17" t="str">
        <f>IF($E637="","",INDEX([1]Esquemas_NORM!$H$2:$K$126,MATCH($E637,[1]Esquemas_NORM!$A$2:$A$126,0),MATCH(AA$4,[1]Esquemas_NORM!$H$1:$K$1,0)))</f>
        <v>A la fecha no ha conformado un EAT Región</v>
      </c>
      <c r="AB637" s="17" t="str">
        <f>IF($E637="","",INDEX([1]Esquemas_NORM!$H$2:$K$126,MATCH($E637,[1]Esquemas_NORM!$A$2:$A$126,0),MATCH(AB$4,[1]Esquemas_NORM!$H$1:$K$1,0)))</f>
        <v>Área Metropolitana del Valle de Aburrá</v>
      </c>
      <c r="AC637" s="17" t="str">
        <f>IF($E637="","",INDEX([1]Esquemas_NORM!$H$2:$K$126,MATCH($E637,[1]Esquemas_NORM!$A$2:$A$126,0),MATCH(AC$4,[1]Esquemas_NORM!$H$1:$K$1,0)))</f>
        <v>A la fecha no ha conformado un EAT asociación - unión</v>
      </c>
      <c r="AD637" s="23"/>
    </row>
    <row r="638" spans="1:30" x14ac:dyDescent="0.25">
      <c r="A638" s="24">
        <v>2020</v>
      </c>
      <c r="B638" s="25" t="s">
        <v>36</v>
      </c>
      <c r="C638" s="25" t="s">
        <v>38</v>
      </c>
      <c r="D638" s="25" t="s">
        <v>43</v>
      </c>
      <c r="E638" s="25" t="s">
        <v>46</v>
      </c>
      <c r="F638" s="25" t="s">
        <v>41</v>
      </c>
      <c r="G638" s="25" t="s">
        <v>47</v>
      </c>
      <c r="H638" s="26">
        <v>27.141279679084121</v>
      </c>
      <c r="I638" s="26">
        <v>1.2861053222815582</v>
      </c>
      <c r="J638" s="27">
        <v>28.427385001365678</v>
      </c>
      <c r="K638" s="26">
        <v>526.9139465481104</v>
      </c>
      <c r="L638" s="26">
        <v>348.93695224393764</v>
      </c>
      <c r="M638" s="27">
        <v>875.85089879204804</v>
      </c>
      <c r="N638" s="26">
        <v>186.00190164707652</v>
      </c>
      <c r="O638" s="26">
        <v>1110.7551882928883</v>
      </c>
      <c r="P638" s="26">
        <v>249.40507043692827</v>
      </c>
      <c r="Q638" s="26">
        <v>176.13311543235884</v>
      </c>
      <c r="R638" s="26">
        <v>637.23614516602129</v>
      </c>
      <c r="S638" s="26">
        <v>577.75705377577503</v>
      </c>
      <c r="T638" s="26">
        <v>704.66291121136646</v>
      </c>
      <c r="U638" s="26">
        <v>218.68327193776344</v>
      </c>
      <c r="V638" s="27">
        <v>3860.6346579001784</v>
      </c>
      <c r="W638" s="27">
        <v>4720.9899400104186</v>
      </c>
      <c r="X638" s="26">
        <v>468.46197990557249</v>
      </c>
      <c r="Y638" s="28">
        <v>5189.7033559462407</v>
      </c>
      <c r="Z638" s="17" t="str">
        <f>SUBSTITUTE(SUBSTITUTE(SUBSTITUTE(SUBSTITUTE(IF(E638="","",VLOOKUP(E638,[1]Esquemas_NORM!$A$2:$H$126,8,FALSE)),"PROVINCIA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38" s="17" t="str">
        <f>IF($E638="","",INDEX([1]Esquemas_NORM!$H$2:$K$126,MATCH($E638,[1]Esquemas_NORM!$A$2:$A$126,0),MATCH(AA$4,[1]Esquemas_NORM!$H$1:$K$1,0)))</f>
        <v>A la fecha no ha conformado un EAT Región</v>
      </c>
      <c r="AB638" s="17" t="str">
        <f>IF($E638="","",INDEX([1]Esquemas_NORM!$H$2:$K$126,MATCH($E638,[1]Esquemas_NORM!$A$2:$A$126,0),MATCH(AB$4,[1]Esquemas_NORM!$H$1:$K$1,0)))</f>
        <v>Área Metropolitana del Valle de Aburrá</v>
      </c>
      <c r="AC638" s="17" t="str">
        <f>IF($E638="","",INDEX([1]Esquemas_NORM!$H$2:$K$126,MATCH($E638,[1]Esquemas_NORM!$A$2:$A$126,0),MATCH(AC$4,[1]Esquemas_NORM!$H$1:$K$1,0)))</f>
        <v>A la fecha no ha conformado un EAT asociación - unión</v>
      </c>
      <c r="AD638" s="23"/>
    </row>
    <row r="639" spans="1:30" x14ac:dyDescent="0.25">
      <c r="A639" s="24">
        <v>2020</v>
      </c>
      <c r="B639" s="25" t="s">
        <v>36</v>
      </c>
      <c r="C639" s="25" t="s">
        <v>38</v>
      </c>
      <c r="D639" s="25" t="s">
        <v>48</v>
      </c>
      <c r="E639" s="25" t="s">
        <v>49</v>
      </c>
      <c r="F639" s="25" t="s">
        <v>41</v>
      </c>
      <c r="G639" s="25" t="s">
        <v>50</v>
      </c>
      <c r="H639" s="26">
        <v>45.609259842270035</v>
      </c>
      <c r="I639" s="26">
        <v>0.71805440225255657</v>
      </c>
      <c r="J639" s="27">
        <v>46.32731424452259</v>
      </c>
      <c r="K639" s="26">
        <v>228.22188272371261</v>
      </c>
      <c r="L639" s="26">
        <v>47.125909541037487</v>
      </c>
      <c r="M639" s="27">
        <v>275.34779226475007</v>
      </c>
      <c r="N639" s="26">
        <v>29.868000629140237</v>
      </c>
      <c r="O639" s="26">
        <v>167.87378654451754</v>
      </c>
      <c r="P639" s="26">
        <v>40.676856488482763</v>
      </c>
      <c r="Q639" s="26">
        <v>31.648432966489334</v>
      </c>
      <c r="R639" s="26">
        <v>112.26238316941294</v>
      </c>
      <c r="S639" s="26">
        <v>98.498272233714587</v>
      </c>
      <c r="T639" s="26">
        <v>110.67401486761634</v>
      </c>
      <c r="U639" s="26">
        <v>26.965120958913911</v>
      </c>
      <c r="V639" s="27">
        <v>618.46686785828763</v>
      </c>
      <c r="W639" s="27">
        <v>924.17004152492655</v>
      </c>
      <c r="X639" s="26">
        <v>91.705030708297045</v>
      </c>
      <c r="Y639" s="28">
        <v>1015.9242927673631</v>
      </c>
      <c r="Z639" s="17" t="str">
        <f>SUBSTITUTE(SUBSTITUTE(SUBSTITUTE(SUBSTITUTE(IF(E639="","",VLOOKUP(E639,[1]Esquemas_NORM!$A$2:$H$126,8,FALSE)),"PROVINCIA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39" s="17" t="str">
        <f>IF($E639="","",INDEX([1]Esquemas_NORM!$H$2:$K$126,MATCH($E639,[1]Esquemas_NORM!$A$2:$A$126,0),MATCH(AA$4,[1]Esquemas_NORM!$H$1:$K$1,0)))</f>
        <v>A la fecha no ha conformado un EAT Región</v>
      </c>
      <c r="AB639" s="17" t="str">
        <f>IF($E639="","",INDEX([1]Esquemas_NORM!$H$2:$K$126,MATCH($E639,[1]Esquemas_NORM!$A$2:$A$126,0),MATCH(AB$4,[1]Esquemas_NORM!$H$1:$K$1,0)))</f>
        <v>Área Metropolitana del Valle de Aburrá</v>
      </c>
      <c r="AC639" s="17" t="str">
        <f>IF($E639="","",INDEX([1]Esquemas_NORM!$H$2:$K$126,MATCH($E639,[1]Esquemas_NORM!$A$2:$A$126,0),MATCH(AC$4,[1]Esquemas_NORM!$H$1:$K$1,0)))</f>
        <v>A la fecha no ha conformado un EAT asociación - unión</v>
      </c>
      <c r="AD639" s="23"/>
    </row>
    <row r="640" spans="1:30" x14ac:dyDescent="0.25">
      <c r="A640" s="24">
        <v>2020</v>
      </c>
      <c r="B640" s="25" t="s">
        <v>36</v>
      </c>
      <c r="C640" s="25" t="s">
        <v>38</v>
      </c>
      <c r="D640" s="25" t="s">
        <v>43</v>
      </c>
      <c r="E640" s="25" t="s">
        <v>51</v>
      </c>
      <c r="F640" s="25" t="s">
        <v>41</v>
      </c>
      <c r="G640" s="25" t="s">
        <v>52</v>
      </c>
      <c r="H640" s="26">
        <v>6.5885185409753539</v>
      </c>
      <c r="I640" s="26">
        <v>0.22589359179596594</v>
      </c>
      <c r="J640" s="27">
        <v>6.8144121327713201</v>
      </c>
      <c r="K640" s="26">
        <v>405.2606800997894</v>
      </c>
      <c r="L640" s="26">
        <v>123.87005570091119</v>
      </c>
      <c r="M640" s="27">
        <v>529.13073580070056</v>
      </c>
      <c r="N640" s="26">
        <v>38.109593258063079</v>
      </c>
      <c r="O640" s="26">
        <v>179.54478906477638</v>
      </c>
      <c r="P640" s="26">
        <v>42.460505296939722</v>
      </c>
      <c r="Q640" s="26">
        <v>26.808969875783166</v>
      </c>
      <c r="R640" s="26">
        <v>129.33991645996375</v>
      </c>
      <c r="S640" s="26">
        <v>93.959691155842791</v>
      </c>
      <c r="T640" s="26">
        <v>78.550408490606259</v>
      </c>
      <c r="U640" s="26">
        <v>30.670728581342715</v>
      </c>
      <c r="V640" s="27">
        <v>619.4446021833179</v>
      </c>
      <c r="W640" s="27">
        <v>1112.4146784997104</v>
      </c>
      <c r="X640" s="26">
        <v>110.3844721950082</v>
      </c>
      <c r="Y640" s="28">
        <v>1222.8583969829565</v>
      </c>
      <c r="Z640" s="17" t="str">
        <f>SUBSTITUTE(SUBSTITUTE(SUBSTITUTE(SUBSTITUTE(IF(E640="","",VLOOKUP(E640,[1]Esquemas_NORM!$A$2:$H$126,8,FALSE)),"PROVINCIA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0" s="17" t="str">
        <f>IF($E640="","",INDEX([1]Esquemas_NORM!$H$2:$K$126,MATCH($E640,[1]Esquemas_NORM!$A$2:$A$126,0),MATCH(AA$4,[1]Esquemas_NORM!$H$1:$K$1,0)))</f>
        <v>A la fecha no ha conformado un EAT Región</v>
      </c>
      <c r="AB640" s="17" t="str">
        <f>IF($E640="","",INDEX([1]Esquemas_NORM!$H$2:$K$126,MATCH($E640,[1]Esquemas_NORM!$A$2:$A$126,0),MATCH(AB$4,[1]Esquemas_NORM!$H$1:$K$1,0)))</f>
        <v>Área Metropolitana del Valle de Aburrá</v>
      </c>
      <c r="AC640" s="17" t="str">
        <f>IF($E640="","",INDEX([1]Esquemas_NORM!$H$2:$K$126,MATCH($E640,[1]Esquemas_NORM!$A$2:$A$126,0),MATCH(AC$4,[1]Esquemas_NORM!$H$1:$K$1,0)))</f>
        <v>A la fecha no ha conformado un EAT asociación - unión</v>
      </c>
      <c r="AD640" s="23"/>
    </row>
    <row r="641" spans="1:30" x14ac:dyDescent="0.25">
      <c r="A641" s="24">
        <v>2020</v>
      </c>
      <c r="B641" s="25" t="s">
        <v>36</v>
      </c>
      <c r="C641" s="25" t="s">
        <v>38</v>
      </c>
      <c r="D641" s="25" t="s">
        <v>48</v>
      </c>
      <c r="E641" s="25" t="s">
        <v>53</v>
      </c>
      <c r="F641" s="25" t="s">
        <v>41</v>
      </c>
      <c r="G641" s="25" t="s">
        <v>54</v>
      </c>
      <c r="H641" s="26">
        <v>10.413995447094038</v>
      </c>
      <c r="I641" s="26">
        <v>0</v>
      </c>
      <c r="J641" s="27">
        <v>10.413995447094038</v>
      </c>
      <c r="K641" s="26">
        <v>1512.3818108051464</v>
      </c>
      <c r="L641" s="26">
        <v>336.49104833510518</v>
      </c>
      <c r="M641" s="27">
        <v>1848.8728591402516</v>
      </c>
      <c r="N641" s="26">
        <v>298.6749588527544</v>
      </c>
      <c r="O641" s="26">
        <v>1236.3680002489662</v>
      </c>
      <c r="P641" s="26">
        <v>273.74958632564989</v>
      </c>
      <c r="Q641" s="26">
        <v>389.69127072675042</v>
      </c>
      <c r="R641" s="26">
        <v>1157.4826343215618</v>
      </c>
      <c r="S641" s="26">
        <v>728.94806650554074</v>
      </c>
      <c r="T641" s="26">
        <v>868.28871792735924</v>
      </c>
      <c r="U641" s="26">
        <v>238.94949972968814</v>
      </c>
      <c r="V641" s="27">
        <v>5192.1527346382709</v>
      </c>
      <c r="W641" s="27">
        <v>6893.2947230372738</v>
      </c>
      <c r="X641" s="26">
        <v>684.01893142342294</v>
      </c>
      <c r="Y641" s="28">
        <v>7577.6807856519354</v>
      </c>
      <c r="Z641" s="17" t="str">
        <f>SUBSTITUTE(SUBSTITUTE(SUBSTITUTE(SUBSTITUTE(IF(E641="","",VLOOKUP(E641,[1]Esquemas_NORM!$A$2:$H$126,8,FALSE)),"PROVINCIA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1" s="17" t="str">
        <f>IF($E641="","",INDEX([1]Esquemas_NORM!$H$2:$K$126,MATCH($E641,[1]Esquemas_NORM!$A$2:$A$126,0),MATCH(AA$4,[1]Esquemas_NORM!$H$1:$K$1,0)))</f>
        <v>A la fecha no ha conformado un EAT Región</v>
      </c>
      <c r="AB641" s="17" t="str">
        <f>IF($E641="","",INDEX([1]Esquemas_NORM!$H$2:$K$126,MATCH($E641,[1]Esquemas_NORM!$A$2:$A$126,0),MATCH(AB$4,[1]Esquemas_NORM!$H$1:$K$1,0)))</f>
        <v>Área Metropolitana del Valle de Aburrá</v>
      </c>
      <c r="AC641" s="17" t="str">
        <f>IF($E641="","",INDEX([1]Esquemas_NORM!$H$2:$K$126,MATCH($E641,[1]Esquemas_NORM!$A$2:$A$126,0),MATCH(AC$4,[1]Esquemas_NORM!$H$1:$K$1,0)))</f>
        <v>A la fecha no ha conformado un EAT asociación - unión</v>
      </c>
      <c r="AD641" s="23"/>
    </row>
    <row r="642" spans="1:30" x14ac:dyDescent="0.25">
      <c r="A642" s="24">
        <v>2020</v>
      </c>
      <c r="B642" s="25" t="s">
        <v>36</v>
      </c>
      <c r="C642" s="25" t="s">
        <v>38</v>
      </c>
      <c r="D642" s="25" t="s">
        <v>43</v>
      </c>
      <c r="E642" s="25" t="s">
        <v>55</v>
      </c>
      <c r="F642" s="25" t="s">
        <v>41</v>
      </c>
      <c r="G642" s="25" t="s">
        <v>56</v>
      </c>
      <c r="H642" s="26">
        <v>54.657754577119647</v>
      </c>
      <c r="I642" s="26">
        <v>106.63463913703318</v>
      </c>
      <c r="J642" s="27">
        <v>161.29239371415281</v>
      </c>
      <c r="K642" s="26">
        <v>1156.5844120655818</v>
      </c>
      <c r="L642" s="26">
        <v>122.17361394239538</v>
      </c>
      <c r="M642" s="27">
        <v>1278.7580260079772</v>
      </c>
      <c r="N642" s="26">
        <v>87.304557732624914</v>
      </c>
      <c r="O642" s="26">
        <v>185.67310802965372</v>
      </c>
      <c r="P642" s="26">
        <v>24.589361820503193</v>
      </c>
      <c r="Q642" s="26">
        <v>18.394196178252564</v>
      </c>
      <c r="R642" s="26">
        <v>78.56385998368377</v>
      </c>
      <c r="S642" s="26">
        <v>124.33480520666011</v>
      </c>
      <c r="T642" s="26">
        <v>82.057924161585206</v>
      </c>
      <c r="U642" s="26">
        <v>19.599314636088074</v>
      </c>
      <c r="V642" s="27">
        <v>620.5171277490515</v>
      </c>
      <c r="W642" s="27">
        <v>2015.894885442749</v>
      </c>
      <c r="X642" s="26">
        <v>200.03645873342086</v>
      </c>
      <c r="Y642" s="28">
        <v>2216.0387090750269</v>
      </c>
      <c r="Z642" s="17" t="str">
        <f>SUBSTITUTE(SUBSTITUTE(SUBSTITUTE(SUBSTITUTE(IF(E642="","",VLOOKUP(E642,[1]Esquemas_NORM!$A$2:$H$126,8,FALSE)),"PROVINCIA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2" s="17" t="str">
        <f>IF($E642="","",INDEX([1]Esquemas_NORM!$H$2:$K$126,MATCH($E642,[1]Esquemas_NORM!$A$2:$A$126,0),MATCH(AA$4,[1]Esquemas_NORM!$H$1:$K$1,0)))</f>
        <v>A la fecha no ha conformado un EAT Región</v>
      </c>
      <c r="AB642" s="17" t="str">
        <f>IF($E642="","",INDEX([1]Esquemas_NORM!$H$2:$K$126,MATCH($E642,[1]Esquemas_NORM!$A$2:$A$126,0),MATCH(AB$4,[1]Esquemas_NORM!$H$1:$K$1,0)))</f>
        <v>Área Metropolitana del Valle de Aburrá</v>
      </c>
      <c r="AC642" s="17" t="str">
        <f>IF($E642="","",INDEX([1]Esquemas_NORM!$H$2:$K$126,MATCH($E642,[1]Esquemas_NORM!$A$2:$A$126,0),MATCH(AC$4,[1]Esquemas_NORM!$H$1:$K$1,0)))</f>
        <v>A la fecha no ha conformado un EAT asociación - unión</v>
      </c>
      <c r="AD642" s="23"/>
    </row>
    <row r="643" spans="1:30" x14ac:dyDescent="0.25">
      <c r="A643" s="24">
        <v>2020</v>
      </c>
      <c r="B643" s="25" t="s">
        <v>36</v>
      </c>
      <c r="C643" s="25" t="s">
        <v>38</v>
      </c>
      <c r="D643" s="25" t="s">
        <v>48</v>
      </c>
      <c r="E643" s="25" t="s">
        <v>57</v>
      </c>
      <c r="F643" s="25" t="s">
        <v>41</v>
      </c>
      <c r="G643" s="25" t="s">
        <v>58</v>
      </c>
      <c r="H643" s="26">
        <v>0.36401419097769466</v>
      </c>
      <c r="I643" s="26">
        <v>0.10762169994685689</v>
      </c>
      <c r="J643" s="27">
        <v>0.47163589092455155</v>
      </c>
      <c r="K643" s="26">
        <v>2107.6899568608587</v>
      </c>
      <c r="L643" s="26">
        <v>377.38492861799335</v>
      </c>
      <c r="M643" s="27">
        <v>2485.0748854788521</v>
      </c>
      <c r="N643" s="26">
        <v>256.24465129858328</v>
      </c>
      <c r="O643" s="26">
        <v>1149.998182124727</v>
      </c>
      <c r="P643" s="26">
        <v>222.6729477253345</v>
      </c>
      <c r="Q643" s="26">
        <v>221.76924562368575</v>
      </c>
      <c r="R643" s="26">
        <v>647.01650273018424</v>
      </c>
      <c r="S643" s="26">
        <v>611.39874224362427</v>
      </c>
      <c r="T643" s="26">
        <v>579.27226380650222</v>
      </c>
      <c r="U643" s="26">
        <v>175.87897371519591</v>
      </c>
      <c r="V643" s="27">
        <v>3864.2515092678373</v>
      </c>
      <c r="W643" s="27">
        <v>6159.5084297933527</v>
      </c>
      <c r="X643" s="26">
        <v>611.20560537768461</v>
      </c>
      <c r="Y643" s="28">
        <v>6771.042085509539</v>
      </c>
      <c r="Z643" s="17" t="str">
        <f>SUBSTITUTE(SUBSTITUTE(SUBSTITUTE(SUBSTITUTE(IF(E643="","",VLOOKUP(E643,[1]Esquemas_NORM!$A$2:$H$126,8,FALSE)),"PROVINCIA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3" s="17" t="str">
        <f>IF($E643="","",INDEX([1]Esquemas_NORM!$H$2:$K$126,MATCH($E643,[1]Esquemas_NORM!$A$2:$A$126,0),MATCH(AA$4,[1]Esquemas_NORM!$H$1:$K$1,0)))</f>
        <v>A la fecha no ha conformado un EAT Región</v>
      </c>
      <c r="AB643" s="17" t="str">
        <f>IF($E643="","",INDEX([1]Esquemas_NORM!$H$2:$K$126,MATCH($E643,[1]Esquemas_NORM!$A$2:$A$126,0),MATCH(AB$4,[1]Esquemas_NORM!$H$1:$K$1,0)))</f>
        <v>Área Metropolitana del Valle de Aburrá</v>
      </c>
      <c r="AC643" s="17" t="str">
        <f>IF($E643="","",INDEX([1]Esquemas_NORM!$H$2:$K$126,MATCH($E643,[1]Esquemas_NORM!$A$2:$A$126,0),MATCH(AC$4,[1]Esquemas_NORM!$H$1:$K$1,0)))</f>
        <v>A la fecha no ha conformado un EAT asociación - unión</v>
      </c>
      <c r="AD643" s="23"/>
    </row>
    <row r="644" spans="1:30" x14ac:dyDescent="0.25">
      <c r="A644" s="24">
        <v>2020</v>
      </c>
      <c r="B644" s="25" t="s">
        <v>36</v>
      </c>
      <c r="C644" s="25" t="s">
        <v>38</v>
      </c>
      <c r="D644" s="25" t="s">
        <v>48</v>
      </c>
      <c r="E644" s="25" t="s">
        <v>59</v>
      </c>
      <c r="F644" s="25" t="s">
        <v>41</v>
      </c>
      <c r="G644" s="25" t="s">
        <v>60</v>
      </c>
      <c r="H644" s="26">
        <v>4.8607618529766636</v>
      </c>
      <c r="I644" s="26">
        <v>0</v>
      </c>
      <c r="J644" s="27">
        <v>4.8607618529766636</v>
      </c>
      <c r="K644" s="26">
        <v>746.98854823047088</v>
      </c>
      <c r="L644" s="26">
        <v>101.08935302189427</v>
      </c>
      <c r="M644" s="27">
        <v>848.07790125236511</v>
      </c>
      <c r="N644" s="26">
        <v>68.573598981075932</v>
      </c>
      <c r="O644" s="26">
        <v>181.53898368348769</v>
      </c>
      <c r="P644" s="26">
        <v>52.436189464208319</v>
      </c>
      <c r="Q644" s="26">
        <v>28.125958757438116</v>
      </c>
      <c r="R644" s="26">
        <v>133.06523400810269</v>
      </c>
      <c r="S644" s="26">
        <v>132.4900819850964</v>
      </c>
      <c r="T644" s="26">
        <v>90.462648193196486</v>
      </c>
      <c r="U644" s="26">
        <v>31.578383698593694</v>
      </c>
      <c r="V644" s="27">
        <v>718.27107877119931</v>
      </c>
      <c r="W644" s="27">
        <v>1500.8826420443727</v>
      </c>
      <c r="X644" s="26">
        <v>148.93199583823926</v>
      </c>
      <c r="Y644" s="28">
        <v>1649.894573654173</v>
      </c>
      <c r="Z644" s="17" t="str">
        <f>SUBSTITUTE(SUBSTITUTE(SUBSTITUTE(SUBSTITUTE(IF(E644="","",VLOOKUP(E644,[1]Esquemas_NORM!$A$2:$H$126,8,FALSE)),"PROVINCIA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4" s="17" t="str">
        <f>IF($E644="","",INDEX([1]Esquemas_NORM!$H$2:$K$126,MATCH($E644,[1]Esquemas_NORM!$A$2:$A$126,0),MATCH(AA$4,[1]Esquemas_NORM!$H$1:$K$1,0)))</f>
        <v>A la fecha no ha conformado un EAT Región</v>
      </c>
      <c r="AB644" s="17" t="str">
        <f>IF($E644="","",INDEX([1]Esquemas_NORM!$H$2:$K$126,MATCH($E644,[1]Esquemas_NORM!$A$2:$A$126,0),MATCH(AB$4,[1]Esquemas_NORM!$H$1:$K$1,0)))</f>
        <v>Área Metropolitana del Valle de Aburrá</v>
      </c>
      <c r="AC644" s="17" t="str">
        <f>IF($E644="","",INDEX([1]Esquemas_NORM!$H$2:$K$126,MATCH($E644,[1]Esquemas_NORM!$A$2:$A$126,0),MATCH(AC$4,[1]Esquemas_NORM!$H$1:$K$1,0)))</f>
        <v>A la fecha no ha conformado un EAT asociación - unión</v>
      </c>
      <c r="AD644" s="23"/>
    </row>
    <row r="645" spans="1:30" x14ac:dyDescent="0.25">
      <c r="A645" s="24">
        <v>2020</v>
      </c>
      <c r="B645" s="25" t="s">
        <v>36</v>
      </c>
      <c r="C645" s="25" t="s">
        <v>38</v>
      </c>
      <c r="D645" s="25" t="s">
        <v>48</v>
      </c>
      <c r="E645" s="25" t="s">
        <v>61</v>
      </c>
      <c r="F645" s="25" t="s">
        <v>41</v>
      </c>
      <c r="G645" s="25" t="s">
        <v>62</v>
      </c>
      <c r="H645" s="26">
        <v>5.7012080378965075</v>
      </c>
      <c r="I645" s="26">
        <v>0</v>
      </c>
      <c r="J645" s="27">
        <v>5.7012080378965075</v>
      </c>
      <c r="K645" s="26">
        <v>878.39426339295414</v>
      </c>
      <c r="L645" s="26">
        <v>120.35345605194448</v>
      </c>
      <c r="M645" s="27">
        <v>998.74771944489862</v>
      </c>
      <c r="N645" s="26">
        <v>91.883171039362054</v>
      </c>
      <c r="O645" s="26">
        <v>436.2150617525192</v>
      </c>
      <c r="P645" s="26">
        <v>82.108598233063219</v>
      </c>
      <c r="Q645" s="26">
        <v>68.278463248830263</v>
      </c>
      <c r="R645" s="26">
        <v>328.01183254121224</v>
      </c>
      <c r="S645" s="26">
        <v>234.23096276565954</v>
      </c>
      <c r="T645" s="26">
        <v>310.67414954846458</v>
      </c>
      <c r="U645" s="26">
        <v>58.020075887855</v>
      </c>
      <c r="V645" s="27">
        <v>1609.422315016966</v>
      </c>
      <c r="W645" s="27">
        <v>2532.5242142184666</v>
      </c>
      <c r="X645" s="26">
        <v>251.30138437637893</v>
      </c>
      <c r="Y645" s="28">
        <v>2783.9604787456251</v>
      </c>
      <c r="Z645" s="17" t="str">
        <f>SUBSTITUTE(SUBSTITUTE(SUBSTITUTE(SUBSTITUTE(IF(E645="","",VLOOKUP(E645,[1]Esquemas_NORM!$A$2:$H$126,8,FALSE)),"PROVINCIA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5" s="17" t="str">
        <f>IF($E645="","",INDEX([1]Esquemas_NORM!$H$2:$K$126,MATCH($E645,[1]Esquemas_NORM!$A$2:$A$126,0),MATCH(AA$4,[1]Esquemas_NORM!$H$1:$K$1,0)))</f>
        <v>A la fecha no ha conformado un EAT Región</v>
      </c>
      <c r="AB645" s="17" t="str">
        <f>IF($E645="","",INDEX([1]Esquemas_NORM!$H$2:$K$126,MATCH($E645,[1]Esquemas_NORM!$A$2:$A$126,0),MATCH(AB$4,[1]Esquemas_NORM!$H$1:$K$1,0)))</f>
        <v>Área Metropolitana del Valle de Aburrá</v>
      </c>
      <c r="AC645" s="17" t="str">
        <f>IF($E645="","",INDEX([1]Esquemas_NORM!$H$2:$K$126,MATCH($E645,[1]Esquemas_NORM!$A$2:$A$126,0),MATCH(AC$4,[1]Esquemas_NORM!$H$1:$K$1,0)))</f>
        <v>A la fecha no ha conformado un EAT asociación - unión</v>
      </c>
      <c r="AD645" s="23"/>
    </row>
    <row r="646" spans="1:30" x14ac:dyDescent="0.25">
      <c r="A646" s="24">
        <v>2020</v>
      </c>
      <c r="B646" s="25" t="s">
        <v>36</v>
      </c>
      <c r="C646" s="25" t="s">
        <v>63</v>
      </c>
      <c r="D646" s="25" t="s">
        <v>64</v>
      </c>
      <c r="E646" s="25" t="s">
        <v>65</v>
      </c>
      <c r="F646" s="25" t="s">
        <v>66</v>
      </c>
      <c r="G646" s="25" t="s">
        <v>67</v>
      </c>
      <c r="H646" s="26">
        <v>30.421842172411477</v>
      </c>
      <c r="I646" s="26">
        <v>27.946297563606599</v>
      </c>
      <c r="J646" s="27">
        <v>58.36813973601808</v>
      </c>
      <c r="K646" s="26">
        <v>2.2744929295838956</v>
      </c>
      <c r="L646" s="26">
        <v>16.792961366489671</v>
      </c>
      <c r="M646" s="27">
        <v>19.067454296073567</v>
      </c>
      <c r="N646" s="26">
        <v>19.742377821175999</v>
      </c>
      <c r="O646" s="26">
        <v>66.946316099539928</v>
      </c>
      <c r="P646" s="26">
        <v>11.002888504174214</v>
      </c>
      <c r="Q646" s="26">
        <v>7.1509101151569592</v>
      </c>
      <c r="R646" s="26">
        <v>14.9109015810242</v>
      </c>
      <c r="S646" s="26">
        <v>35.483492053346687</v>
      </c>
      <c r="T646" s="26">
        <v>60.846110033664701</v>
      </c>
      <c r="U646" s="26">
        <v>7.1350487968625247</v>
      </c>
      <c r="V646" s="27">
        <v>223.21804500494522</v>
      </c>
      <c r="W646" s="27">
        <v>321.94971646125339</v>
      </c>
      <c r="X646" s="26">
        <v>31.946944077390121</v>
      </c>
      <c r="Y646" s="28">
        <v>353.91380731499311</v>
      </c>
      <c r="Z646" s="17" t="str">
        <f>SUBSTITUTE(SUBSTITUTE(SUBSTITUTE(SUBSTITUTE(IF(E646="","",VLOOKUP(E646,[1]Esquemas_NORM!$A$2:$H$126,8,FALSE)),"PROVINCIA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6" s="17" t="str">
        <f>IF($E646="","",INDEX([1]Esquemas_NORM!$H$2:$K$126,MATCH($E646,[1]Esquemas_NORM!$A$2:$A$126,0),MATCH(AA$4,[1]Esquemas_NORM!$H$1:$K$1,0)))</f>
        <v>Región de Planeación y Gestión del Bajo Cauca</v>
      </c>
      <c r="AB646" s="17" t="str">
        <f>IF($E646="","",INDEX([1]Esquemas_NORM!$H$2:$K$126,MATCH($E646,[1]Esquemas_NORM!$A$2:$A$126,0),MATCH(AB$4,[1]Esquemas_NORM!$H$1:$K$1,0)))</f>
        <v>A la fecha no ha conformado un EAT Área Metropolitana</v>
      </c>
      <c r="AC646" s="17" t="str">
        <f>IF($E646="","",INDEX([1]Esquemas_NORM!$H$2:$K$126,MATCH($E646,[1]Esquemas_NORM!$A$2:$A$126,0),MATCH(AC$4,[1]Esquemas_NORM!$H$1:$K$1,0)))</f>
        <v>A la fecha no ha conformado un EAT asociación - unión</v>
      </c>
      <c r="AD646" s="23"/>
    </row>
    <row r="647" spans="1:30" x14ac:dyDescent="0.25">
      <c r="A647" s="24">
        <v>2020</v>
      </c>
      <c r="B647" s="25" t="s">
        <v>36</v>
      </c>
      <c r="C647" s="25" t="s">
        <v>63</v>
      </c>
      <c r="D647" s="25" t="s">
        <v>64</v>
      </c>
      <c r="E647" s="25" t="s">
        <v>68</v>
      </c>
      <c r="F647" s="25" t="s">
        <v>66</v>
      </c>
      <c r="G647" s="25" t="s">
        <v>69</v>
      </c>
      <c r="H647" s="26">
        <v>24.297658184026172</v>
      </c>
      <c r="I647" s="26">
        <v>402.40625835870242</v>
      </c>
      <c r="J647" s="27">
        <v>426.70391654272856</v>
      </c>
      <c r="K647" s="26">
        <v>16.30469165103468</v>
      </c>
      <c r="L647" s="26">
        <v>39.446219087289784</v>
      </c>
      <c r="M647" s="27">
        <v>55.750910738324464</v>
      </c>
      <c r="N647" s="26">
        <v>42.335176600602239</v>
      </c>
      <c r="O647" s="26">
        <v>201.4815174249301</v>
      </c>
      <c r="P647" s="26">
        <v>29.252389835674613</v>
      </c>
      <c r="Q647" s="26">
        <v>28.410196607157705</v>
      </c>
      <c r="R647" s="26">
        <v>59.521273018451694</v>
      </c>
      <c r="S647" s="26">
        <v>132.2877786657011</v>
      </c>
      <c r="T647" s="26">
        <v>182.99496910137128</v>
      </c>
      <c r="U647" s="26">
        <v>18.21066527666488</v>
      </c>
      <c r="V647" s="27">
        <v>694.49396653055362</v>
      </c>
      <c r="W647" s="27">
        <v>1383.4158226342784</v>
      </c>
      <c r="X647" s="26">
        <v>137.2758094251447</v>
      </c>
      <c r="Y647" s="28">
        <v>1520.7653116450867</v>
      </c>
      <c r="Z647" s="17" t="str">
        <f>SUBSTITUTE(SUBSTITUTE(SUBSTITUTE(SUBSTITUTE(IF(E647="","",VLOOKUP(E647,[1]Esquemas_NORM!$A$2:$H$126,8,FALSE)),"PROVINCIA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7" s="17" t="str">
        <f>IF($E647="","",INDEX([1]Esquemas_NORM!$H$2:$K$126,MATCH($E647,[1]Esquemas_NORM!$A$2:$A$126,0),MATCH(AA$4,[1]Esquemas_NORM!$H$1:$K$1,0)))</f>
        <v>Región de Planeación y Gestión del Bajo Cauca</v>
      </c>
      <c r="AB647" s="17" t="str">
        <f>IF($E647="","",INDEX([1]Esquemas_NORM!$H$2:$K$126,MATCH($E647,[1]Esquemas_NORM!$A$2:$A$126,0),MATCH(AB$4,[1]Esquemas_NORM!$H$1:$K$1,0)))</f>
        <v>A la fecha no ha conformado un EAT Área Metropolitana</v>
      </c>
      <c r="AC647" s="17" t="str">
        <f>IF($E647="","",INDEX([1]Esquemas_NORM!$H$2:$K$126,MATCH($E647,[1]Esquemas_NORM!$A$2:$A$126,0),MATCH(AC$4,[1]Esquemas_NORM!$H$1:$K$1,0)))</f>
        <v>A la fecha no ha conformado un EAT asociación - unión</v>
      </c>
      <c r="AD647" s="23"/>
    </row>
    <row r="648" spans="1:30" x14ac:dyDescent="0.25">
      <c r="A648" s="24">
        <v>2020</v>
      </c>
      <c r="B648" s="25" t="s">
        <v>36</v>
      </c>
      <c r="C648" s="25" t="s">
        <v>63</v>
      </c>
      <c r="D648" s="25" t="s">
        <v>64</v>
      </c>
      <c r="E648" s="25" t="s">
        <v>70</v>
      </c>
      <c r="F648" s="25" t="s">
        <v>66</v>
      </c>
      <c r="G648" s="25" t="s">
        <v>71</v>
      </c>
      <c r="H648" s="26">
        <v>18.176526979719593</v>
      </c>
      <c r="I648" s="26">
        <v>274.52307408507176</v>
      </c>
      <c r="J648" s="27">
        <v>292.69960106479135</v>
      </c>
      <c r="K648" s="26">
        <v>2.0625911232297378</v>
      </c>
      <c r="L648" s="26">
        <v>22.517756659349075</v>
      </c>
      <c r="M648" s="27">
        <v>24.580347782578812</v>
      </c>
      <c r="N648" s="26">
        <v>26.552220643461865</v>
      </c>
      <c r="O648" s="26">
        <v>85.192900019660641</v>
      </c>
      <c r="P648" s="26">
        <v>14.706241441392692</v>
      </c>
      <c r="Q648" s="26">
        <v>11.665754766016933</v>
      </c>
      <c r="R648" s="26">
        <v>22.621149931535928</v>
      </c>
      <c r="S648" s="26">
        <v>66.311739405625516</v>
      </c>
      <c r="T648" s="26">
        <v>74.09941351335182</v>
      </c>
      <c r="U648" s="26">
        <v>9.0362328856005156</v>
      </c>
      <c r="V648" s="27">
        <v>310.18565260664587</v>
      </c>
      <c r="W648" s="27">
        <v>768.41757476639611</v>
      </c>
      <c r="X648" s="26">
        <v>76.249774526693486</v>
      </c>
      <c r="Y648" s="28">
        <v>844.70827457932819</v>
      </c>
      <c r="Z648" s="17" t="str">
        <f>SUBSTITUTE(SUBSTITUTE(SUBSTITUTE(SUBSTITUTE(IF(E648="","",VLOOKUP(E648,[1]Esquemas_NORM!$A$2:$H$126,8,FALSE)),"PROVINCIA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8" s="17" t="str">
        <f>IF($E648="","",INDEX([1]Esquemas_NORM!$H$2:$K$126,MATCH($E648,[1]Esquemas_NORM!$A$2:$A$126,0),MATCH(AA$4,[1]Esquemas_NORM!$H$1:$K$1,0)))</f>
        <v>Región de Planeación y Gestión del Bajo Cauca</v>
      </c>
      <c r="AB648" s="17" t="str">
        <f>IF($E648="","",INDEX([1]Esquemas_NORM!$H$2:$K$126,MATCH($E648,[1]Esquemas_NORM!$A$2:$A$126,0),MATCH(AB$4,[1]Esquemas_NORM!$H$1:$K$1,0)))</f>
        <v>A la fecha no ha conformado un EAT Área Metropolitana</v>
      </c>
      <c r="AC648" s="17" t="str">
        <f>IF($E648="","",INDEX([1]Esquemas_NORM!$H$2:$K$126,MATCH($E648,[1]Esquemas_NORM!$A$2:$A$126,0),MATCH(AC$4,[1]Esquemas_NORM!$H$1:$K$1,0)))</f>
        <v>A la fecha no ha conformado un EAT asociación - unión</v>
      </c>
      <c r="AD648" s="23"/>
    </row>
    <row r="649" spans="1:30" x14ac:dyDescent="0.25">
      <c r="A649" s="24">
        <v>2020</v>
      </c>
      <c r="B649" s="25" t="s">
        <v>36</v>
      </c>
      <c r="C649" s="25" t="s">
        <v>63</v>
      </c>
      <c r="D649" s="25" t="s">
        <v>64</v>
      </c>
      <c r="E649" s="25" t="s">
        <v>72</v>
      </c>
      <c r="F649" s="25" t="s">
        <v>66</v>
      </c>
      <c r="G649" s="25" t="s">
        <v>73</v>
      </c>
      <c r="H649" s="26">
        <v>36.53113258153337</v>
      </c>
      <c r="I649" s="26">
        <v>26.251657070878544</v>
      </c>
      <c r="J649" s="27">
        <v>62.782789652411914</v>
      </c>
      <c r="K649" s="26">
        <v>7.8360272031697518</v>
      </c>
      <c r="L649" s="26">
        <v>6.7408142790247068</v>
      </c>
      <c r="M649" s="27">
        <v>14.576841482194459</v>
      </c>
      <c r="N649" s="26">
        <v>11.644822905652735</v>
      </c>
      <c r="O649" s="26">
        <v>40.085272361077514</v>
      </c>
      <c r="P649" s="26">
        <v>6.6750513891875505</v>
      </c>
      <c r="Q649" s="26">
        <v>5.489765597727839</v>
      </c>
      <c r="R649" s="26">
        <v>12.774887937013711</v>
      </c>
      <c r="S649" s="26">
        <v>22.597204083450201</v>
      </c>
      <c r="T649" s="26">
        <v>40.932002852942809</v>
      </c>
      <c r="U649" s="26">
        <v>5.1066730074779105</v>
      </c>
      <c r="V649" s="27">
        <v>145.30568013453029</v>
      </c>
      <c r="W649" s="27">
        <v>241.70314777805555</v>
      </c>
      <c r="X649" s="26">
        <v>23.984108544240438</v>
      </c>
      <c r="Y649" s="28">
        <v>265.70012923258628</v>
      </c>
      <c r="Z649" s="17" t="str">
        <f>SUBSTITUTE(SUBSTITUTE(SUBSTITUTE(SUBSTITUTE(IF(E649="","",VLOOKUP(E649,[1]Esquemas_NORM!$A$2:$H$126,8,FALSE)),"PROVINCIA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49" s="17" t="str">
        <f>IF($E649="","",INDEX([1]Esquemas_NORM!$H$2:$K$126,MATCH($E649,[1]Esquemas_NORM!$A$2:$A$126,0),MATCH(AA$4,[1]Esquemas_NORM!$H$1:$K$1,0)))</f>
        <v>Región de Planeación y Gestión del Bajo Cauca</v>
      </c>
      <c r="AB649" s="17" t="str">
        <f>IF($E649="","",INDEX([1]Esquemas_NORM!$H$2:$K$126,MATCH($E649,[1]Esquemas_NORM!$A$2:$A$126,0),MATCH(AB$4,[1]Esquemas_NORM!$H$1:$K$1,0)))</f>
        <v>A la fecha no ha conformado un EAT Área Metropolitana</v>
      </c>
      <c r="AC649" s="17" t="str">
        <f>IF($E649="","",INDEX([1]Esquemas_NORM!$H$2:$K$126,MATCH($E649,[1]Esquemas_NORM!$A$2:$A$126,0),MATCH(AC$4,[1]Esquemas_NORM!$H$1:$K$1,0)))</f>
        <v>A la fecha no ha conformado un EAT asociación - unión</v>
      </c>
      <c r="AD649" s="23"/>
    </row>
    <row r="650" spans="1:30" x14ac:dyDescent="0.25">
      <c r="A650" s="24">
        <v>2020</v>
      </c>
      <c r="B650" s="25" t="s">
        <v>36</v>
      </c>
      <c r="C650" s="25" t="s">
        <v>63</v>
      </c>
      <c r="D650" s="25" t="s">
        <v>64</v>
      </c>
      <c r="E650" s="25" t="s">
        <v>74</v>
      </c>
      <c r="F650" s="25" t="s">
        <v>66</v>
      </c>
      <c r="G650" s="25" t="s">
        <v>75</v>
      </c>
      <c r="H650" s="26">
        <v>16.477874675128504</v>
      </c>
      <c r="I650" s="26">
        <v>21.155813585735032</v>
      </c>
      <c r="J650" s="27">
        <v>37.633688260863536</v>
      </c>
      <c r="K650" s="26">
        <v>2.9994183838918538</v>
      </c>
      <c r="L650" s="26">
        <v>11.921813185074422</v>
      </c>
      <c r="M650" s="27">
        <v>14.921231568966276</v>
      </c>
      <c r="N650" s="26">
        <v>7.1448422703934584</v>
      </c>
      <c r="O650" s="26">
        <v>37.981735368043324</v>
      </c>
      <c r="P650" s="26">
        <v>9.7718998455514132</v>
      </c>
      <c r="Q650" s="26">
        <v>7.6132378142382571</v>
      </c>
      <c r="R650" s="26">
        <v>16.694954222667015</v>
      </c>
      <c r="S650" s="26">
        <v>27.355318315380632</v>
      </c>
      <c r="T650" s="26">
        <v>69.078618134723627</v>
      </c>
      <c r="U650" s="26">
        <v>6.934255436877959</v>
      </c>
      <c r="V650" s="27">
        <v>182.57486140787569</v>
      </c>
      <c r="W650" s="27">
        <v>247.43416722144249</v>
      </c>
      <c r="X650" s="26">
        <v>24.552795355574581</v>
      </c>
      <c r="Y650" s="28">
        <v>272.00014071667584</v>
      </c>
      <c r="Z650" s="17" t="str">
        <f>SUBSTITUTE(SUBSTITUTE(SUBSTITUTE(SUBSTITUTE(IF(E650="","",VLOOKUP(E650,[1]Esquemas_NORM!$A$2:$H$126,8,FALSE)),"PROVINCIA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50" s="17" t="str">
        <f>IF($E650="","",INDEX([1]Esquemas_NORM!$H$2:$K$126,MATCH($E650,[1]Esquemas_NORM!$A$2:$A$126,0),MATCH(AA$4,[1]Esquemas_NORM!$H$1:$K$1,0)))</f>
        <v>Región de Planeación y Gestión del Bajo Cauca</v>
      </c>
      <c r="AB650" s="17" t="str">
        <f>IF($E650="","",INDEX([1]Esquemas_NORM!$H$2:$K$126,MATCH($E650,[1]Esquemas_NORM!$A$2:$A$126,0),MATCH(AB$4,[1]Esquemas_NORM!$H$1:$K$1,0)))</f>
        <v>A la fecha no ha conformado un EAT Área Metropolitana</v>
      </c>
      <c r="AC650" s="17" t="str">
        <f>IF($E650="","",INDEX([1]Esquemas_NORM!$H$2:$K$126,MATCH($E650,[1]Esquemas_NORM!$A$2:$A$126,0),MATCH(AC$4,[1]Esquemas_NORM!$H$1:$K$1,0)))</f>
        <v>A la fecha no ha conformado un EAT asociación - unión</v>
      </c>
      <c r="AD650" s="23"/>
    </row>
    <row r="651" spans="1:30" x14ac:dyDescent="0.25">
      <c r="A651" s="24">
        <v>2020</v>
      </c>
      <c r="B651" s="25" t="s">
        <v>36</v>
      </c>
      <c r="C651" s="25" t="s">
        <v>63</v>
      </c>
      <c r="D651" s="25" t="s">
        <v>64</v>
      </c>
      <c r="E651" s="25" t="s">
        <v>76</v>
      </c>
      <c r="F651" s="25" t="s">
        <v>66</v>
      </c>
      <c r="G651" s="25" t="s">
        <v>77</v>
      </c>
      <c r="H651" s="26">
        <v>27.76235145706281</v>
      </c>
      <c r="I651" s="26">
        <v>96.590308330269622</v>
      </c>
      <c r="J651" s="27">
        <v>124.35265978733243</v>
      </c>
      <c r="K651" s="26">
        <v>3.9956716267503372</v>
      </c>
      <c r="L651" s="26">
        <v>9.1909787601117969</v>
      </c>
      <c r="M651" s="27">
        <v>13.186650386862134</v>
      </c>
      <c r="N651" s="26">
        <v>29.091926586308951</v>
      </c>
      <c r="O651" s="26">
        <v>32.199761428345624</v>
      </c>
      <c r="P651" s="26">
        <v>4.9442124275602959</v>
      </c>
      <c r="Q651" s="26">
        <v>3.676069279398801</v>
      </c>
      <c r="R651" s="26">
        <v>10.442836957425254</v>
      </c>
      <c r="S651" s="26">
        <v>27.971147051859763</v>
      </c>
      <c r="T651" s="26">
        <v>35.380715388579404</v>
      </c>
      <c r="U651" s="26">
        <v>3.5926916343665449</v>
      </c>
      <c r="V651" s="27">
        <v>147.29936075384461</v>
      </c>
      <c r="W651" s="27">
        <v>340.50247202336078</v>
      </c>
      <c r="X651" s="26">
        <v>33.787926734326533</v>
      </c>
      <c r="Y651" s="28">
        <v>374.30853363849849</v>
      </c>
      <c r="Z651" s="17" t="str">
        <f>SUBSTITUTE(SUBSTITUTE(SUBSTITUTE(SUBSTITUTE(IF(E651="","",VLOOKUP(E651,[1]Esquemas_NORM!$A$2:$H$126,8,FALSE)),"PROVINCIA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51" s="17" t="str">
        <f>IF($E651="","",INDEX([1]Esquemas_NORM!$H$2:$K$126,MATCH($E651,[1]Esquemas_NORM!$A$2:$A$126,0),MATCH(AA$4,[1]Esquemas_NORM!$H$1:$K$1,0)))</f>
        <v>Región de Planeación y Gestión del Bajo Cauca</v>
      </c>
      <c r="AB651" s="17" t="str">
        <f>IF($E651="","",INDEX([1]Esquemas_NORM!$H$2:$K$126,MATCH($E651,[1]Esquemas_NORM!$A$2:$A$126,0),MATCH(AB$4,[1]Esquemas_NORM!$H$1:$K$1,0)))</f>
        <v>A la fecha no ha conformado un EAT Área Metropolitana</v>
      </c>
      <c r="AC651" s="17" t="str">
        <f>IF($E651="","",INDEX([1]Esquemas_NORM!$H$2:$K$126,MATCH($E651,[1]Esquemas_NORM!$A$2:$A$126,0),MATCH(AC$4,[1]Esquemas_NORM!$H$1:$K$1,0)))</f>
        <v>A la fecha no ha conformado un EAT asociación - unión</v>
      </c>
      <c r="AD651" s="23"/>
    </row>
    <row r="652" spans="1:30" x14ac:dyDescent="0.25">
      <c r="A652" s="24">
        <v>2020</v>
      </c>
      <c r="B652" s="25" t="s">
        <v>36</v>
      </c>
      <c r="C652" s="25" t="s">
        <v>78</v>
      </c>
      <c r="D652" s="25" t="s">
        <v>79</v>
      </c>
      <c r="E652" s="25" t="s">
        <v>80</v>
      </c>
      <c r="F652" s="25" t="s">
        <v>81</v>
      </c>
      <c r="G652" s="25" t="s">
        <v>82</v>
      </c>
      <c r="H652" s="26">
        <v>5.8109671963241505</v>
      </c>
      <c r="I652" s="26">
        <v>0.77227631197767321</v>
      </c>
      <c r="J652" s="27">
        <v>6.5832435083018233</v>
      </c>
      <c r="K652" s="26">
        <v>0.69819038564245761</v>
      </c>
      <c r="L652" s="26">
        <v>2.6102006252969985</v>
      </c>
      <c r="M652" s="27">
        <v>3.3083910109394559</v>
      </c>
      <c r="N652" s="26">
        <v>2.344066068339886</v>
      </c>
      <c r="O652" s="26">
        <v>5.7276402261535635</v>
      </c>
      <c r="P652" s="26">
        <v>1.609605260879506</v>
      </c>
      <c r="Q652" s="26">
        <v>1.3327955479469782</v>
      </c>
      <c r="R652" s="26">
        <v>3.7456613121796192</v>
      </c>
      <c r="S652" s="26">
        <v>5.5171793976665189</v>
      </c>
      <c r="T652" s="26">
        <v>13.99454228006632</v>
      </c>
      <c r="U652" s="26">
        <v>1.4804425692614505</v>
      </c>
      <c r="V652" s="27">
        <v>35.751932662493836</v>
      </c>
      <c r="W652" s="27">
        <v>46.764334806890005</v>
      </c>
      <c r="X652" s="26">
        <v>4.6404065992472328</v>
      </c>
      <c r="Y652" s="28">
        <v>51.407232036037001</v>
      </c>
      <c r="Z652" s="17" t="str">
        <f>SUBSTITUTE(SUBSTITUTE(SUBSTITUTE(SUBSTITUTE(IF(E652="","",VLOOKUP(E652,[1]Esquemas_NORM!$A$2:$H$126,8,FALSE)),"PROVINCIA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52" s="17" t="str">
        <f>IF($E652="","",INDEX([1]Esquemas_NORM!$H$2:$K$126,MATCH($E652,[1]Esquemas_NORM!$A$2:$A$126,0),MATCH(AA$4,[1]Esquemas_NORM!$H$1:$K$1,0)))</f>
        <v>A la fecha no ha conformado un EAT Región</v>
      </c>
      <c r="AB652" s="17" t="str">
        <f>IF($E652="","",INDEX([1]Esquemas_NORM!$H$2:$K$126,MATCH($E652,[1]Esquemas_NORM!$A$2:$A$126,0),MATCH(AB$4,[1]Esquemas_NORM!$H$1:$K$1,0)))</f>
        <v>A la fecha no ha conformado un EAT Área Metropolitana</v>
      </c>
      <c r="AC652" s="17" t="str">
        <f>IF($E652="","",INDEX([1]Esquemas_NORM!$H$2:$K$126,MATCH($E652,[1]Esquemas_NORM!$A$2:$A$126,0),MATCH(AC$4,[1]Esquemas_NORM!$H$1:$K$1,0)))</f>
        <v>ASOCIACIÓN DE MUNICIPIOS DEL MAGDALENA MEDIO ANTIOQUEÑO - AMMA</v>
      </c>
      <c r="AD652" s="23"/>
    </row>
    <row r="653" spans="1:30" x14ac:dyDescent="0.25">
      <c r="A653" s="24">
        <v>2020</v>
      </c>
      <c r="B653" s="25" t="s">
        <v>36</v>
      </c>
      <c r="C653" s="25" t="s">
        <v>78</v>
      </c>
      <c r="D653" s="25" t="s">
        <v>79</v>
      </c>
      <c r="E653" s="25" t="s">
        <v>83</v>
      </c>
      <c r="F653" s="25" t="s">
        <v>81</v>
      </c>
      <c r="G653" s="25" t="s">
        <v>84</v>
      </c>
      <c r="H653" s="26">
        <v>22.376343846512018</v>
      </c>
      <c r="I653" s="26">
        <v>1.7561275464322939</v>
      </c>
      <c r="J653" s="27">
        <v>24.132471392944311</v>
      </c>
      <c r="K653" s="26">
        <v>1.0956437518616622</v>
      </c>
      <c r="L653" s="26">
        <v>5.1147361290089259</v>
      </c>
      <c r="M653" s="27">
        <v>6.2103798808705886</v>
      </c>
      <c r="N653" s="26">
        <v>1.8346075791914036</v>
      </c>
      <c r="O653" s="26">
        <v>15.039554831159288</v>
      </c>
      <c r="P653" s="26">
        <v>2.0372637967388769</v>
      </c>
      <c r="Q653" s="26">
        <v>1.8753944752431813</v>
      </c>
      <c r="R653" s="26">
        <v>6.3814701518972603</v>
      </c>
      <c r="S653" s="26">
        <v>8.147922472401536</v>
      </c>
      <c r="T653" s="26">
        <v>17.41412544477064</v>
      </c>
      <c r="U653" s="26">
        <v>2.6466789661683743</v>
      </c>
      <c r="V653" s="27">
        <v>55.37701771757056</v>
      </c>
      <c r="W653" s="27">
        <v>89.420925287887087</v>
      </c>
      <c r="X653" s="26">
        <v>8.8732033403307291</v>
      </c>
      <c r="Y653" s="28">
        <v>98.298891112942457</v>
      </c>
      <c r="Z653" s="17" t="str">
        <f>SUBSTITUTE(SUBSTITUTE(SUBSTITUTE(SUBSTITUTE(IF(E653="","",VLOOKUP(E653,[1]Esquemas_NORM!$A$2:$H$126,8,FALSE)),"PROVINCIA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53" s="17" t="str">
        <f>IF($E653="","",INDEX([1]Esquemas_NORM!$H$2:$K$126,MATCH($E653,[1]Esquemas_NORM!$A$2:$A$126,0),MATCH(AA$4,[1]Esquemas_NORM!$H$1:$K$1,0)))</f>
        <v>A la fecha no ha conformado un EAT Región</v>
      </c>
      <c r="AB653" s="17" t="str">
        <f>IF($E653="","",INDEX([1]Esquemas_NORM!$H$2:$K$126,MATCH($E653,[1]Esquemas_NORM!$A$2:$A$126,0),MATCH(AB$4,[1]Esquemas_NORM!$H$1:$K$1,0)))</f>
        <v>A la fecha no ha conformado un EAT Área Metropolitana</v>
      </c>
      <c r="AC653" s="17" t="str">
        <f>IF($E653="","",INDEX([1]Esquemas_NORM!$H$2:$K$126,MATCH($E653,[1]Esquemas_NORM!$A$2:$A$126,0),MATCH(AC$4,[1]Esquemas_NORM!$H$1:$K$1,0)))</f>
        <v>ASOCIACIÓN DE MUNICIPIOS DEL MAGDALENA MEDIO ANTIOQUEÑO - AMMA</v>
      </c>
      <c r="AD653" s="23"/>
    </row>
    <row r="654" spans="1:30" x14ac:dyDescent="0.25">
      <c r="A654" s="24">
        <v>2020</v>
      </c>
      <c r="B654" s="25" t="s">
        <v>36</v>
      </c>
      <c r="C654" s="25" t="s">
        <v>78</v>
      </c>
      <c r="D654" s="25" t="s">
        <v>85</v>
      </c>
      <c r="E654" s="25" t="s">
        <v>86</v>
      </c>
      <c r="F654" s="25" t="s">
        <v>81</v>
      </c>
      <c r="G654" s="25" t="s">
        <v>87</v>
      </c>
      <c r="H654" s="26">
        <v>19.327431990372428</v>
      </c>
      <c r="I654" s="26">
        <v>70.284951387513047</v>
      </c>
      <c r="J654" s="27">
        <v>89.612383377885479</v>
      </c>
      <c r="K654" s="26">
        <v>35.107312046514608</v>
      </c>
      <c r="L654" s="26">
        <v>8.767337576061708</v>
      </c>
      <c r="M654" s="27">
        <v>43.874649622576314</v>
      </c>
      <c r="N654" s="26">
        <v>24.623663312252273</v>
      </c>
      <c r="O654" s="26">
        <v>100.33998012563248</v>
      </c>
      <c r="P654" s="26">
        <v>16.422442946399883</v>
      </c>
      <c r="Q654" s="26">
        <v>18.227891898092146</v>
      </c>
      <c r="R654" s="26">
        <v>39.906627227830562</v>
      </c>
      <c r="S654" s="26">
        <v>67.616744338666948</v>
      </c>
      <c r="T654" s="26">
        <v>76.025598096546105</v>
      </c>
      <c r="U654" s="26">
        <v>13.728688104178255</v>
      </c>
      <c r="V654" s="27">
        <v>356.89163604959867</v>
      </c>
      <c r="W654" s="27">
        <v>528.29883950297744</v>
      </c>
      <c r="X654" s="26">
        <v>52.422886614893088</v>
      </c>
      <c r="Y654" s="28">
        <v>580.74986287831473</v>
      </c>
      <c r="Z654" s="17" t="str">
        <f>SUBSTITUTE(SUBSTITUTE(SUBSTITUTE(SUBSTITUTE(IF(E654="","",VLOOKUP(E654,[1]Esquemas_NORM!$A$2:$H$126,8,FALSE)),"PROVINCIA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54" s="17" t="str">
        <f>IF($E654="","",INDEX([1]Esquemas_NORM!$H$2:$K$126,MATCH($E654,[1]Esquemas_NORM!$A$2:$A$126,0),MATCH(AA$4,[1]Esquemas_NORM!$H$1:$K$1,0)))</f>
        <v>A la fecha no ha conformado un EAT Región</v>
      </c>
      <c r="AB654" s="17" t="str">
        <f>IF($E654="","",INDEX([1]Esquemas_NORM!$H$2:$K$126,MATCH($E654,[1]Esquemas_NORM!$A$2:$A$126,0),MATCH(AB$4,[1]Esquemas_NORM!$H$1:$K$1,0)))</f>
        <v>A la fecha no ha conformado un EAT Área Metropolitana</v>
      </c>
      <c r="AC654" s="17" t="str">
        <f>IF($E654="","",INDEX([1]Esquemas_NORM!$H$2:$K$126,MATCH($E654,[1]Esquemas_NORM!$A$2:$A$126,0),MATCH(AC$4,[1]Esquemas_NORM!$H$1:$K$1,0)))</f>
        <v>ASOCIACIÓN DE MUNICIPIOS DEL MAGDALENA MEDIO ANTIOQUEÑO - AMMA</v>
      </c>
      <c r="AD654" s="23"/>
    </row>
    <row r="655" spans="1:30" x14ac:dyDescent="0.25">
      <c r="A655" s="24">
        <v>2020</v>
      </c>
      <c r="B655" s="25" t="s">
        <v>36</v>
      </c>
      <c r="C655" s="25" t="s">
        <v>78</v>
      </c>
      <c r="D655" s="25" t="s">
        <v>85</v>
      </c>
      <c r="E655" s="25" t="s">
        <v>88</v>
      </c>
      <c r="F655" s="25" t="s">
        <v>81</v>
      </c>
      <c r="G655" s="25" t="s">
        <v>89</v>
      </c>
      <c r="H655" s="26">
        <v>7.4407214079084252</v>
      </c>
      <c r="I655" s="26">
        <v>43.533449498008366</v>
      </c>
      <c r="J655" s="27">
        <v>50.974170905916793</v>
      </c>
      <c r="K655" s="26">
        <v>38.343858730603912</v>
      </c>
      <c r="L655" s="26">
        <v>2.8363496531593504</v>
      </c>
      <c r="M655" s="27">
        <v>41.180208383763265</v>
      </c>
      <c r="N655" s="26">
        <v>131.96925575892735</v>
      </c>
      <c r="O655" s="26">
        <v>13.247496608971026</v>
      </c>
      <c r="P655" s="26">
        <v>3.2391861777799265</v>
      </c>
      <c r="Q655" s="26">
        <v>2.2757753792342883</v>
      </c>
      <c r="R655" s="26">
        <v>7.9037501908275631</v>
      </c>
      <c r="S655" s="26">
        <v>33.097461361078395</v>
      </c>
      <c r="T655" s="26">
        <v>20.691071730422109</v>
      </c>
      <c r="U655" s="26">
        <v>5.5913191160427429</v>
      </c>
      <c r="V655" s="27">
        <v>218.01531632328337</v>
      </c>
      <c r="W655" s="27">
        <v>353.18223190676633</v>
      </c>
      <c r="X655" s="26">
        <v>35.046134333857218</v>
      </c>
      <c r="Y655" s="28">
        <v>388.24717643498582</v>
      </c>
      <c r="Z655" s="17" t="str">
        <f>SUBSTITUTE(SUBSTITUTE(SUBSTITUTE(SUBSTITUTE(IF(E655="","",VLOOKUP(E655,[1]Esquemas_NORM!$A$2:$H$126,8,FALSE)),"PROVINCIA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55" s="17" t="str">
        <f>IF($E655="","",INDEX([1]Esquemas_NORM!$H$2:$K$126,MATCH($E655,[1]Esquemas_NORM!$A$2:$A$126,0),MATCH(AA$4,[1]Esquemas_NORM!$H$1:$K$1,0)))</f>
        <v>A la fecha no ha conformado un EAT Región</v>
      </c>
      <c r="AB655" s="17" t="str">
        <f>IF($E655="","",INDEX([1]Esquemas_NORM!$H$2:$K$126,MATCH($E655,[1]Esquemas_NORM!$A$2:$A$126,0),MATCH(AB$4,[1]Esquemas_NORM!$H$1:$K$1,0)))</f>
        <v>A la fecha no ha conformado un EAT Área Metropolitana</v>
      </c>
      <c r="AC655" s="17" t="str">
        <f>IF($E655="","",INDEX([1]Esquemas_NORM!$H$2:$K$126,MATCH($E655,[1]Esquemas_NORM!$A$2:$A$126,0),MATCH(AC$4,[1]Esquemas_NORM!$H$1:$K$1,0)))</f>
        <v>ASOCIACIÓN DE MUNICIPIOS DEL MAGDALENA MEDIO ANTIOQUEÑO - AMMA</v>
      </c>
      <c r="AD655" s="23"/>
    </row>
    <row r="656" spans="1:30" x14ac:dyDescent="0.25">
      <c r="A656" s="24">
        <v>2020</v>
      </c>
      <c r="B656" s="25" t="s">
        <v>36</v>
      </c>
      <c r="C656" s="25" t="s">
        <v>78</v>
      </c>
      <c r="D656" s="25" t="s">
        <v>85</v>
      </c>
      <c r="E656" s="25" t="s">
        <v>90</v>
      </c>
      <c r="F656" s="25" t="s">
        <v>81</v>
      </c>
      <c r="G656" s="25" t="s">
        <v>91</v>
      </c>
      <c r="H656" s="26">
        <v>6.3369109721005286</v>
      </c>
      <c r="I656" s="26">
        <v>3.4267855744383784</v>
      </c>
      <c r="J656" s="27">
        <v>9.7636965465389061</v>
      </c>
      <c r="K656" s="26">
        <v>15.506464239696166</v>
      </c>
      <c r="L656" s="26">
        <v>5.9601110048089962</v>
      </c>
      <c r="M656" s="27">
        <v>21.466575244505162</v>
      </c>
      <c r="N656" s="26">
        <v>9.2664394984294898</v>
      </c>
      <c r="O656" s="26">
        <v>51.691294718005373</v>
      </c>
      <c r="P656" s="26">
        <v>5.3894577465498683</v>
      </c>
      <c r="Q656" s="26">
        <v>3.2592769100738628</v>
      </c>
      <c r="R656" s="26">
        <v>15.879828696042271</v>
      </c>
      <c r="S656" s="26">
        <v>21.763769105497559</v>
      </c>
      <c r="T656" s="26">
        <v>26.210973119459084</v>
      </c>
      <c r="U656" s="26">
        <v>4.6737200723015704</v>
      </c>
      <c r="V656" s="27">
        <v>138.13475986635908</v>
      </c>
      <c r="W656" s="27">
        <v>173.00043046296958</v>
      </c>
      <c r="X656" s="26">
        <v>17.16676485419865</v>
      </c>
      <c r="Y656" s="28">
        <v>190.17640917740098</v>
      </c>
      <c r="Z656" s="17" t="str">
        <f>SUBSTITUTE(SUBSTITUTE(SUBSTITUTE(SUBSTITUTE(IF(E656="","",VLOOKUP(E656,[1]Esquemas_NORM!$A$2:$H$126,8,FALSE)),"PROVINCIA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56" s="17" t="str">
        <f>IF($E656="","",INDEX([1]Esquemas_NORM!$H$2:$K$126,MATCH($E656,[1]Esquemas_NORM!$A$2:$A$126,0),MATCH(AA$4,[1]Esquemas_NORM!$H$1:$K$1,0)))</f>
        <v>A la fecha no ha conformado un EAT Región</v>
      </c>
      <c r="AB656" s="17" t="str">
        <f>IF($E656="","",INDEX([1]Esquemas_NORM!$H$2:$K$126,MATCH($E656,[1]Esquemas_NORM!$A$2:$A$126,0),MATCH(AB$4,[1]Esquemas_NORM!$H$1:$K$1,0)))</f>
        <v>A la fecha no ha conformado un EAT Área Metropolitana</v>
      </c>
      <c r="AC656" s="17" t="str">
        <f>IF($E656="","",INDEX([1]Esquemas_NORM!$H$2:$K$126,MATCH($E656,[1]Esquemas_NORM!$A$2:$A$126,0),MATCH(AC$4,[1]Esquemas_NORM!$H$1:$K$1,0)))</f>
        <v>ASOCIACIÓN DE MUNICIPIOS DEL MAGDALENA MEDIO ANTIOQUEÑO - AMMA</v>
      </c>
      <c r="AD656" s="23"/>
    </row>
    <row r="657" spans="1:30" x14ac:dyDescent="0.25">
      <c r="A657" s="24">
        <v>2020</v>
      </c>
      <c r="B657" s="25" t="s">
        <v>36</v>
      </c>
      <c r="C657" s="25" t="s">
        <v>78</v>
      </c>
      <c r="D657" s="25" t="s">
        <v>85</v>
      </c>
      <c r="E657" s="25" t="s">
        <v>92</v>
      </c>
      <c r="F657" s="25" t="s">
        <v>81</v>
      </c>
      <c r="G657" s="25" t="s">
        <v>93</v>
      </c>
      <c r="H657" s="26">
        <v>29.758812381987557</v>
      </c>
      <c r="I657" s="26">
        <v>263.13193096309948</v>
      </c>
      <c r="J657" s="27">
        <v>292.89074334508706</v>
      </c>
      <c r="K657" s="26">
        <v>2.4386446937397248</v>
      </c>
      <c r="L657" s="26">
        <v>9.6034235099155012</v>
      </c>
      <c r="M657" s="27">
        <v>12.042068203655226</v>
      </c>
      <c r="N657" s="26">
        <v>12.079335131671332</v>
      </c>
      <c r="O657" s="26">
        <v>19.412643544837131</v>
      </c>
      <c r="P657" s="26">
        <v>3.9349550440118022</v>
      </c>
      <c r="Q657" s="26">
        <v>2.3192371187458498</v>
      </c>
      <c r="R657" s="26">
        <v>10.667408282968852</v>
      </c>
      <c r="S657" s="26">
        <v>41.214957202497764</v>
      </c>
      <c r="T657" s="26">
        <v>24.268053972989559</v>
      </c>
      <c r="U657" s="26">
        <v>5.7564292296123902</v>
      </c>
      <c r="V657" s="27">
        <v>119.65301952733468</v>
      </c>
      <c r="W657" s="27">
        <v>557.89910612643757</v>
      </c>
      <c r="X657" s="26">
        <v>55.360109460917435</v>
      </c>
      <c r="Y657" s="28">
        <v>613.28892883359231</v>
      </c>
      <c r="Z657" s="17" t="str">
        <f>SUBSTITUTE(SUBSTITUTE(SUBSTITUTE(SUBSTITUTE(IF(E657="","",VLOOKUP(E657,[1]Esquemas_NORM!$A$2:$H$126,8,FALSE)),"PROVINCIA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57" s="17" t="str">
        <f>IF($E657="","",INDEX([1]Esquemas_NORM!$H$2:$K$126,MATCH($E657,[1]Esquemas_NORM!$A$2:$A$126,0),MATCH(AA$4,[1]Esquemas_NORM!$H$1:$K$1,0)))</f>
        <v>A la fecha no ha conformado un EAT Región</v>
      </c>
      <c r="AB657" s="17" t="str">
        <f>IF($E657="","",INDEX([1]Esquemas_NORM!$H$2:$K$126,MATCH($E657,[1]Esquemas_NORM!$A$2:$A$126,0),MATCH(AB$4,[1]Esquemas_NORM!$H$1:$K$1,0)))</f>
        <v>A la fecha no ha conformado un EAT Área Metropolitana</v>
      </c>
      <c r="AC657" s="17" t="str">
        <f>IF($E657="","",INDEX([1]Esquemas_NORM!$H$2:$K$126,MATCH($E657,[1]Esquemas_NORM!$A$2:$A$126,0),MATCH(AC$4,[1]Esquemas_NORM!$H$1:$K$1,0)))</f>
        <v>ASOCIACIÓN DE MUNICIPIOS DEL MAGDALENA MEDIO ANTIOQUEÑO - AMMA</v>
      </c>
      <c r="AD657" s="23"/>
    </row>
    <row r="658" spans="1:30" x14ac:dyDescent="0.25">
      <c r="A658" s="24">
        <v>2020</v>
      </c>
      <c r="B658" s="25" t="s">
        <v>36</v>
      </c>
      <c r="C658" s="25" t="s">
        <v>94</v>
      </c>
      <c r="D658" s="25" t="s">
        <v>95</v>
      </c>
      <c r="E658" s="25" t="s">
        <v>96</v>
      </c>
      <c r="F658" s="25" t="s">
        <v>97</v>
      </c>
      <c r="G658" s="25" t="s">
        <v>98</v>
      </c>
      <c r="H658" s="26">
        <v>36.192749729927719</v>
      </c>
      <c r="I658" s="26">
        <v>14.867504760467028</v>
      </c>
      <c r="J658" s="27">
        <v>51.060254490394748</v>
      </c>
      <c r="K658" s="26">
        <v>10.781781634446968</v>
      </c>
      <c r="L658" s="26">
        <v>35.127099317367929</v>
      </c>
      <c r="M658" s="27">
        <v>45.908880951814893</v>
      </c>
      <c r="N658" s="26">
        <v>374.20142073012113</v>
      </c>
      <c r="O658" s="26">
        <v>31.085654325868017</v>
      </c>
      <c r="P658" s="26">
        <v>6.0230118105260999</v>
      </c>
      <c r="Q658" s="26">
        <v>5.1490583661563516</v>
      </c>
      <c r="R658" s="26">
        <v>17.443089180300507</v>
      </c>
      <c r="S658" s="26">
        <v>43.318490363125598</v>
      </c>
      <c r="T658" s="26">
        <v>47.426159159035556</v>
      </c>
      <c r="U658" s="26">
        <v>7.7462612311312924</v>
      </c>
      <c r="V658" s="27">
        <v>532.3931451662645</v>
      </c>
      <c r="W658" s="27">
        <v>708.95358046788499</v>
      </c>
      <c r="X658" s="26">
        <v>70.349185697767865</v>
      </c>
      <c r="Y658" s="28">
        <v>779.34052444859208</v>
      </c>
      <c r="Z658" s="17" t="str">
        <f>SUBSTITUTE(SUBSTITUTE(SUBSTITUTE(SUBSTITUTE(IF(E658="","",VLOOKUP(E658,[1]Esquemas_NORM!$A$2:$H$126,8,FALSE)),"PROVINCIA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658" s="17" t="str">
        <f>IF($E658="","",INDEX([1]Esquemas_NORM!$H$2:$K$126,MATCH($E658,[1]Esquemas_NORM!$A$2:$A$126,0),MATCH(AA$4,[1]Esquemas_NORM!$H$1:$K$1,0)))</f>
        <v>A la fecha no ha conformado un EAT Región</v>
      </c>
      <c r="AB658" s="17" t="str">
        <f>IF($E658="","",INDEX([1]Esquemas_NORM!$H$2:$K$126,MATCH($E658,[1]Esquemas_NORM!$A$2:$A$126,0),MATCH(AB$4,[1]Esquemas_NORM!$H$1:$K$1,0)))</f>
        <v>A la fecha no ha conformado un EAT Área Metropolitana</v>
      </c>
      <c r="AC658" s="17" t="str">
        <f>IF($E658="","",INDEX([1]Esquemas_NORM!$H$2:$K$126,MATCH($E658,[1]Esquemas_NORM!$A$2:$A$126,0),MATCH(AC$4,[1]Esquemas_NORM!$H$1:$K$1,0)))</f>
        <v>A la fecha no ha conformado un EAT asociación - unión</v>
      </c>
      <c r="AD658" s="23"/>
    </row>
    <row r="659" spans="1:30" x14ac:dyDescent="0.25">
      <c r="A659" s="24">
        <v>2020</v>
      </c>
      <c r="B659" s="25" t="s">
        <v>36</v>
      </c>
      <c r="C659" s="25" t="s">
        <v>94</v>
      </c>
      <c r="D659" s="25" t="s">
        <v>99</v>
      </c>
      <c r="E659" s="25" t="s">
        <v>100</v>
      </c>
      <c r="F659" s="25" t="s">
        <v>97</v>
      </c>
      <c r="G659" s="25" t="s">
        <v>101</v>
      </c>
      <c r="H659" s="26">
        <v>19.267626360460977</v>
      </c>
      <c r="I659" s="26">
        <v>5.4614003631356818</v>
      </c>
      <c r="J659" s="27">
        <v>24.729026723596657</v>
      </c>
      <c r="K659" s="26">
        <v>2.132346566250428</v>
      </c>
      <c r="L659" s="26">
        <v>6.104443775100612</v>
      </c>
      <c r="M659" s="27">
        <v>8.236790341351039</v>
      </c>
      <c r="N659" s="26">
        <v>61.246688372815349</v>
      </c>
      <c r="O659" s="26">
        <v>6.1114201153891266</v>
      </c>
      <c r="P659" s="26">
        <v>1.2920787092589905</v>
      </c>
      <c r="Q659" s="26">
        <v>0.97063331153211541</v>
      </c>
      <c r="R659" s="26">
        <v>2.784973012874151</v>
      </c>
      <c r="S659" s="26">
        <v>7.6241075038813353</v>
      </c>
      <c r="T659" s="26">
        <v>9.5285329764342865</v>
      </c>
      <c r="U659" s="26">
        <v>1.4284201337739288</v>
      </c>
      <c r="V659" s="27">
        <v>90.986854135959277</v>
      </c>
      <c r="W659" s="27">
        <v>140.15573290745397</v>
      </c>
      <c r="X659" s="26">
        <v>13.907598399330244</v>
      </c>
      <c r="Y659" s="28">
        <v>154.07079588551596</v>
      </c>
      <c r="Z659" s="17" t="str">
        <f>SUBSTITUTE(SUBSTITUTE(SUBSTITUTE(SUBSTITUTE(IF(E659="","",VLOOKUP(E659,[1]Esquemas_NORM!$A$2:$H$126,8,FALSE)),"PROVINCIA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59" s="17" t="str">
        <f>IF($E659="","",INDEX([1]Esquemas_NORM!$H$2:$K$126,MATCH($E659,[1]Esquemas_NORM!$A$2:$A$126,0),MATCH(AA$4,[1]Esquemas_NORM!$H$1:$K$1,0)))</f>
        <v>A la fecha no ha conformado un EAT Región</v>
      </c>
      <c r="AB659" s="17" t="str">
        <f>IF($E659="","",INDEX([1]Esquemas_NORM!$H$2:$K$126,MATCH($E659,[1]Esquemas_NORM!$A$2:$A$126,0),MATCH(AB$4,[1]Esquemas_NORM!$H$1:$K$1,0)))</f>
        <v>A la fecha no ha conformado un EAT Área Metropolitana</v>
      </c>
      <c r="AC659" s="17" t="str">
        <f>IF($E659="","",INDEX([1]Esquemas_NORM!$H$2:$K$126,MATCH($E659,[1]Esquemas_NORM!$A$2:$A$126,0),MATCH(AC$4,[1]Esquemas_NORM!$H$1:$K$1,0)))</f>
        <v>A la fecha no ha conformado un EAT asociación - unión</v>
      </c>
      <c r="AD659" s="23"/>
    </row>
    <row r="660" spans="1:30" x14ac:dyDescent="0.25">
      <c r="A660" s="24">
        <v>2020</v>
      </c>
      <c r="B660" s="25" t="s">
        <v>36</v>
      </c>
      <c r="C660" s="25" t="s">
        <v>94</v>
      </c>
      <c r="D660" s="25" t="s">
        <v>79</v>
      </c>
      <c r="E660" s="25" t="s">
        <v>102</v>
      </c>
      <c r="F660" s="25" t="s">
        <v>97</v>
      </c>
      <c r="G660" s="25" t="s">
        <v>103</v>
      </c>
      <c r="H660" s="26">
        <v>3.0294742383841959</v>
      </c>
      <c r="I660" s="26">
        <v>8.5294352689023311E-3</v>
      </c>
      <c r="J660" s="27">
        <v>3.0380036736530984</v>
      </c>
      <c r="K660" s="26">
        <v>6.1313814179127162</v>
      </c>
      <c r="L660" s="26">
        <v>1.4778075326012239</v>
      </c>
      <c r="M660" s="27">
        <v>7.6091889505139401</v>
      </c>
      <c r="N660" s="26">
        <v>9.6928331773313925</v>
      </c>
      <c r="O660" s="26">
        <v>17.408401379647465</v>
      </c>
      <c r="P660" s="26">
        <v>3.7441830016701161</v>
      </c>
      <c r="Q660" s="26">
        <v>2.6612842103509742</v>
      </c>
      <c r="R660" s="26">
        <v>9.1119013685224957</v>
      </c>
      <c r="S660" s="26">
        <v>14.615619705451222</v>
      </c>
      <c r="T660" s="26">
        <v>15.876119472706275</v>
      </c>
      <c r="U660" s="26">
        <v>3.5992500859995356</v>
      </c>
      <c r="V660" s="27">
        <v>76.709592401679473</v>
      </c>
      <c r="W660" s="27">
        <v>88.751808575088219</v>
      </c>
      <c r="X660" s="26">
        <v>8.8068071513824542</v>
      </c>
      <c r="Y660" s="28">
        <v>97.563342574591303</v>
      </c>
      <c r="Z660" s="17" t="str">
        <f>SUBSTITUTE(SUBSTITUTE(SUBSTITUTE(SUBSTITUTE(IF(E660="","",VLOOKUP(E660,[1]Esquemas_NORM!$A$2:$H$126,8,FALSE)),"PROVINCIA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60" s="17" t="str">
        <f>IF($E660="","",INDEX([1]Esquemas_NORM!$H$2:$K$126,MATCH($E660,[1]Esquemas_NORM!$A$2:$A$126,0),MATCH(AA$4,[1]Esquemas_NORM!$H$1:$K$1,0)))</f>
        <v>A la fecha no ha conformado un EAT Región</v>
      </c>
      <c r="AB660" s="17" t="str">
        <f>IF($E660="","",INDEX([1]Esquemas_NORM!$H$2:$K$126,MATCH($E660,[1]Esquemas_NORM!$A$2:$A$126,0),MATCH(AB$4,[1]Esquemas_NORM!$H$1:$K$1,0)))</f>
        <v>A la fecha no ha conformado un EAT Área Metropolitana</v>
      </c>
      <c r="AC660" s="17" t="str">
        <f>IF($E660="","",INDEX([1]Esquemas_NORM!$H$2:$K$126,MATCH($E660,[1]Esquemas_NORM!$A$2:$A$126,0),MATCH(AC$4,[1]Esquemas_NORM!$H$1:$K$1,0)))</f>
        <v>A la fecha no ha conformado un EAT asociación - unión</v>
      </c>
      <c r="AD660" s="23"/>
    </row>
    <row r="661" spans="1:30" x14ac:dyDescent="0.25">
      <c r="A661" s="24">
        <v>2020</v>
      </c>
      <c r="B661" s="25" t="s">
        <v>36</v>
      </c>
      <c r="C661" s="25" t="s">
        <v>94</v>
      </c>
      <c r="D661" s="25" t="s">
        <v>104</v>
      </c>
      <c r="E661" s="25" t="s">
        <v>105</v>
      </c>
      <c r="F661" s="25" t="s">
        <v>97</v>
      </c>
      <c r="G661" s="25" t="s">
        <v>106</v>
      </c>
      <c r="H661" s="26">
        <v>55.102394052961841</v>
      </c>
      <c r="I661" s="26">
        <v>447.60339372154573</v>
      </c>
      <c r="J661" s="27">
        <v>502.7057877745076</v>
      </c>
      <c r="K661" s="26">
        <v>12.914403974470657</v>
      </c>
      <c r="L661" s="26">
        <v>2.9373019152794027</v>
      </c>
      <c r="M661" s="27">
        <v>15.851705889750059</v>
      </c>
      <c r="N661" s="26">
        <v>8.911707137887527</v>
      </c>
      <c r="O661" s="26">
        <v>37.790492738978436</v>
      </c>
      <c r="P661" s="26">
        <v>5.852548511586332</v>
      </c>
      <c r="Q661" s="26">
        <v>4.5264387802274992</v>
      </c>
      <c r="R661" s="26">
        <v>16.727578072206487</v>
      </c>
      <c r="S661" s="26">
        <v>58.708269064102566</v>
      </c>
      <c r="T661" s="26">
        <v>33.285223936176429</v>
      </c>
      <c r="U661" s="26">
        <v>8.5611991303752557</v>
      </c>
      <c r="V661" s="27">
        <v>174.36345737154053</v>
      </c>
      <c r="W661" s="27">
        <v>918.93129724827406</v>
      </c>
      <c r="X661" s="26">
        <v>91.185192168409941</v>
      </c>
      <c r="Y661" s="28">
        <v>1010.1654309396416</v>
      </c>
      <c r="Z661" s="17" t="str">
        <f>SUBSTITUTE(SUBSTITUTE(SUBSTITUTE(SUBSTITUTE(IF(E661="","",VLOOKUP(E661,[1]Esquemas_NORM!$A$2:$H$126,8,FALSE)),"PROVINCIA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661" s="17" t="str">
        <f>IF($E661="","",INDEX([1]Esquemas_NORM!$H$2:$K$126,MATCH($E661,[1]Esquemas_NORM!$A$2:$A$126,0),MATCH(AA$4,[1]Esquemas_NORM!$H$1:$K$1,0)))</f>
        <v>A la fecha no ha conformado un EAT Región</v>
      </c>
      <c r="AB661" s="17" t="str">
        <f>IF($E661="","",INDEX([1]Esquemas_NORM!$H$2:$K$126,MATCH($E661,[1]Esquemas_NORM!$A$2:$A$126,0),MATCH(AB$4,[1]Esquemas_NORM!$H$1:$K$1,0)))</f>
        <v>A la fecha no ha conformado un EAT Área Metropolitana</v>
      </c>
      <c r="AC661" s="17" t="str">
        <f>IF($E661="","",INDEX([1]Esquemas_NORM!$H$2:$K$126,MATCH($E661,[1]Esquemas_NORM!$A$2:$A$126,0),MATCH(AC$4,[1]Esquemas_NORM!$H$1:$K$1,0)))</f>
        <v>A la fecha no ha conformado un EAT asociación - unión</v>
      </c>
      <c r="AD661" s="23"/>
    </row>
    <row r="662" spans="1:30" x14ac:dyDescent="0.25">
      <c r="A662" s="24">
        <v>2020</v>
      </c>
      <c r="B662" s="25" t="s">
        <v>36</v>
      </c>
      <c r="C662" s="25" t="s">
        <v>94</v>
      </c>
      <c r="D662" s="25" t="s">
        <v>79</v>
      </c>
      <c r="E662" s="25" t="s">
        <v>107</v>
      </c>
      <c r="F662" s="25" t="s">
        <v>97</v>
      </c>
      <c r="G662" s="25" t="s">
        <v>108</v>
      </c>
      <c r="H662" s="26">
        <v>28.5506105143231</v>
      </c>
      <c r="I662" s="26">
        <v>1.216102152868457</v>
      </c>
      <c r="J662" s="27">
        <v>29.766712667191559</v>
      </c>
      <c r="K662" s="26">
        <v>3.8476817452186629</v>
      </c>
      <c r="L662" s="26">
        <v>10.867147219556657</v>
      </c>
      <c r="M662" s="27">
        <v>14.71482896477532</v>
      </c>
      <c r="N662" s="26">
        <v>18.420229863959189</v>
      </c>
      <c r="O662" s="26">
        <v>23.194554749826914</v>
      </c>
      <c r="P662" s="26">
        <v>5.810682548805052</v>
      </c>
      <c r="Q662" s="26">
        <v>3.9630319789037678</v>
      </c>
      <c r="R662" s="26">
        <v>11.209963951793975</v>
      </c>
      <c r="S662" s="26">
        <v>18.767188701662672</v>
      </c>
      <c r="T662" s="26">
        <v>32.367659907813092</v>
      </c>
      <c r="U662" s="26">
        <v>5.2376207759921112</v>
      </c>
      <c r="V662" s="27">
        <v>118.97093247875677</v>
      </c>
      <c r="W662" s="27">
        <v>169.80599498993061</v>
      </c>
      <c r="X662" s="26">
        <v>16.84978227525459</v>
      </c>
      <c r="Y662" s="28">
        <v>186.66482099241907</v>
      </c>
      <c r="Z662" s="17" t="str">
        <f>SUBSTITUTE(SUBSTITUTE(SUBSTITUTE(SUBSTITUTE(IF(E662="","",VLOOKUP(E662,[1]Esquemas_NORM!$A$2:$H$126,8,FALSE)),"PROVINCIA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62" s="17" t="str">
        <f>IF($E662="","",INDEX([1]Esquemas_NORM!$H$2:$K$126,MATCH($E662,[1]Esquemas_NORM!$A$2:$A$126,0),MATCH(AA$4,[1]Esquemas_NORM!$H$1:$K$1,0)))</f>
        <v>A la fecha no ha conformado un EAT Región</v>
      </c>
      <c r="AB662" s="17" t="str">
        <f>IF($E662="","",INDEX([1]Esquemas_NORM!$H$2:$K$126,MATCH($E662,[1]Esquemas_NORM!$A$2:$A$126,0),MATCH(AB$4,[1]Esquemas_NORM!$H$1:$K$1,0)))</f>
        <v>A la fecha no ha conformado un EAT Área Metropolitana</v>
      </c>
      <c r="AC662" s="17" t="str">
        <f>IF($E662="","",INDEX([1]Esquemas_NORM!$H$2:$K$126,MATCH($E662,[1]Esquemas_NORM!$A$2:$A$126,0),MATCH(AC$4,[1]Esquemas_NORM!$H$1:$K$1,0)))</f>
        <v>A la fecha no ha conformado un EAT asociación - unión</v>
      </c>
      <c r="AD662" s="23"/>
    </row>
    <row r="663" spans="1:30" x14ac:dyDescent="0.25">
      <c r="A663" s="24">
        <v>2020</v>
      </c>
      <c r="B663" s="25" t="s">
        <v>36</v>
      </c>
      <c r="C663" s="25" t="s">
        <v>94</v>
      </c>
      <c r="D663" s="25" t="s">
        <v>79</v>
      </c>
      <c r="E663" s="25" t="s">
        <v>109</v>
      </c>
      <c r="F663" s="25" t="s">
        <v>97</v>
      </c>
      <c r="G663" s="25" t="s">
        <v>110</v>
      </c>
      <c r="H663" s="26">
        <v>65.806695199935945</v>
      </c>
      <c r="I663" s="26">
        <v>24.480261077548136</v>
      </c>
      <c r="J663" s="27">
        <v>90.28695627748408</v>
      </c>
      <c r="K663" s="26">
        <v>7.627256857465774</v>
      </c>
      <c r="L663" s="26">
        <v>2.9127403779833938</v>
      </c>
      <c r="M663" s="27">
        <v>10.539997235449167</v>
      </c>
      <c r="N663" s="26">
        <v>13.070965544507072</v>
      </c>
      <c r="O663" s="26">
        <v>12.15774248558672</v>
      </c>
      <c r="P663" s="26">
        <v>1.9504675588626854</v>
      </c>
      <c r="Q663" s="26">
        <v>1.452198539742575</v>
      </c>
      <c r="R663" s="26">
        <v>5.5274011054128742</v>
      </c>
      <c r="S663" s="26">
        <v>13.725864427230855</v>
      </c>
      <c r="T663" s="26">
        <v>14.566453446249639</v>
      </c>
      <c r="U663" s="26">
        <v>2.3999668597029222</v>
      </c>
      <c r="V663" s="27">
        <v>64.851059967295342</v>
      </c>
      <c r="W663" s="27">
        <v>187.64381223298059</v>
      </c>
      <c r="X663" s="26">
        <v>18.619821883268699</v>
      </c>
      <c r="Y663" s="28">
        <v>206.27362787091681</v>
      </c>
      <c r="Z663" s="17" t="str">
        <f>SUBSTITUTE(SUBSTITUTE(SUBSTITUTE(SUBSTITUTE(IF(E663="","",VLOOKUP(E663,[1]Esquemas_NORM!$A$2:$H$126,8,FALSE)),"PROVINCIA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63" s="17" t="str">
        <f>IF($E663="","",INDEX([1]Esquemas_NORM!$H$2:$K$126,MATCH($E663,[1]Esquemas_NORM!$A$2:$A$126,0),MATCH(AA$4,[1]Esquemas_NORM!$H$1:$K$1,0)))</f>
        <v>A la fecha no ha conformado un EAT Región</v>
      </c>
      <c r="AB663" s="17" t="str">
        <f>IF($E663="","",INDEX([1]Esquemas_NORM!$H$2:$K$126,MATCH($E663,[1]Esquemas_NORM!$A$2:$A$126,0),MATCH(AB$4,[1]Esquemas_NORM!$H$1:$K$1,0)))</f>
        <v>A la fecha no ha conformado un EAT Área Metropolitana</v>
      </c>
      <c r="AC663" s="17" t="str">
        <f>IF($E663="","",INDEX([1]Esquemas_NORM!$H$2:$K$126,MATCH($E663,[1]Esquemas_NORM!$A$2:$A$126,0),MATCH(AC$4,[1]Esquemas_NORM!$H$1:$K$1,0)))</f>
        <v>A la fecha no ha conformado un EAT asociación - unión</v>
      </c>
      <c r="AD663" s="23"/>
    </row>
    <row r="664" spans="1:30" x14ac:dyDescent="0.25">
      <c r="A664" s="24">
        <v>2020</v>
      </c>
      <c r="B664" s="25" t="s">
        <v>36</v>
      </c>
      <c r="C664" s="25" t="s">
        <v>94</v>
      </c>
      <c r="D664" s="25" t="s">
        <v>104</v>
      </c>
      <c r="E664" s="25" t="s">
        <v>111</v>
      </c>
      <c r="F664" s="25" t="s">
        <v>97</v>
      </c>
      <c r="G664" s="25" t="s">
        <v>112</v>
      </c>
      <c r="H664" s="26">
        <v>19.884580810030759</v>
      </c>
      <c r="I664" s="26">
        <v>433.47049376768405</v>
      </c>
      <c r="J664" s="27">
        <v>453.35507457771479</v>
      </c>
      <c r="K664" s="26">
        <v>20.617844847135832</v>
      </c>
      <c r="L664" s="26">
        <v>2.4060564865348053</v>
      </c>
      <c r="M664" s="27">
        <v>23.023901333670636</v>
      </c>
      <c r="N664" s="26">
        <v>18.99897960792331</v>
      </c>
      <c r="O664" s="26">
        <v>61.415076876163226</v>
      </c>
      <c r="P664" s="26">
        <v>13.368716833715393</v>
      </c>
      <c r="Q664" s="26">
        <v>7.3403498280724424</v>
      </c>
      <c r="R664" s="26">
        <v>36.292407858635229</v>
      </c>
      <c r="S664" s="26">
        <v>82.69054186566656</v>
      </c>
      <c r="T664" s="26">
        <v>44.501565792714956</v>
      </c>
      <c r="U664" s="26">
        <v>13.290513333824057</v>
      </c>
      <c r="V664" s="27">
        <v>277.89815199671511</v>
      </c>
      <c r="W664" s="27">
        <v>969.39943248989505</v>
      </c>
      <c r="X664" s="26">
        <v>96.193125431953248</v>
      </c>
      <c r="Y664" s="28">
        <v>1065.6441873360623</v>
      </c>
      <c r="Z664" s="17" t="str">
        <f>SUBSTITUTE(SUBSTITUTE(SUBSTITUTE(SUBSTITUTE(IF(E664="","",VLOOKUP(E664,[1]Esquemas_NORM!$A$2:$H$126,8,FALSE)),"PROVINCIA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664" s="17" t="str">
        <f>IF($E664="","",INDEX([1]Esquemas_NORM!$H$2:$K$126,MATCH($E664,[1]Esquemas_NORM!$A$2:$A$126,0),MATCH(AA$4,[1]Esquemas_NORM!$H$1:$K$1,0)))</f>
        <v>A la fecha no ha conformado un EAT Región</v>
      </c>
      <c r="AB664" s="17" t="str">
        <f>IF($E664="","",INDEX([1]Esquemas_NORM!$H$2:$K$126,MATCH($E664,[1]Esquemas_NORM!$A$2:$A$126,0),MATCH(AB$4,[1]Esquemas_NORM!$H$1:$K$1,0)))</f>
        <v>A la fecha no ha conformado un EAT Área Metropolitana</v>
      </c>
      <c r="AC664" s="17" t="str">
        <f>IF($E664="","",INDEX([1]Esquemas_NORM!$H$2:$K$126,MATCH($E664,[1]Esquemas_NORM!$A$2:$A$126,0),MATCH(AC$4,[1]Esquemas_NORM!$H$1:$K$1,0)))</f>
        <v>A la fecha no ha conformado un EAT asociación - unión</v>
      </c>
      <c r="AD664" s="23"/>
    </row>
    <row r="665" spans="1:30" x14ac:dyDescent="0.25">
      <c r="A665" s="24">
        <v>2020</v>
      </c>
      <c r="B665" s="25" t="s">
        <v>36</v>
      </c>
      <c r="C665" s="25" t="s">
        <v>94</v>
      </c>
      <c r="D665" s="25" t="s">
        <v>95</v>
      </c>
      <c r="E665" s="25" t="s">
        <v>113</v>
      </c>
      <c r="F665" s="25" t="s">
        <v>97</v>
      </c>
      <c r="G665" s="25" t="s">
        <v>114</v>
      </c>
      <c r="H665" s="26">
        <v>15.142130644139097</v>
      </c>
      <c r="I665" s="26">
        <v>0.8665650178226475</v>
      </c>
      <c r="J665" s="27">
        <v>16.008695661961745</v>
      </c>
      <c r="K665" s="26">
        <v>1.3594107448911901</v>
      </c>
      <c r="L665" s="26">
        <v>6.9963140475083803</v>
      </c>
      <c r="M665" s="27">
        <v>8.3557247923995703</v>
      </c>
      <c r="N665" s="26">
        <v>3.2592164131357815</v>
      </c>
      <c r="O665" s="26">
        <v>15.895381752802573</v>
      </c>
      <c r="P665" s="26">
        <v>3.9979969467607313</v>
      </c>
      <c r="Q665" s="26">
        <v>3.6962393964353648</v>
      </c>
      <c r="R665" s="26">
        <v>7.3021549887320329</v>
      </c>
      <c r="S665" s="26">
        <v>11.520004284264727</v>
      </c>
      <c r="T665" s="26">
        <v>23.412934123834962</v>
      </c>
      <c r="U665" s="26">
        <v>5.2914605381205861</v>
      </c>
      <c r="V665" s="27">
        <v>74.375388444086767</v>
      </c>
      <c r="W665" s="27">
        <v>100.79845847200222</v>
      </c>
      <c r="X665" s="26">
        <v>10.002191495270814</v>
      </c>
      <c r="Y665" s="28">
        <v>110.80601841003082</v>
      </c>
      <c r="Z665" s="17" t="str">
        <f>SUBSTITUTE(SUBSTITUTE(SUBSTITUTE(SUBSTITUTE(IF(E665="","",VLOOKUP(E665,[1]Esquemas_NORM!$A$2:$H$126,8,FALSE)),"PROVINCIA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665" s="17" t="str">
        <f>IF($E665="","",INDEX([1]Esquemas_NORM!$H$2:$K$126,MATCH($E665,[1]Esquemas_NORM!$A$2:$A$126,0),MATCH(AA$4,[1]Esquemas_NORM!$H$1:$K$1,0)))</f>
        <v>A la fecha no ha conformado un EAT Región</v>
      </c>
      <c r="AB665" s="17" t="str">
        <f>IF($E665="","",INDEX([1]Esquemas_NORM!$H$2:$K$126,MATCH($E665,[1]Esquemas_NORM!$A$2:$A$126,0),MATCH(AB$4,[1]Esquemas_NORM!$H$1:$K$1,0)))</f>
        <v>A la fecha no ha conformado un EAT Área Metropolitana</v>
      </c>
      <c r="AC665" s="17" t="str">
        <f>IF($E665="","",INDEX([1]Esquemas_NORM!$H$2:$K$126,MATCH($E665,[1]Esquemas_NORM!$A$2:$A$126,0),MATCH(AC$4,[1]Esquemas_NORM!$H$1:$K$1,0)))</f>
        <v>A la fecha no ha conformado un EAT asociación - unión</v>
      </c>
      <c r="AD665" s="23"/>
    </row>
    <row r="666" spans="1:30" x14ac:dyDescent="0.25">
      <c r="A666" s="24">
        <v>2020</v>
      </c>
      <c r="B666" s="25" t="s">
        <v>36</v>
      </c>
      <c r="C666" s="25" t="s">
        <v>94</v>
      </c>
      <c r="D666" s="25" t="s">
        <v>95</v>
      </c>
      <c r="E666" s="25" t="s">
        <v>115</v>
      </c>
      <c r="F666" s="25" t="s">
        <v>97</v>
      </c>
      <c r="G666" s="25" t="s">
        <v>116</v>
      </c>
      <c r="H666" s="26">
        <v>10.261436979181287</v>
      </c>
      <c r="I666" s="26">
        <v>0.31323979624903697</v>
      </c>
      <c r="J666" s="27">
        <v>10.574676775430325</v>
      </c>
      <c r="K666" s="26">
        <v>1.5087187884287776</v>
      </c>
      <c r="L666" s="26">
        <v>2.289805629551013</v>
      </c>
      <c r="M666" s="27">
        <v>3.7985244179797908</v>
      </c>
      <c r="N666" s="26">
        <v>1.7239832748293407</v>
      </c>
      <c r="O666" s="26">
        <v>7.5270306140129017</v>
      </c>
      <c r="P666" s="26">
        <v>2.0159518757280264</v>
      </c>
      <c r="Q666" s="26">
        <v>1.4742320703120442</v>
      </c>
      <c r="R666" s="26">
        <v>4.1992130625092337</v>
      </c>
      <c r="S666" s="26">
        <v>7.0964334111891807</v>
      </c>
      <c r="T666" s="26">
        <v>15.333891231324294</v>
      </c>
      <c r="U666" s="26">
        <v>2.8546561424491763</v>
      </c>
      <c r="V666" s="27">
        <v>42.2253916823542</v>
      </c>
      <c r="W666" s="27">
        <v>57.875101932675349</v>
      </c>
      <c r="X666" s="26">
        <v>5.7429236628634035</v>
      </c>
      <c r="Y666" s="28">
        <v>63.621107975731164</v>
      </c>
      <c r="Z666" s="17" t="str">
        <f>SUBSTITUTE(SUBSTITUTE(SUBSTITUTE(SUBSTITUTE(IF(E666="","",VLOOKUP(E666,[1]Esquemas_NORM!$A$2:$H$126,8,FALSE)),"PROVINCIA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666" s="17" t="str">
        <f>IF($E666="","",INDEX([1]Esquemas_NORM!$H$2:$K$126,MATCH($E666,[1]Esquemas_NORM!$A$2:$A$126,0),MATCH(AA$4,[1]Esquemas_NORM!$H$1:$K$1,0)))</f>
        <v>A la fecha no ha conformado un EAT Región</v>
      </c>
      <c r="AB666" s="17" t="str">
        <f>IF($E666="","",INDEX([1]Esquemas_NORM!$H$2:$K$126,MATCH($E666,[1]Esquemas_NORM!$A$2:$A$126,0),MATCH(AB$4,[1]Esquemas_NORM!$H$1:$K$1,0)))</f>
        <v>A la fecha no ha conformado un EAT Área Metropolitana</v>
      </c>
      <c r="AC666" s="17" t="str">
        <f>IF($E666="","",INDEX([1]Esquemas_NORM!$H$2:$K$126,MATCH($E666,[1]Esquemas_NORM!$A$2:$A$126,0),MATCH(AC$4,[1]Esquemas_NORM!$H$1:$K$1,0)))</f>
        <v>A la fecha no ha conformado un EAT asociación - unión</v>
      </c>
      <c r="AD666" s="23"/>
    </row>
    <row r="667" spans="1:30" x14ac:dyDescent="0.25">
      <c r="A667" s="24">
        <v>2020</v>
      </c>
      <c r="B667" s="25" t="s">
        <v>36</v>
      </c>
      <c r="C667" s="25" t="s">
        <v>94</v>
      </c>
      <c r="D667" s="25" t="s">
        <v>95</v>
      </c>
      <c r="E667" s="25" t="s">
        <v>117</v>
      </c>
      <c r="F667" s="25" t="s">
        <v>97</v>
      </c>
      <c r="G667" s="25" t="s">
        <v>118</v>
      </c>
      <c r="H667" s="26">
        <v>45.60860147585479</v>
      </c>
      <c r="I667" s="26">
        <v>0.54006649800840723</v>
      </c>
      <c r="J667" s="27">
        <v>46.148667973863198</v>
      </c>
      <c r="K667" s="26">
        <v>4.6403400961779884</v>
      </c>
      <c r="L667" s="26">
        <v>13.033572855310068</v>
      </c>
      <c r="M667" s="27">
        <v>17.673912951488056</v>
      </c>
      <c r="N667" s="26">
        <v>3.3284034826012356</v>
      </c>
      <c r="O667" s="26">
        <v>21.910365787301409</v>
      </c>
      <c r="P667" s="26">
        <v>5.382982257523385</v>
      </c>
      <c r="Q667" s="26">
        <v>4.478908509673313</v>
      </c>
      <c r="R667" s="26">
        <v>11.575700694596771</v>
      </c>
      <c r="S667" s="26">
        <v>19.112069801273936</v>
      </c>
      <c r="T667" s="26">
        <v>47.940184449376531</v>
      </c>
      <c r="U667" s="26">
        <v>9.811437465681113</v>
      </c>
      <c r="V667" s="27">
        <v>123.54005244802768</v>
      </c>
      <c r="W667" s="27">
        <v>192.06849290308702</v>
      </c>
      <c r="X667" s="26">
        <v>19.058881210557015</v>
      </c>
      <c r="Y667" s="28">
        <v>211.13760352315413</v>
      </c>
      <c r="Z667" s="17" t="str">
        <f>SUBSTITUTE(SUBSTITUTE(SUBSTITUTE(SUBSTITUTE(IF(E667="","",VLOOKUP(E667,[1]Esquemas_NORM!$A$2:$H$126,8,FALSE)),"PROVINCIA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667" s="17" t="str">
        <f>IF($E667="","",INDEX([1]Esquemas_NORM!$H$2:$K$126,MATCH($E667,[1]Esquemas_NORM!$A$2:$A$126,0),MATCH(AA$4,[1]Esquemas_NORM!$H$1:$K$1,0)))</f>
        <v>A la fecha no ha conformado un EAT Región</v>
      </c>
      <c r="AB667" s="17" t="str">
        <f>IF($E667="","",INDEX([1]Esquemas_NORM!$H$2:$K$126,MATCH($E667,[1]Esquemas_NORM!$A$2:$A$126,0),MATCH(AB$4,[1]Esquemas_NORM!$H$1:$K$1,0)))</f>
        <v>A la fecha no ha conformado un EAT Área Metropolitana</v>
      </c>
      <c r="AC667" s="17" t="str">
        <f>IF($E667="","",INDEX([1]Esquemas_NORM!$H$2:$K$126,MATCH($E667,[1]Esquemas_NORM!$A$2:$A$126,0),MATCH(AC$4,[1]Esquemas_NORM!$H$1:$K$1,0)))</f>
        <v>A la fecha no ha conformado un EAT asociación - unión</v>
      </c>
      <c r="AD667" s="23"/>
    </row>
    <row r="668" spans="1:30" x14ac:dyDescent="0.25">
      <c r="A668" s="24">
        <v>2020</v>
      </c>
      <c r="B668" s="25" t="s">
        <v>36</v>
      </c>
      <c r="C668" s="25" t="s">
        <v>119</v>
      </c>
      <c r="D668" s="25" t="s">
        <v>120</v>
      </c>
      <c r="E668" s="25" t="s">
        <v>121</v>
      </c>
      <c r="F668" s="25" t="s">
        <v>122</v>
      </c>
      <c r="G668" s="25" t="s">
        <v>123</v>
      </c>
      <c r="H668" s="26">
        <v>22.419624389083399</v>
      </c>
      <c r="I668" s="26">
        <v>0</v>
      </c>
      <c r="J668" s="27">
        <v>22.419624389083399</v>
      </c>
      <c r="K668" s="26">
        <v>2.0180216477655284</v>
      </c>
      <c r="L668" s="26">
        <v>13.951199793715025</v>
      </c>
      <c r="M668" s="27">
        <v>15.969221441480553</v>
      </c>
      <c r="N668" s="26">
        <v>5.8774859670100277</v>
      </c>
      <c r="O668" s="26">
        <v>13.857985473913642</v>
      </c>
      <c r="P668" s="26">
        <v>3.439403834845971</v>
      </c>
      <c r="Q668" s="26">
        <v>2.9243302185793176</v>
      </c>
      <c r="R668" s="26">
        <v>7.4511228374921119</v>
      </c>
      <c r="S668" s="26">
        <v>10.682585476832903</v>
      </c>
      <c r="T668" s="26">
        <v>20.082299868469686</v>
      </c>
      <c r="U668" s="26">
        <v>2.5913248535613413</v>
      </c>
      <c r="V668" s="27">
        <v>66.906538530705006</v>
      </c>
      <c r="W668" s="27">
        <v>107.81921223084741</v>
      </c>
      <c r="X668" s="26">
        <v>10.698858136824498</v>
      </c>
      <c r="Y668" s="28">
        <v>118.52381272998377</v>
      </c>
      <c r="Z668" s="17" t="str">
        <f>SUBSTITUTE(SUBSTITUTE(SUBSTITUTE(SUBSTITUTE(IF(E668="","",VLOOKUP(E668,[1]Esquemas_NORM!$A$2:$H$126,8,FALSE)),"PROVINCIA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68" s="17" t="str">
        <f>IF($E668="","",INDEX([1]Esquemas_NORM!$H$2:$K$126,MATCH($E668,[1]Esquemas_NORM!$A$2:$A$126,0),MATCH(AA$4,[1]Esquemas_NORM!$H$1:$K$1,0)))</f>
        <v>A la fecha no ha conformado un EAT Región</v>
      </c>
      <c r="AB668" s="17" t="str">
        <f>IF($E668="","",INDEX([1]Esquemas_NORM!$H$2:$K$126,MATCH($E668,[1]Esquemas_NORM!$A$2:$A$126,0),MATCH(AB$4,[1]Esquemas_NORM!$H$1:$K$1,0)))</f>
        <v>A la fecha no ha conformado un EAT Área Metropolitana</v>
      </c>
      <c r="AC668" s="17" t="str">
        <f>IF($E668="","",INDEX([1]Esquemas_NORM!$H$2:$K$126,MATCH($E668,[1]Esquemas_NORM!$A$2:$A$126,0),MATCH(AC$4,[1]Esquemas_NORM!$H$1:$K$1,0)))</f>
        <v>ASOCIACION DE MUNICIPIOS DEL NORTE ANTIOQUEÑO - AMUNORTE</v>
      </c>
      <c r="AD668" s="23"/>
    </row>
    <row r="669" spans="1:30" x14ac:dyDescent="0.25">
      <c r="A669" s="24">
        <v>2020</v>
      </c>
      <c r="B669" s="25" t="s">
        <v>36</v>
      </c>
      <c r="C669" s="25" t="s">
        <v>119</v>
      </c>
      <c r="D669" s="25" t="s">
        <v>124</v>
      </c>
      <c r="E669" s="25" t="s">
        <v>125</v>
      </c>
      <c r="F669" s="25" t="s">
        <v>122</v>
      </c>
      <c r="G669" s="25" t="s">
        <v>126</v>
      </c>
      <c r="H669" s="26">
        <v>19.296638358530604</v>
      </c>
      <c r="I669" s="26">
        <v>1.1357654835992211E-2</v>
      </c>
      <c r="J669" s="27">
        <v>19.307996013366598</v>
      </c>
      <c r="K669" s="26">
        <v>2.5981195008748315</v>
      </c>
      <c r="L669" s="26">
        <v>1.9277654190345763</v>
      </c>
      <c r="M669" s="27">
        <v>4.5258849199094078</v>
      </c>
      <c r="N669" s="26">
        <v>2.1063454914659729</v>
      </c>
      <c r="O669" s="26">
        <v>7.9869019444383955</v>
      </c>
      <c r="P669" s="26">
        <v>1.7890279582222244</v>
      </c>
      <c r="Q669" s="26">
        <v>1.112749269928748</v>
      </c>
      <c r="R669" s="26">
        <v>6.4843728092967989</v>
      </c>
      <c r="S669" s="26">
        <v>6.3941835576978425</v>
      </c>
      <c r="T669" s="26">
        <v>11.691244611322611</v>
      </c>
      <c r="U669" s="26">
        <v>1.971037856771058</v>
      </c>
      <c r="V669" s="27">
        <v>39.535863499143652</v>
      </c>
      <c r="W669" s="27">
        <v>65.673574816835938</v>
      </c>
      <c r="X669" s="26">
        <v>6.5167630681547593</v>
      </c>
      <c r="Y669" s="28">
        <v>72.193835605416453</v>
      </c>
      <c r="Z669" s="17" t="str">
        <f>SUBSTITUTE(SUBSTITUTE(SUBSTITUTE(SUBSTITUTE(IF(E669="","",VLOOKUP(E669,[1]Esquemas_NORM!$A$2:$H$126,8,FALSE)),"PROVINCIA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669" s="17" t="str">
        <f>IF($E669="","",INDEX([1]Esquemas_NORM!$H$2:$K$126,MATCH($E669,[1]Esquemas_NORM!$A$2:$A$126,0),MATCH(AA$4,[1]Esquemas_NORM!$H$1:$K$1,0)))</f>
        <v>A la fecha no ha conformado un EAT Región</v>
      </c>
      <c r="AB669" s="17" t="str">
        <f>IF($E669="","",INDEX([1]Esquemas_NORM!$H$2:$K$126,MATCH($E669,[1]Esquemas_NORM!$A$2:$A$126,0),MATCH(AB$4,[1]Esquemas_NORM!$H$1:$K$1,0)))</f>
        <v>A la fecha no ha conformado un EAT Área Metropolitana</v>
      </c>
      <c r="AC669" s="17" t="str">
        <f>IF($E669="","",INDEX([1]Esquemas_NORM!$H$2:$K$126,MATCH($E669,[1]Esquemas_NORM!$A$2:$A$126,0),MATCH(AC$4,[1]Esquemas_NORM!$H$1:$K$1,0)))</f>
        <v>A la fecha no ha conformado un EAT asociación - unión</v>
      </c>
      <c r="AD669" s="23"/>
    </row>
    <row r="670" spans="1:30" x14ac:dyDescent="0.25">
      <c r="A670" s="24">
        <v>2020</v>
      </c>
      <c r="B670" s="25" t="s">
        <v>36</v>
      </c>
      <c r="C670" s="25" t="s">
        <v>119</v>
      </c>
      <c r="D670" s="25" t="s">
        <v>120</v>
      </c>
      <c r="E670" s="25" t="s">
        <v>127</v>
      </c>
      <c r="F670" s="25" t="s">
        <v>122</v>
      </c>
      <c r="G670" s="25" t="s">
        <v>128</v>
      </c>
      <c r="H670" s="26">
        <v>11.05773311214195</v>
      </c>
      <c r="I670" s="26">
        <v>7.9047017834619373</v>
      </c>
      <c r="J670" s="27">
        <v>18.962434895603888</v>
      </c>
      <c r="K670" s="26">
        <v>0.58016133906376444</v>
      </c>
      <c r="L670" s="26">
        <v>3.5891222502382627</v>
      </c>
      <c r="M670" s="27">
        <v>4.1692835893020268</v>
      </c>
      <c r="N670" s="26">
        <v>1.2088688903642413</v>
      </c>
      <c r="O670" s="26">
        <v>9.360453758213648</v>
      </c>
      <c r="P670" s="26">
        <v>1.9965640322621427</v>
      </c>
      <c r="Q670" s="26">
        <v>1.4920249291593115</v>
      </c>
      <c r="R670" s="26">
        <v>3.771330729052218</v>
      </c>
      <c r="S670" s="26">
        <v>7.8629639748547557</v>
      </c>
      <c r="T670" s="26">
        <v>18.61701323358557</v>
      </c>
      <c r="U670" s="26">
        <v>1.7947006045535634</v>
      </c>
      <c r="V670" s="27">
        <v>46.103920152045454</v>
      </c>
      <c r="W670" s="27">
        <v>74.371165323477271</v>
      </c>
      <c r="X670" s="26">
        <v>7.3798215624310064</v>
      </c>
      <c r="Y670" s="28">
        <v>81.75494783283095</v>
      </c>
      <c r="Z670" s="17" t="str">
        <f>SUBSTITUTE(SUBSTITUTE(SUBSTITUTE(SUBSTITUTE(IF(E670="","",VLOOKUP(E670,[1]Esquemas_NORM!$A$2:$H$126,8,FALSE)),"PROVINCIA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70" s="17" t="str">
        <f>IF($E670="","",INDEX([1]Esquemas_NORM!$H$2:$K$126,MATCH($E670,[1]Esquemas_NORM!$A$2:$A$126,0),MATCH(AA$4,[1]Esquemas_NORM!$H$1:$K$1,0)))</f>
        <v>A la fecha no ha conformado un EAT Región</v>
      </c>
      <c r="AB670" s="17" t="str">
        <f>IF($E670="","",INDEX([1]Esquemas_NORM!$H$2:$K$126,MATCH($E670,[1]Esquemas_NORM!$A$2:$A$126,0),MATCH(AB$4,[1]Esquemas_NORM!$H$1:$K$1,0)))</f>
        <v>A la fecha no ha conformado un EAT Área Metropolitana</v>
      </c>
      <c r="AC670" s="17" t="str">
        <f>IF($E670="","",INDEX([1]Esquemas_NORM!$H$2:$K$126,MATCH($E670,[1]Esquemas_NORM!$A$2:$A$126,0),MATCH(AC$4,[1]Esquemas_NORM!$H$1:$K$1,0)))</f>
        <v>ASOCIACION DE MUNICIPIOS DEL NORTE ANTIOQUEÑO - AMUNORTE</v>
      </c>
      <c r="AD670" s="23"/>
    </row>
    <row r="671" spans="1:30" x14ac:dyDescent="0.25">
      <c r="A671" s="24">
        <v>2020</v>
      </c>
      <c r="B671" s="25" t="s">
        <v>36</v>
      </c>
      <c r="C671" s="25" t="s">
        <v>119</v>
      </c>
      <c r="D671" s="25" t="s">
        <v>120</v>
      </c>
      <c r="E671" s="25" t="s">
        <v>129</v>
      </c>
      <c r="F671" s="25" t="s">
        <v>122</v>
      </c>
      <c r="G671" s="25" t="s">
        <v>130</v>
      </c>
      <c r="H671" s="26">
        <v>4.459736736657109</v>
      </c>
      <c r="I671" s="26">
        <v>0</v>
      </c>
      <c r="J671" s="27">
        <v>4.459736736657109</v>
      </c>
      <c r="K671" s="26">
        <v>0.79136603454006837</v>
      </c>
      <c r="L671" s="26">
        <v>3.6501402445319955</v>
      </c>
      <c r="M671" s="27">
        <v>4.4415062790720636</v>
      </c>
      <c r="N671" s="26">
        <v>1.8849810059625034</v>
      </c>
      <c r="O671" s="26">
        <v>7.7300000316897011</v>
      </c>
      <c r="P671" s="26">
        <v>2.6947589931741915</v>
      </c>
      <c r="Q671" s="26">
        <v>2.139259293771878</v>
      </c>
      <c r="R671" s="26">
        <v>4.8508035692227152</v>
      </c>
      <c r="S671" s="26">
        <v>9.1249157849682554</v>
      </c>
      <c r="T671" s="26">
        <v>16.149938549107773</v>
      </c>
      <c r="U671" s="26">
        <v>2.2288177249890149</v>
      </c>
      <c r="V671" s="27">
        <v>46.803474952886035</v>
      </c>
      <c r="W671" s="27">
        <v>55.960502979841465</v>
      </c>
      <c r="X671" s="26">
        <v>5.5529387597879127</v>
      </c>
      <c r="Y671" s="28">
        <v>61.516422149860816</v>
      </c>
      <c r="Z671" s="17" t="str">
        <f>SUBSTITUTE(SUBSTITUTE(SUBSTITUTE(SUBSTITUTE(IF(E671="","",VLOOKUP(E671,[1]Esquemas_NORM!$A$2:$H$126,8,FALSE)),"PROVINCIA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71" s="17" t="str">
        <f>IF($E671="","",INDEX([1]Esquemas_NORM!$H$2:$K$126,MATCH($E671,[1]Esquemas_NORM!$A$2:$A$126,0),MATCH(AA$4,[1]Esquemas_NORM!$H$1:$K$1,0)))</f>
        <v>A la fecha no ha conformado un EAT Región</v>
      </c>
      <c r="AB671" s="17" t="str">
        <f>IF($E671="","",INDEX([1]Esquemas_NORM!$H$2:$K$126,MATCH($E671,[1]Esquemas_NORM!$A$2:$A$126,0),MATCH(AB$4,[1]Esquemas_NORM!$H$1:$K$1,0)))</f>
        <v>A la fecha no ha conformado un EAT Área Metropolitana</v>
      </c>
      <c r="AC671" s="17" t="str">
        <f>IF($E671="","",INDEX([1]Esquemas_NORM!$H$2:$K$126,MATCH($E671,[1]Esquemas_NORM!$A$2:$A$126,0),MATCH(AC$4,[1]Esquemas_NORM!$H$1:$K$1,0)))</f>
        <v>ASOCIACION DE MUNICIPIOS DEL NORTE ANTIOQUEÑO - AMUNORTE</v>
      </c>
      <c r="AD671" s="23"/>
    </row>
    <row r="672" spans="1:30" x14ac:dyDescent="0.25">
      <c r="A672" s="24">
        <v>2020</v>
      </c>
      <c r="B672" s="25" t="s">
        <v>36</v>
      </c>
      <c r="C672" s="25" t="s">
        <v>119</v>
      </c>
      <c r="D672" s="25" t="s">
        <v>99</v>
      </c>
      <c r="E672" s="25" t="s">
        <v>131</v>
      </c>
      <c r="F672" s="25" t="s">
        <v>122</v>
      </c>
      <c r="G672" s="25" t="s">
        <v>132</v>
      </c>
      <c r="H672" s="26">
        <v>7.6091400491071903</v>
      </c>
      <c r="I672" s="26">
        <v>0</v>
      </c>
      <c r="J672" s="27">
        <v>7.6091400491071903</v>
      </c>
      <c r="K672" s="26">
        <v>0.55798605872060991</v>
      </c>
      <c r="L672" s="26">
        <v>2.2498326385606755</v>
      </c>
      <c r="M672" s="27">
        <v>2.8078186972812853</v>
      </c>
      <c r="N672" s="26">
        <v>18.369936693223931</v>
      </c>
      <c r="O672" s="26">
        <v>1.1896164344459701</v>
      </c>
      <c r="P672" s="26">
        <v>0.38488204893653083</v>
      </c>
      <c r="Q672" s="26">
        <v>0.24403555712184652</v>
      </c>
      <c r="R672" s="26">
        <v>0.94095277444958381</v>
      </c>
      <c r="S672" s="26">
        <v>2.0758644572119129</v>
      </c>
      <c r="T672" s="26">
        <v>2.6453833348085944</v>
      </c>
      <c r="U672" s="26">
        <v>0.32698193885727139</v>
      </c>
      <c r="V672" s="27">
        <v>26.177653239055648</v>
      </c>
      <c r="W672" s="27">
        <v>40.830128425980611</v>
      </c>
      <c r="X672" s="26">
        <v>4.0515576278050602</v>
      </c>
      <c r="Y672" s="28">
        <v>44.883860632748146</v>
      </c>
      <c r="Z672" s="17" t="str">
        <f>SUBSTITUTE(SUBSTITUTE(SUBSTITUTE(SUBSTITUTE(IF(E672="","",VLOOKUP(E672,[1]Esquemas_NORM!$A$2:$H$126,8,FALSE)),"PROVINCIA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72" s="17" t="str">
        <f>IF($E672="","",INDEX([1]Esquemas_NORM!$H$2:$K$126,MATCH($E672,[1]Esquemas_NORM!$A$2:$A$126,0),MATCH(AA$4,[1]Esquemas_NORM!$H$1:$K$1,0)))</f>
        <v>A la fecha no ha conformado un EAT Región</v>
      </c>
      <c r="AB672" s="17" t="str">
        <f>IF($E672="","",INDEX([1]Esquemas_NORM!$H$2:$K$126,MATCH($E672,[1]Esquemas_NORM!$A$2:$A$126,0),MATCH(AB$4,[1]Esquemas_NORM!$H$1:$K$1,0)))</f>
        <v>A la fecha no ha conformado un EAT Área Metropolitana</v>
      </c>
      <c r="AC672" s="17" t="str">
        <f>IF($E672="","",INDEX([1]Esquemas_NORM!$H$2:$K$126,MATCH($E672,[1]Esquemas_NORM!$A$2:$A$126,0),MATCH(AC$4,[1]Esquemas_NORM!$H$1:$K$1,0)))</f>
        <v>A la fecha no ha conformado un EAT asociación - unión</v>
      </c>
      <c r="AD672" s="23"/>
    </row>
    <row r="673" spans="1:30" x14ac:dyDescent="0.25">
      <c r="A673" s="24">
        <v>2020</v>
      </c>
      <c r="B673" s="25" t="s">
        <v>36</v>
      </c>
      <c r="C673" s="25" t="s">
        <v>119</v>
      </c>
      <c r="D673" s="25" t="s">
        <v>124</v>
      </c>
      <c r="E673" s="25" t="s">
        <v>133</v>
      </c>
      <c r="F673" s="25" t="s">
        <v>122</v>
      </c>
      <c r="G673" s="25" t="s">
        <v>134</v>
      </c>
      <c r="H673" s="26">
        <v>157.02137099374355</v>
      </c>
      <c r="I673" s="26">
        <v>1.3405775027507181</v>
      </c>
      <c r="J673" s="27">
        <v>158.36194849649425</v>
      </c>
      <c r="K673" s="26">
        <v>23.637061136152962</v>
      </c>
      <c r="L673" s="26">
        <v>12.017847855259554</v>
      </c>
      <c r="M673" s="27">
        <v>35.654908991412512</v>
      </c>
      <c r="N673" s="26">
        <v>20.900727664469269</v>
      </c>
      <c r="O673" s="26">
        <v>52.789109921577293</v>
      </c>
      <c r="P673" s="26">
        <v>7.6709541791640499</v>
      </c>
      <c r="Q673" s="26">
        <v>10.004059738178693</v>
      </c>
      <c r="R673" s="26">
        <v>19.10868759358673</v>
      </c>
      <c r="S673" s="26">
        <v>26.695443137284883</v>
      </c>
      <c r="T673" s="26">
        <v>25.939448454567067</v>
      </c>
      <c r="U673" s="26">
        <v>6.8862939282911384</v>
      </c>
      <c r="V673" s="27">
        <v>169.99472461711915</v>
      </c>
      <c r="W673" s="27">
        <v>386.31799646942352</v>
      </c>
      <c r="X673" s="26">
        <v>38.334183253728966</v>
      </c>
      <c r="Y673" s="28">
        <v>424.67275470100037</v>
      </c>
      <c r="Z673" s="17" t="str">
        <f>SUBSTITUTE(SUBSTITUTE(SUBSTITUTE(SUBSTITUTE(IF(E673="","",VLOOKUP(E673,[1]Esquemas_NORM!$A$2:$H$126,8,FALSE)),"PROVINCIA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673" s="17" t="str">
        <f>IF($E673="","",INDEX([1]Esquemas_NORM!$H$2:$K$126,MATCH($E673,[1]Esquemas_NORM!$A$2:$A$126,0),MATCH(AA$4,[1]Esquemas_NORM!$H$1:$K$1,0)))</f>
        <v>A la fecha no ha conformado un EAT Región</v>
      </c>
      <c r="AB673" s="17" t="str">
        <f>IF($E673="","",INDEX([1]Esquemas_NORM!$H$2:$K$126,MATCH($E673,[1]Esquemas_NORM!$A$2:$A$126,0),MATCH(AB$4,[1]Esquemas_NORM!$H$1:$K$1,0)))</f>
        <v>A la fecha no ha conformado un EAT Área Metropolitana</v>
      </c>
      <c r="AC673" s="17" t="str">
        <f>IF($E673="","",INDEX([1]Esquemas_NORM!$H$2:$K$126,MATCH($E673,[1]Esquemas_NORM!$A$2:$A$126,0),MATCH(AC$4,[1]Esquemas_NORM!$H$1:$K$1,0)))</f>
        <v>ASOCIACION DE MUNICIPIOS DEL NORTE ANTIOQUEÑO - AMUNORTE</v>
      </c>
      <c r="AD673" s="23"/>
    </row>
    <row r="674" spans="1:30" x14ac:dyDescent="0.25">
      <c r="A674" s="24">
        <v>2020</v>
      </c>
      <c r="B674" s="25" t="s">
        <v>36</v>
      </c>
      <c r="C674" s="25" t="s">
        <v>119</v>
      </c>
      <c r="D674" s="25" t="s">
        <v>124</v>
      </c>
      <c r="E674" s="25" t="s">
        <v>135</v>
      </c>
      <c r="F674" s="25" t="s">
        <v>122</v>
      </c>
      <c r="G674" s="25" t="s">
        <v>136</v>
      </c>
      <c r="H674" s="26">
        <v>61.380809453963472</v>
      </c>
      <c r="I674" s="26">
        <v>0</v>
      </c>
      <c r="J674" s="27">
        <v>61.380809453963472</v>
      </c>
      <c r="K674" s="26">
        <v>145.36326375936841</v>
      </c>
      <c r="L674" s="26">
        <v>31.865907056593954</v>
      </c>
      <c r="M674" s="27">
        <v>177.22917081596236</v>
      </c>
      <c r="N674" s="26">
        <v>8.6325075193982155</v>
      </c>
      <c r="O674" s="26">
        <v>29.046089363297693</v>
      </c>
      <c r="P674" s="26">
        <v>4.3185439524404758</v>
      </c>
      <c r="Q674" s="26">
        <v>5.4767891303735698</v>
      </c>
      <c r="R674" s="26">
        <v>11.988946165332527</v>
      </c>
      <c r="S674" s="26">
        <v>17.010317032376939</v>
      </c>
      <c r="T674" s="26">
        <v>13.996980310720545</v>
      </c>
      <c r="U674" s="26">
        <v>4.5009257190115832</v>
      </c>
      <c r="V674" s="27">
        <v>94.971099192951556</v>
      </c>
      <c r="W674" s="27">
        <v>326.56215192391045</v>
      </c>
      <c r="X674" s="26">
        <v>32.404634239110408</v>
      </c>
      <c r="Y674" s="28">
        <v>358.98417859387735</v>
      </c>
      <c r="Z674" s="17" t="str">
        <f>SUBSTITUTE(SUBSTITUTE(SUBSTITUTE(SUBSTITUTE(IF(E674="","",VLOOKUP(E674,[1]Esquemas_NORM!$A$2:$H$126,8,FALSE)),"PROVINCIA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674" s="17" t="str">
        <f>IF($E674="","",INDEX([1]Esquemas_NORM!$H$2:$K$126,MATCH($E674,[1]Esquemas_NORM!$A$2:$A$126,0),MATCH(AA$4,[1]Esquemas_NORM!$H$1:$K$1,0)))</f>
        <v>A la fecha no ha conformado un EAT Región</v>
      </c>
      <c r="AB674" s="17" t="str">
        <f>IF($E674="","",INDEX([1]Esquemas_NORM!$H$2:$K$126,MATCH($E674,[1]Esquemas_NORM!$A$2:$A$126,0),MATCH(AB$4,[1]Esquemas_NORM!$H$1:$K$1,0)))</f>
        <v>A la fecha no ha conformado un EAT Área Metropolitana</v>
      </c>
      <c r="AC674" s="17" t="str">
        <f>IF($E674="","",INDEX([1]Esquemas_NORM!$H$2:$K$126,MATCH($E674,[1]Esquemas_NORM!$A$2:$A$126,0),MATCH(AC$4,[1]Esquemas_NORM!$H$1:$K$1,0)))</f>
        <v>A la fecha no ha conformado un EAT asociación - unión</v>
      </c>
      <c r="AD674" s="23"/>
    </row>
    <row r="675" spans="1:30" x14ac:dyDescent="0.25">
      <c r="A675" s="24">
        <v>2020</v>
      </c>
      <c r="B675" s="25" t="s">
        <v>36</v>
      </c>
      <c r="C675" s="25" t="s">
        <v>119</v>
      </c>
      <c r="D675" s="25" t="s">
        <v>99</v>
      </c>
      <c r="E675" s="25" t="s">
        <v>137</v>
      </c>
      <c r="F675" s="25" t="s">
        <v>122</v>
      </c>
      <c r="G675" s="25" t="s">
        <v>138</v>
      </c>
      <c r="H675" s="26">
        <v>22.140965145489819</v>
      </c>
      <c r="I675" s="26">
        <v>1.368144334882909</v>
      </c>
      <c r="J675" s="27">
        <v>23.509109480372729</v>
      </c>
      <c r="K675" s="26">
        <v>6.1729740301219875</v>
      </c>
      <c r="L675" s="26">
        <v>14.700749591987618</v>
      </c>
      <c r="M675" s="27">
        <v>20.873723622109605</v>
      </c>
      <c r="N675" s="26">
        <v>25.579194113034067</v>
      </c>
      <c r="O675" s="26">
        <v>41.478461032205182</v>
      </c>
      <c r="P675" s="26">
        <v>12.417264621060822</v>
      </c>
      <c r="Q675" s="26">
        <v>7.9255116356645035</v>
      </c>
      <c r="R675" s="26">
        <v>33.858838800278981</v>
      </c>
      <c r="S675" s="26">
        <v>40.178097841528491</v>
      </c>
      <c r="T675" s="26">
        <v>76.587747066009342</v>
      </c>
      <c r="U675" s="26">
        <v>14.244072996847487</v>
      </c>
      <c r="V675" s="27">
        <v>252.26918810662886</v>
      </c>
      <c r="W675" s="27">
        <v>301.70219001281555</v>
      </c>
      <c r="X675" s="26">
        <v>29.937789970158597</v>
      </c>
      <c r="Y675" s="28">
        <v>331.65604839276483</v>
      </c>
      <c r="Z675" s="17" t="str">
        <f>SUBSTITUTE(SUBSTITUTE(SUBSTITUTE(SUBSTITUTE(IF(E675="","",VLOOKUP(E675,[1]Esquemas_NORM!$A$2:$H$126,8,FALSE)),"PROVINCIA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75" s="17" t="str">
        <f>IF($E675="","",INDEX([1]Esquemas_NORM!$H$2:$K$126,MATCH($E675,[1]Esquemas_NORM!$A$2:$A$126,0),MATCH(AA$4,[1]Esquemas_NORM!$H$1:$K$1,0)))</f>
        <v>A la fecha no ha conformado un EAT Región</v>
      </c>
      <c r="AB675" s="17" t="str">
        <f>IF($E675="","",INDEX([1]Esquemas_NORM!$H$2:$K$126,MATCH($E675,[1]Esquemas_NORM!$A$2:$A$126,0),MATCH(AB$4,[1]Esquemas_NORM!$H$1:$K$1,0)))</f>
        <v>A la fecha no ha conformado un EAT Área Metropolitana</v>
      </c>
      <c r="AC675" s="17" t="str">
        <f>IF($E675="","",INDEX([1]Esquemas_NORM!$H$2:$K$126,MATCH($E675,[1]Esquemas_NORM!$A$2:$A$126,0),MATCH(AC$4,[1]Esquemas_NORM!$H$1:$K$1,0)))</f>
        <v>ASOCIACION DE MUNICIPIOS DEL NORTE ANTIOQUEÑO - AMUNORTE</v>
      </c>
      <c r="AD675" s="23"/>
    </row>
    <row r="676" spans="1:30" x14ac:dyDescent="0.25">
      <c r="A676" s="24">
        <v>2020</v>
      </c>
      <c r="B676" s="25" t="s">
        <v>36</v>
      </c>
      <c r="C676" s="25" t="s">
        <v>119</v>
      </c>
      <c r="D676" s="25" t="s">
        <v>99</v>
      </c>
      <c r="E676" s="25" t="s">
        <v>139</v>
      </c>
      <c r="F676" s="25" t="s">
        <v>122</v>
      </c>
      <c r="G676" s="25" t="s">
        <v>140</v>
      </c>
      <c r="H676" s="26">
        <v>3.894191899173991</v>
      </c>
      <c r="I676" s="26">
        <v>0</v>
      </c>
      <c r="J676" s="27">
        <v>3.894191899173991</v>
      </c>
      <c r="K676" s="26">
        <v>0.15595360546879478</v>
      </c>
      <c r="L676" s="26">
        <v>3.7534393589521104</v>
      </c>
      <c r="M676" s="27">
        <v>3.9093929644209053</v>
      </c>
      <c r="N676" s="26">
        <v>23.249411879977615</v>
      </c>
      <c r="O676" s="26">
        <v>1.8900296622743231</v>
      </c>
      <c r="P676" s="26">
        <v>0.65044562826134178</v>
      </c>
      <c r="Q676" s="26">
        <v>0.534950322429669</v>
      </c>
      <c r="R676" s="26">
        <v>1.1673134053838727</v>
      </c>
      <c r="S676" s="26">
        <v>2.9497655409828241</v>
      </c>
      <c r="T676" s="26">
        <v>4.6339379870162993</v>
      </c>
      <c r="U676" s="26">
        <v>0.72781294974318178</v>
      </c>
      <c r="V676" s="27">
        <v>35.803667376069129</v>
      </c>
      <c r="W676" s="27">
        <v>48.186726871276399</v>
      </c>
      <c r="X676" s="26">
        <v>4.781550005853318</v>
      </c>
      <c r="Y676" s="28">
        <v>52.970843262457585</v>
      </c>
      <c r="Z676" s="17" t="str">
        <f>SUBSTITUTE(SUBSTITUTE(SUBSTITUTE(SUBSTITUTE(IF(E676="","",VLOOKUP(E676,[1]Esquemas_NORM!$A$2:$H$126,8,FALSE)),"PROVINCIA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76" s="17" t="str">
        <f>IF($E676="","",INDEX([1]Esquemas_NORM!$H$2:$K$126,MATCH($E676,[1]Esquemas_NORM!$A$2:$A$126,0),MATCH(AA$4,[1]Esquemas_NORM!$H$1:$K$1,0)))</f>
        <v>A la fecha no ha conformado un EAT Región</v>
      </c>
      <c r="AB676" s="17" t="str">
        <f>IF($E676="","",INDEX([1]Esquemas_NORM!$H$2:$K$126,MATCH($E676,[1]Esquemas_NORM!$A$2:$A$126,0),MATCH(AB$4,[1]Esquemas_NORM!$H$1:$K$1,0)))</f>
        <v>A la fecha no ha conformado un EAT Área Metropolitana</v>
      </c>
      <c r="AC676" s="17" t="str">
        <f>IF($E676="","",INDEX([1]Esquemas_NORM!$H$2:$K$126,MATCH($E676,[1]Esquemas_NORM!$A$2:$A$126,0),MATCH(AC$4,[1]Esquemas_NORM!$H$1:$K$1,0)))</f>
        <v>A la fecha no ha conformado un EAT asociación - unión</v>
      </c>
      <c r="AD676" s="23"/>
    </row>
    <row r="677" spans="1:30" x14ac:dyDescent="0.25">
      <c r="A677" s="24">
        <v>2020</v>
      </c>
      <c r="B677" s="25" t="s">
        <v>36</v>
      </c>
      <c r="C677" s="25" t="s">
        <v>119</v>
      </c>
      <c r="D677" s="25" t="s">
        <v>141</v>
      </c>
      <c r="E677" s="25" t="s">
        <v>142</v>
      </c>
      <c r="F677" s="25" t="s">
        <v>122</v>
      </c>
      <c r="G677" s="25" t="s">
        <v>143</v>
      </c>
      <c r="H677" s="26">
        <v>34.580168319599679</v>
      </c>
      <c r="I677" s="26">
        <v>0</v>
      </c>
      <c r="J677" s="27">
        <v>34.580168319599679</v>
      </c>
      <c r="K677" s="26">
        <v>4.6282038691757581</v>
      </c>
      <c r="L677" s="26">
        <v>8.611110198497224</v>
      </c>
      <c r="M677" s="27">
        <v>13.239314067672982</v>
      </c>
      <c r="N677" s="26">
        <v>7.1092905371157213</v>
      </c>
      <c r="O677" s="26">
        <v>21.571650395616931</v>
      </c>
      <c r="P677" s="26">
        <v>7.8207577775990398</v>
      </c>
      <c r="Q677" s="26">
        <v>5.8676267800850184</v>
      </c>
      <c r="R677" s="26">
        <v>14.669088403335802</v>
      </c>
      <c r="S677" s="26">
        <v>21.96535099657914</v>
      </c>
      <c r="T677" s="26">
        <v>54.797077387109638</v>
      </c>
      <c r="U677" s="26">
        <v>5.5689962107065067</v>
      </c>
      <c r="V677" s="27">
        <v>139.36983848814779</v>
      </c>
      <c r="W677" s="27">
        <v>191.0360033160228</v>
      </c>
      <c r="X677" s="26">
        <v>18.956427673834213</v>
      </c>
      <c r="Y677" s="28">
        <v>210.0026054098233</v>
      </c>
      <c r="Z677" s="17" t="str">
        <f>SUBSTITUTE(SUBSTITUTE(SUBSTITUTE(SUBSTITUTE(IF(E677="","",VLOOKUP(E677,[1]Esquemas_NORM!$A$2:$H$126,8,FALSE)),"PROVINCIA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77" s="17" t="str">
        <f>IF($E677="","",INDEX([1]Esquemas_NORM!$H$2:$K$126,MATCH($E677,[1]Esquemas_NORM!$A$2:$A$126,0),MATCH(AA$4,[1]Esquemas_NORM!$H$1:$K$1,0)))</f>
        <v>A la fecha no ha conformado un EAT Región</v>
      </c>
      <c r="AB677" s="17" t="str">
        <f>IF($E677="","",INDEX([1]Esquemas_NORM!$H$2:$K$126,MATCH($E677,[1]Esquemas_NORM!$A$2:$A$126,0),MATCH(AB$4,[1]Esquemas_NORM!$H$1:$K$1,0)))</f>
        <v>A la fecha no ha conformado un EAT Área Metropolitana</v>
      </c>
      <c r="AC677" s="17" t="str">
        <f>IF($E677="","",INDEX([1]Esquemas_NORM!$H$2:$K$126,MATCH($E677,[1]Esquemas_NORM!$A$2:$A$126,0),MATCH(AC$4,[1]Esquemas_NORM!$H$1:$K$1,0)))</f>
        <v>ASOCIACION DE MUNICIPIOS DEL NORTE ANTIOQUEÑO - AMUNORTE</v>
      </c>
      <c r="AD677" s="23"/>
    </row>
    <row r="678" spans="1:30" x14ac:dyDescent="0.25">
      <c r="A678" s="24">
        <v>2020</v>
      </c>
      <c r="B678" s="25" t="s">
        <v>36</v>
      </c>
      <c r="C678" s="25" t="s">
        <v>119</v>
      </c>
      <c r="D678" s="25" t="s">
        <v>141</v>
      </c>
      <c r="E678" s="25" t="s">
        <v>144</v>
      </c>
      <c r="F678" s="25" t="s">
        <v>122</v>
      </c>
      <c r="G678" s="25" t="s">
        <v>145</v>
      </c>
      <c r="H678" s="26">
        <v>14.309460257835607</v>
      </c>
      <c r="I678" s="26">
        <v>0</v>
      </c>
      <c r="J678" s="27">
        <v>14.309460257835607</v>
      </c>
      <c r="K678" s="26">
        <v>1.3052308292397905</v>
      </c>
      <c r="L678" s="26">
        <v>2.8366285928446153</v>
      </c>
      <c r="M678" s="27">
        <v>4.1418594220844058</v>
      </c>
      <c r="N678" s="26">
        <v>1.1747875537894346</v>
      </c>
      <c r="O678" s="26">
        <v>4.8987068179081552</v>
      </c>
      <c r="P678" s="26">
        <v>2.0111206392565544</v>
      </c>
      <c r="Q678" s="26">
        <v>1.647926691828572</v>
      </c>
      <c r="R678" s="26">
        <v>6.5233755998537246</v>
      </c>
      <c r="S678" s="26">
        <v>6.0798608162694308</v>
      </c>
      <c r="T678" s="26">
        <v>15.942547230816142</v>
      </c>
      <c r="U678" s="26">
        <v>2.0437143109883489</v>
      </c>
      <c r="V678" s="27">
        <v>40.322039660710359</v>
      </c>
      <c r="W678" s="27">
        <v>60.050334345976736</v>
      </c>
      <c r="X678" s="26">
        <v>5.9587711219853752</v>
      </c>
      <c r="Y678" s="28">
        <v>66.012303699238672</v>
      </c>
      <c r="Z678" s="17" t="str">
        <f>SUBSTITUTE(SUBSTITUTE(SUBSTITUTE(SUBSTITUTE(IF(E678="","",VLOOKUP(E678,[1]Esquemas_NORM!$A$2:$H$126,8,FALSE)),"PROVINCIA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78" s="17" t="str">
        <f>IF($E678="","",INDEX([1]Esquemas_NORM!$H$2:$K$126,MATCH($E678,[1]Esquemas_NORM!$A$2:$A$126,0),MATCH(AA$4,[1]Esquemas_NORM!$H$1:$K$1,0)))</f>
        <v>A la fecha no ha conformado un EAT Región</v>
      </c>
      <c r="AB678" s="17" t="str">
        <f>IF($E678="","",INDEX([1]Esquemas_NORM!$H$2:$K$126,MATCH($E678,[1]Esquemas_NORM!$A$2:$A$126,0),MATCH(AB$4,[1]Esquemas_NORM!$H$1:$K$1,0)))</f>
        <v>A la fecha no ha conformado un EAT Área Metropolitana</v>
      </c>
      <c r="AC678" s="17" t="str">
        <f>IF($E678="","",INDEX([1]Esquemas_NORM!$H$2:$K$126,MATCH($E678,[1]Esquemas_NORM!$A$2:$A$126,0),MATCH(AC$4,[1]Esquemas_NORM!$H$1:$K$1,0)))</f>
        <v>ASOCIACION DE MUNICIPIOS DEL NORTE ANTIOQUEÑO - AMUNORTE</v>
      </c>
      <c r="AD678" s="23"/>
    </row>
    <row r="679" spans="1:30" x14ac:dyDescent="0.25">
      <c r="A679" s="24">
        <v>2020</v>
      </c>
      <c r="B679" s="25" t="s">
        <v>36</v>
      </c>
      <c r="C679" s="25" t="s">
        <v>119</v>
      </c>
      <c r="D679" s="25" t="s">
        <v>124</v>
      </c>
      <c r="E679" s="25" t="s">
        <v>146</v>
      </c>
      <c r="F679" s="25" t="s">
        <v>122</v>
      </c>
      <c r="G679" s="25" t="s">
        <v>147</v>
      </c>
      <c r="H679" s="26">
        <v>3.6210230303888316</v>
      </c>
      <c r="I679" s="26">
        <v>0</v>
      </c>
      <c r="J679" s="27">
        <v>3.6210230303888316</v>
      </c>
      <c r="K679" s="26">
        <v>1.4491762072609593</v>
      </c>
      <c r="L679" s="26">
        <v>0.80858177471959969</v>
      </c>
      <c r="M679" s="27">
        <v>2.2577579819805589</v>
      </c>
      <c r="N679" s="26">
        <v>1.661033977759474</v>
      </c>
      <c r="O679" s="26">
        <v>4.4630610539758129</v>
      </c>
      <c r="P679" s="26">
        <v>1.1744154784961296</v>
      </c>
      <c r="Q679" s="26">
        <v>0.90206702788213411</v>
      </c>
      <c r="R679" s="26">
        <v>2.7592961503696838</v>
      </c>
      <c r="S679" s="26">
        <v>3.9532601966824448</v>
      </c>
      <c r="T679" s="26">
        <v>7.2310146694532778</v>
      </c>
      <c r="U679" s="26">
        <v>1.4772088320555992</v>
      </c>
      <c r="V679" s="27">
        <v>23.621357386674557</v>
      </c>
      <c r="W679" s="27">
        <v>29.965432604788287</v>
      </c>
      <c r="X679" s="26">
        <v>2.9734581232220507</v>
      </c>
      <c r="Y679" s="28">
        <v>32.940486662234754</v>
      </c>
      <c r="Z679" s="17" t="str">
        <f>SUBSTITUTE(SUBSTITUTE(SUBSTITUTE(SUBSTITUTE(IF(E679="","",VLOOKUP(E679,[1]Esquemas_NORM!$A$2:$H$126,8,FALSE)),"PROVINCIA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79" s="17" t="str">
        <f>IF($E679="","",INDEX([1]Esquemas_NORM!$H$2:$K$126,MATCH($E679,[1]Esquemas_NORM!$A$2:$A$126,0),MATCH(AA$4,[1]Esquemas_NORM!$H$1:$K$1,0)))</f>
        <v>A la fecha no ha conformado un EAT Región</v>
      </c>
      <c r="AB679" s="17" t="str">
        <f>IF($E679="","",INDEX([1]Esquemas_NORM!$H$2:$K$126,MATCH($E679,[1]Esquemas_NORM!$A$2:$A$126,0),MATCH(AB$4,[1]Esquemas_NORM!$H$1:$K$1,0)))</f>
        <v>A la fecha no ha conformado un EAT Área Metropolitana</v>
      </c>
      <c r="AC679" s="17" t="str">
        <f>IF($E679="","",INDEX([1]Esquemas_NORM!$H$2:$K$126,MATCH($E679,[1]Esquemas_NORM!$A$2:$A$126,0),MATCH(AC$4,[1]Esquemas_NORM!$H$1:$K$1,0)))</f>
        <v>ASOCIACION DE MUNICIPIOS DEL NORTE ANTIOQUEÑO - AMUNORTE</v>
      </c>
      <c r="AD679" s="23"/>
    </row>
    <row r="680" spans="1:30" x14ac:dyDescent="0.25">
      <c r="A680" s="24">
        <v>2020</v>
      </c>
      <c r="B680" s="25" t="s">
        <v>36</v>
      </c>
      <c r="C680" s="25" t="s">
        <v>119</v>
      </c>
      <c r="D680" s="25" t="s">
        <v>124</v>
      </c>
      <c r="E680" s="25" t="s">
        <v>148</v>
      </c>
      <c r="F680" s="25" t="s">
        <v>122</v>
      </c>
      <c r="G680" s="25" t="s">
        <v>149</v>
      </c>
      <c r="H680" s="26">
        <v>73.402274576980261</v>
      </c>
      <c r="I680" s="26">
        <v>1.1880970166136599E-2</v>
      </c>
      <c r="J680" s="27">
        <v>73.414155547146393</v>
      </c>
      <c r="K680" s="26">
        <v>422.29282150392709</v>
      </c>
      <c r="L680" s="26">
        <v>37.57740435663753</v>
      </c>
      <c r="M680" s="27">
        <v>459.87022586056463</v>
      </c>
      <c r="N680" s="26">
        <v>16.426827506625699</v>
      </c>
      <c r="O680" s="26">
        <v>56.353573143115561</v>
      </c>
      <c r="P680" s="26">
        <v>8.2123952680300061</v>
      </c>
      <c r="Q680" s="26">
        <v>11.778796153221817</v>
      </c>
      <c r="R680" s="26">
        <v>27.601540780231581</v>
      </c>
      <c r="S680" s="26">
        <v>35.806541736768388</v>
      </c>
      <c r="T680" s="26">
        <v>32.046490298327683</v>
      </c>
      <c r="U680" s="26">
        <v>8.0635688143905195</v>
      </c>
      <c r="V680" s="27">
        <v>196.28973370071128</v>
      </c>
      <c r="W680" s="27">
        <v>697.88544114815056</v>
      </c>
      <c r="X680" s="26">
        <v>69.250898574649838</v>
      </c>
      <c r="Y680" s="28">
        <v>767.17350852576692</v>
      </c>
      <c r="Z680" s="17" t="str">
        <f>SUBSTITUTE(SUBSTITUTE(SUBSTITUTE(SUBSTITUTE(IF(E680="","",VLOOKUP(E680,[1]Esquemas_NORM!$A$2:$H$126,8,FALSE)),"PROVINCIA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680" s="17" t="str">
        <f>IF($E680="","",INDEX([1]Esquemas_NORM!$H$2:$K$126,MATCH($E680,[1]Esquemas_NORM!$A$2:$A$126,0),MATCH(AA$4,[1]Esquemas_NORM!$H$1:$K$1,0)))</f>
        <v>A la fecha no ha conformado un EAT Región</v>
      </c>
      <c r="AB680" s="17" t="str">
        <f>IF($E680="","",INDEX([1]Esquemas_NORM!$H$2:$K$126,MATCH($E680,[1]Esquemas_NORM!$A$2:$A$126,0),MATCH(AB$4,[1]Esquemas_NORM!$H$1:$K$1,0)))</f>
        <v>A la fecha no ha conformado un EAT Área Metropolitana</v>
      </c>
      <c r="AC680" s="17" t="str">
        <f>IF($E680="","",INDEX([1]Esquemas_NORM!$H$2:$K$126,MATCH($E680,[1]Esquemas_NORM!$A$2:$A$126,0),MATCH(AC$4,[1]Esquemas_NORM!$H$1:$K$1,0)))</f>
        <v>A la fecha no ha conformado un EAT asociación - unión</v>
      </c>
      <c r="AD680" s="23"/>
    </row>
    <row r="681" spans="1:30" x14ac:dyDescent="0.25">
      <c r="A681" s="24">
        <v>2020</v>
      </c>
      <c r="B681" s="25" t="s">
        <v>36</v>
      </c>
      <c r="C681" s="25" t="s">
        <v>119</v>
      </c>
      <c r="D681" s="25" t="s">
        <v>124</v>
      </c>
      <c r="E681" s="25" t="s">
        <v>150</v>
      </c>
      <c r="F681" s="25" t="s">
        <v>122</v>
      </c>
      <c r="G681" s="25" t="s">
        <v>151</v>
      </c>
      <c r="H681" s="26">
        <v>245.17853153141806</v>
      </c>
      <c r="I681" s="26">
        <v>1.9607040899237291</v>
      </c>
      <c r="J681" s="27">
        <v>247.13923562134178</v>
      </c>
      <c r="K681" s="26">
        <v>153.06197391385032</v>
      </c>
      <c r="L681" s="26">
        <v>72.549035321049374</v>
      </c>
      <c r="M681" s="27">
        <v>225.61100923489971</v>
      </c>
      <c r="N681" s="26">
        <v>35.061137349246572</v>
      </c>
      <c r="O681" s="26">
        <v>78.959457447431831</v>
      </c>
      <c r="P681" s="26">
        <v>12.414955175447025</v>
      </c>
      <c r="Q681" s="26">
        <v>14.58523691895579</v>
      </c>
      <c r="R681" s="26">
        <v>32.071216506113132</v>
      </c>
      <c r="S681" s="26">
        <v>53.70325629857706</v>
      </c>
      <c r="T681" s="26">
        <v>101.7376643695583</v>
      </c>
      <c r="U681" s="26">
        <v>10.532968820380278</v>
      </c>
      <c r="V681" s="27">
        <v>339.06589288571001</v>
      </c>
      <c r="W681" s="27">
        <v>830.62824461464265</v>
      </c>
      <c r="X681" s="26">
        <v>82.422914893361252</v>
      </c>
      <c r="Y681" s="28">
        <v>913.09539808319209</v>
      </c>
      <c r="Z681" s="17" t="str">
        <f>SUBSTITUTE(SUBSTITUTE(SUBSTITUTE(SUBSTITUTE(IF(E681="","",VLOOKUP(E681,[1]Esquemas_NORM!$A$2:$H$126,8,FALSE)),"PROVINCIA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681" s="17" t="str">
        <f>IF($E681="","",INDEX([1]Esquemas_NORM!$H$2:$K$126,MATCH($E681,[1]Esquemas_NORM!$A$2:$A$126,0),MATCH(AA$4,[1]Esquemas_NORM!$H$1:$K$1,0)))</f>
        <v>A la fecha no ha conformado un EAT Región</v>
      </c>
      <c r="AB681" s="17" t="str">
        <f>IF($E681="","",INDEX([1]Esquemas_NORM!$H$2:$K$126,MATCH($E681,[1]Esquemas_NORM!$A$2:$A$126,0),MATCH(AB$4,[1]Esquemas_NORM!$H$1:$K$1,0)))</f>
        <v>A la fecha no ha conformado un EAT Área Metropolitana</v>
      </c>
      <c r="AC681" s="17" t="str">
        <f>IF($E681="","",INDEX([1]Esquemas_NORM!$H$2:$K$126,MATCH($E681,[1]Esquemas_NORM!$A$2:$A$126,0),MATCH(AC$4,[1]Esquemas_NORM!$H$1:$K$1,0)))</f>
        <v>A la fecha no ha conformado un EAT asociación - unión</v>
      </c>
      <c r="AD681" s="23"/>
    </row>
    <row r="682" spans="1:30" x14ac:dyDescent="0.25">
      <c r="A682" s="24">
        <v>2020</v>
      </c>
      <c r="B682" s="25" t="s">
        <v>36</v>
      </c>
      <c r="C682" s="25" t="s">
        <v>119</v>
      </c>
      <c r="D682" s="25" t="s">
        <v>141</v>
      </c>
      <c r="E682" s="25" t="s">
        <v>152</v>
      </c>
      <c r="F682" s="25" t="s">
        <v>122</v>
      </c>
      <c r="G682" s="25" t="s">
        <v>153</v>
      </c>
      <c r="H682" s="26">
        <v>8.4815579239162098</v>
      </c>
      <c r="I682" s="26">
        <v>0.81929507635394927</v>
      </c>
      <c r="J682" s="27">
        <v>9.300853000270159</v>
      </c>
      <c r="K682" s="26">
        <v>4.3824425107031173</v>
      </c>
      <c r="L682" s="26">
        <v>0.21503788887221498</v>
      </c>
      <c r="M682" s="27">
        <v>4.5974803995753319</v>
      </c>
      <c r="N682" s="26">
        <v>7.8801312357283457</v>
      </c>
      <c r="O682" s="26">
        <v>6.8435126941623325</v>
      </c>
      <c r="P682" s="26">
        <v>1.4508867155579888</v>
      </c>
      <c r="Q682" s="26">
        <v>1.3875004063971776</v>
      </c>
      <c r="R682" s="26">
        <v>3.9969534954202981</v>
      </c>
      <c r="S682" s="26">
        <v>15.074917221404826</v>
      </c>
      <c r="T682" s="26">
        <v>10.759439298545086</v>
      </c>
      <c r="U682" s="26">
        <v>1.4514976855331647</v>
      </c>
      <c r="V682" s="27">
        <v>48.844838752749219</v>
      </c>
      <c r="W682" s="27">
        <v>64.995514429343913</v>
      </c>
      <c r="X682" s="26">
        <v>6.4494794018741786</v>
      </c>
      <c r="Y682" s="28">
        <v>71.448455438707143</v>
      </c>
      <c r="Z682" s="17" t="str">
        <f>SUBSTITUTE(SUBSTITUTE(SUBSTITUTE(SUBSTITUTE(IF(E682="","",VLOOKUP(E682,[1]Esquemas_NORM!$A$2:$H$126,8,FALSE)),"PROVINCIA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82" s="17" t="str">
        <f>IF($E682="","",INDEX([1]Esquemas_NORM!$H$2:$K$126,MATCH($E682,[1]Esquemas_NORM!$A$2:$A$126,0),MATCH(AA$4,[1]Esquemas_NORM!$H$1:$K$1,0)))</f>
        <v>A la fecha no ha conformado un EAT Región</v>
      </c>
      <c r="AB682" s="17" t="str">
        <f>IF($E682="","",INDEX([1]Esquemas_NORM!$H$2:$K$126,MATCH($E682,[1]Esquemas_NORM!$A$2:$A$126,0),MATCH(AB$4,[1]Esquemas_NORM!$H$1:$K$1,0)))</f>
        <v>A la fecha no ha conformado un EAT Área Metropolitana</v>
      </c>
      <c r="AC682" s="17" t="str">
        <f>IF($E682="","",INDEX([1]Esquemas_NORM!$H$2:$K$126,MATCH($E682,[1]Esquemas_NORM!$A$2:$A$126,0),MATCH(AC$4,[1]Esquemas_NORM!$H$1:$K$1,0)))</f>
        <v>ASOCIACION DE MUNICIPIOS DEL NORTE ANTIOQUEÑO - AMUNORTE</v>
      </c>
      <c r="AD682" s="23"/>
    </row>
    <row r="683" spans="1:30" x14ac:dyDescent="0.25">
      <c r="A683" s="24">
        <v>2020</v>
      </c>
      <c r="B683" s="25" t="s">
        <v>36</v>
      </c>
      <c r="C683" s="25" t="s">
        <v>119</v>
      </c>
      <c r="D683" s="25" t="s">
        <v>120</v>
      </c>
      <c r="E683" s="25" t="s">
        <v>154</v>
      </c>
      <c r="F683" s="25" t="s">
        <v>122</v>
      </c>
      <c r="G683" s="25" t="s">
        <v>155</v>
      </c>
      <c r="H683" s="26">
        <v>11.073412284047782</v>
      </c>
      <c r="I683" s="26">
        <v>4.8380655379606119E-2</v>
      </c>
      <c r="J683" s="27">
        <v>11.121792939427388</v>
      </c>
      <c r="K683" s="26">
        <v>1.9156618211284682</v>
      </c>
      <c r="L683" s="26">
        <v>5.0307977355312063</v>
      </c>
      <c r="M683" s="27">
        <v>6.9464595566596747</v>
      </c>
      <c r="N683" s="26">
        <v>2.2539651857390672</v>
      </c>
      <c r="O683" s="26">
        <v>19.70761631285723</v>
      </c>
      <c r="P683" s="26">
        <v>3.914219308167707</v>
      </c>
      <c r="Q683" s="26">
        <v>3.080451563037911</v>
      </c>
      <c r="R683" s="26">
        <v>8.2094226894165736</v>
      </c>
      <c r="S683" s="26">
        <v>11.257528919102629</v>
      </c>
      <c r="T683" s="26">
        <v>30.059070175071547</v>
      </c>
      <c r="U683" s="26">
        <v>3.4791691808432468</v>
      </c>
      <c r="V683" s="27">
        <v>81.961443334235909</v>
      </c>
      <c r="W683" s="27">
        <v>101.36468013097596</v>
      </c>
      <c r="X683" s="26">
        <v>10.058377448386292</v>
      </c>
      <c r="Y683" s="28">
        <v>111.42845617861855</v>
      </c>
      <c r="Z683" s="17" t="str">
        <f>SUBSTITUTE(SUBSTITUTE(SUBSTITUTE(SUBSTITUTE(IF(E683="","",VLOOKUP(E683,[1]Esquemas_NORM!$A$2:$H$126,8,FALSE)),"PROVINCIA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83" s="17" t="str">
        <f>IF($E683="","",INDEX([1]Esquemas_NORM!$H$2:$K$126,MATCH($E683,[1]Esquemas_NORM!$A$2:$A$126,0),MATCH(AA$4,[1]Esquemas_NORM!$H$1:$K$1,0)))</f>
        <v>A la fecha no ha conformado un EAT Región</v>
      </c>
      <c r="AB683" s="17" t="str">
        <f>IF($E683="","",INDEX([1]Esquemas_NORM!$H$2:$K$126,MATCH($E683,[1]Esquemas_NORM!$A$2:$A$126,0),MATCH(AB$4,[1]Esquemas_NORM!$H$1:$K$1,0)))</f>
        <v>A la fecha no ha conformado un EAT Área Metropolitana</v>
      </c>
      <c r="AC683" s="17" t="str">
        <f>IF($E683="","",INDEX([1]Esquemas_NORM!$H$2:$K$126,MATCH($E683,[1]Esquemas_NORM!$A$2:$A$126,0),MATCH(AC$4,[1]Esquemas_NORM!$H$1:$K$1,0)))</f>
        <v>A la fecha no ha conformado un EAT asociación - unión</v>
      </c>
      <c r="AD683" s="23"/>
    </row>
    <row r="684" spans="1:30" x14ac:dyDescent="0.25">
      <c r="A684" s="24">
        <v>2020</v>
      </c>
      <c r="B684" s="25" t="s">
        <v>36</v>
      </c>
      <c r="C684" s="25" t="s">
        <v>119</v>
      </c>
      <c r="D684" s="25" t="s">
        <v>120</v>
      </c>
      <c r="E684" s="25" t="s">
        <v>156</v>
      </c>
      <c r="F684" s="25" t="s">
        <v>122</v>
      </c>
      <c r="G684" s="25" t="s">
        <v>157</v>
      </c>
      <c r="H684" s="26">
        <v>32.323930011355564</v>
      </c>
      <c r="I684" s="26">
        <v>3.9899940011423801E-2</v>
      </c>
      <c r="J684" s="27">
        <v>32.363829951366988</v>
      </c>
      <c r="K684" s="26">
        <v>78.608651490970928</v>
      </c>
      <c r="L684" s="26">
        <v>43.854894315211013</v>
      </c>
      <c r="M684" s="27">
        <v>122.46354580618194</v>
      </c>
      <c r="N684" s="26">
        <v>19.894874993411538</v>
      </c>
      <c r="O684" s="26">
        <v>79.91880445805883</v>
      </c>
      <c r="P684" s="26">
        <v>14.294102512190955</v>
      </c>
      <c r="Q684" s="26">
        <v>18.756454887231886</v>
      </c>
      <c r="R684" s="26">
        <v>36.736232252160136</v>
      </c>
      <c r="S684" s="26">
        <v>47.284250539793682</v>
      </c>
      <c r="T684" s="26">
        <v>77.077633503139751</v>
      </c>
      <c r="U684" s="26">
        <v>12.461045422234603</v>
      </c>
      <c r="V684" s="27">
        <v>306.42339856822133</v>
      </c>
      <c r="W684" s="27">
        <v>457.8272459947799</v>
      </c>
      <c r="X684" s="26">
        <v>45.430018034096221</v>
      </c>
      <c r="Y684" s="28">
        <v>503.2816475303735</v>
      </c>
      <c r="Z684" s="17" t="str">
        <f>SUBSTITUTE(SUBSTITUTE(SUBSTITUTE(SUBSTITUTE(IF(E684="","",VLOOKUP(E684,[1]Esquemas_NORM!$A$2:$H$126,8,FALSE)),"PROVINCIA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684" s="17" t="str">
        <f>IF($E684="","",INDEX([1]Esquemas_NORM!$H$2:$K$126,MATCH($E684,[1]Esquemas_NORM!$A$2:$A$126,0),MATCH(AA$4,[1]Esquemas_NORM!$H$1:$K$1,0)))</f>
        <v>A la fecha no ha conformado un EAT Región</v>
      </c>
      <c r="AB684" s="17" t="str">
        <f>IF($E684="","",INDEX([1]Esquemas_NORM!$H$2:$K$126,MATCH($E684,[1]Esquemas_NORM!$A$2:$A$126,0),MATCH(AB$4,[1]Esquemas_NORM!$H$1:$K$1,0)))</f>
        <v>A la fecha no ha conformado un EAT Área Metropolitana</v>
      </c>
      <c r="AC684" s="17" t="str">
        <f>IF($E684="","",INDEX([1]Esquemas_NORM!$H$2:$K$126,MATCH($E684,[1]Esquemas_NORM!$A$2:$A$126,0),MATCH(AC$4,[1]Esquemas_NORM!$H$1:$K$1,0)))</f>
        <v>A la fecha no ha conformado un EAT asociación - unión</v>
      </c>
      <c r="AD684" s="23"/>
    </row>
    <row r="685" spans="1:30" x14ac:dyDescent="0.25">
      <c r="A685" s="24">
        <v>2020</v>
      </c>
      <c r="B685" s="25" t="s">
        <v>36</v>
      </c>
      <c r="C685" s="25" t="s">
        <v>158</v>
      </c>
      <c r="D685" s="25" t="s">
        <v>159</v>
      </c>
      <c r="E685" s="25" t="s">
        <v>160</v>
      </c>
      <c r="F685" s="25" t="s">
        <v>161</v>
      </c>
      <c r="G685" s="25" t="s">
        <v>162</v>
      </c>
      <c r="H685" s="26">
        <v>8.0815909433905215</v>
      </c>
      <c r="I685" s="26">
        <v>0.7462579360568431</v>
      </c>
      <c r="J685" s="27">
        <v>8.8278488794473642</v>
      </c>
      <c r="K685" s="26">
        <v>0.3276259936945759</v>
      </c>
      <c r="L685" s="26">
        <v>1.4425370321873621</v>
      </c>
      <c r="M685" s="27">
        <v>1.7701630258819381</v>
      </c>
      <c r="N685" s="26">
        <v>2.7883859934812771</v>
      </c>
      <c r="O685" s="26">
        <v>1.232190753310787</v>
      </c>
      <c r="P685" s="26">
        <v>0.5133295628065202</v>
      </c>
      <c r="Q685" s="26">
        <v>0.31335236321023613</v>
      </c>
      <c r="R685" s="26">
        <v>1.0806221047557683</v>
      </c>
      <c r="S685" s="26">
        <v>2.0979602211913027</v>
      </c>
      <c r="T685" s="26">
        <v>5.8407601047561748</v>
      </c>
      <c r="U685" s="26">
        <v>0.54819978026856464</v>
      </c>
      <c r="V685" s="27">
        <v>14.414800883780631</v>
      </c>
      <c r="W685" s="27">
        <v>26.718893454301725</v>
      </c>
      <c r="X685" s="26">
        <v>2.651305316797572</v>
      </c>
      <c r="Y685" s="28">
        <v>29.371621797326327</v>
      </c>
      <c r="Z685" s="17" t="str">
        <f>SUBSTITUTE(SUBSTITUTE(SUBSTITUTE(SUBSTITUTE(IF(E685="","",VLOOKUP(E685,[1]Esquemas_NORM!$A$2:$H$126,8,FALSE)),"PROVINCIA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685" s="17" t="str">
        <f>IF($E685="","",INDEX([1]Esquemas_NORM!$H$2:$K$126,MATCH($E685,[1]Esquemas_NORM!$A$2:$A$126,0),MATCH(AA$4,[1]Esquemas_NORM!$H$1:$K$1,0)))</f>
        <v>Región de Planeación y Gestión de Occidente</v>
      </c>
      <c r="AB685" s="17" t="str">
        <f>IF($E685="","",INDEX([1]Esquemas_NORM!$H$2:$K$126,MATCH($E685,[1]Esquemas_NORM!$A$2:$A$126,0),MATCH(AB$4,[1]Esquemas_NORM!$H$1:$K$1,0)))</f>
        <v>A la fecha no ha conformado un EAT Área Metropolitana</v>
      </c>
      <c r="AC685" s="17" t="str">
        <f>IF($E685="","",INDEX([1]Esquemas_NORM!$H$2:$K$126,MATCH($E685,[1]Esquemas_NORM!$A$2:$A$126,0),MATCH(AC$4,[1]Esquemas_NORM!$H$1:$K$1,0)))</f>
        <v>ASOCIACION DE MUNICIPIOS DEL NORTE ANTIOQUEÑO - AMUNORTE</v>
      </c>
      <c r="AD685" s="23"/>
    </row>
    <row r="686" spans="1:30" x14ac:dyDescent="0.25">
      <c r="A686" s="24">
        <v>2020</v>
      </c>
      <c r="B686" s="25" t="s">
        <v>36</v>
      </c>
      <c r="C686" s="25" t="s">
        <v>158</v>
      </c>
      <c r="D686" s="25" t="s">
        <v>163</v>
      </c>
      <c r="E686" s="25" t="s">
        <v>164</v>
      </c>
      <c r="F686" s="25" t="s">
        <v>161</v>
      </c>
      <c r="G686" s="25" t="s">
        <v>165</v>
      </c>
      <c r="H686" s="26">
        <v>34.411113282731797</v>
      </c>
      <c r="I686" s="26">
        <v>0.10450428330870978</v>
      </c>
      <c r="J686" s="27">
        <v>34.515617566040504</v>
      </c>
      <c r="K686" s="26">
        <v>0.61767411257689331</v>
      </c>
      <c r="L686" s="26">
        <v>5.6766457457161685</v>
      </c>
      <c r="M686" s="27">
        <v>6.2943198582930622</v>
      </c>
      <c r="N686" s="26">
        <v>0.9938396616768207</v>
      </c>
      <c r="O686" s="26">
        <v>8.3585895505453109</v>
      </c>
      <c r="P686" s="26">
        <v>2.1226052129859951</v>
      </c>
      <c r="Q686" s="26">
        <v>2.0653521479642105</v>
      </c>
      <c r="R686" s="26">
        <v>5.2899692350372618</v>
      </c>
      <c r="S686" s="26">
        <v>5.7067384570282842</v>
      </c>
      <c r="T686" s="26">
        <v>13.769941550073289</v>
      </c>
      <c r="U686" s="26">
        <v>2.370178620093387</v>
      </c>
      <c r="V686" s="27">
        <v>40.677214435404558</v>
      </c>
      <c r="W686" s="27">
        <v>85.473615823310951</v>
      </c>
      <c r="X686" s="26">
        <v>8.481513370524139</v>
      </c>
      <c r="Y686" s="28">
        <v>93.95968144811323</v>
      </c>
      <c r="Z686" s="17" t="str">
        <f>SUBSTITUTE(SUBSTITUTE(SUBSTITUTE(SUBSTITUTE(IF(E686="","",VLOOKUP(E686,[1]Esquemas_NORM!$A$2:$H$126,8,FALSE)),"PROVINCIA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686" s="17" t="str">
        <f>IF($E686="","",INDEX([1]Esquemas_NORM!$H$2:$K$126,MATCH($E686,[1]Esquemas_NORM!$A$2:$A$126,0),MATCH(AA$4,[1]Esquemas_NORM!$H$1:$K$1,0)))</f>
        <v>A la fecha no ha conformado un EAT Región</v>
      </c>
      <c r="AB686" s="17" t="str">
        <f>IF($E686="","",INDEX([1]Esquemas_NORM!$H$2:$K$126,MATCH($E686,[1]Esquemas_NORM!$A$2:$A$126,0),MATCH(AB$4,[1]Esquemas_NORM!$H$1:$K$1,0)))</f>
        <v>A la fecha no ha conformado un EAT Área Metropolitana</v>
      </c>
      <c r="AC686" s="17" t="str">
        <f>IF($E686="","",INDEX([1]Esquemas_NORM!$H$2:$K$126,MATCH($E686,[1]Esquemas_NORM!$A$2:$A$126,0),MATCH(AC$4,[1]Esquemas_NORM!$H$1:$K$1,0)))</f>
        <v>ASOCIACION DE MUNICIPIOS DEL OCCIDENTE ANTIOQUEÑO - AMOCCIDENTE</v>
      </c>
      <c r="AD686" s="23"/>
    </row>
    <row r="687" spans="1:30" x14ac:dyDescent="0.25">
      <c r="A687" s="24">
        <v>2020</v>
      </c>
      <c r="B687" s="25" t="s">
        <v>36</v>
      </c>
      <c r="C687" s="25" t="s">
        <v>158</v>
      </c>
      <c r="D687" s="25" t="s">
        <v>163</v>
      </c>
      <c r="E687" s="25" t="s">
        <v>166</v>
      </c>
      <c r="F687" s="25" t="s">
        <v>161</v>
      </c>
      <c r="G687" s="25" t="s">
        <v>167</v>
      </c>
      <c r="H687" s="26">
        <v>9.153894372501858</v>
      </c>
      <c r="I687" s="26">
        <v>0</v>
      </c>
      <c r="J687" s="27">
        <v>9.153894372501858</v>
      </c>
      <c r="K687" s="26">
        <v>1.0788277859651634</v>
      </c>
      <c r="L687" s="26">
        <v>1.7885321584513039</v>
      </c>
      <c r="M687" s="27">
        <v>2.8673599444164672</v>
      </c>
      <c r="N687" s="26">
        <v>0.72958147271793594</v>
      </c>
      <c r="O687" s="26">
        <v>4.8000932930228979</v>
      </c>
      <c r="P687" s="26">
        <v>1.4516148406714786</v>
      </c>
      <c r="Q687" s="26">
        <v>1.2106615546108339</v>
      </c>
      <c r="R687" s="26">
        <v>4.0993137125448005</v>
      </c>
      <c r="S687" s="26">
        <v>4.1267790505236004</v>
      </c>
      <c r="T687" s="26">
        <v>10.899323202892198</v>
      </c>
      <c r="U687" s="26">
        <v>1.9577238443671361</v>
      </c>
      <c r="V687" s="27">
        <v>29.275090971350885</v>
      </c>
      <c r="W687" s="27">
        <v>42.147575110004482</v>
      </c>
      <c r="X687" s="26">
        <v>4.1822873454840988</v>
      </c>
      <c r="Y687" s="28">
        <v>46.332107200574718</v>
      </c>
      <c r="Z687" s="17" t="str">
        <f>SUBSTITUTE(SUBSTITUTE(SUBSTITUTE(SUBSTITUTE(IF(E687="","",VLOOKUP(E687,[1]Esquemas_NORM!$A$2:$H$126,8,FALSE)),"PROVINCIA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87" s="17" t="str">
        <f>IF($E687="","",INDEX([1]Esquemas_NORM!$H$2:$K$126,MATCH($E687,[1]Esquemas_NORM!$A$2:$A$126,0),MATCH(AA$4,[1]Esquemas_NORM!$H$1:$K$1,0)))</f>
        <v>Región de Planeación y Gestión de Occidente</v>
      </c>
      <c r="AB687" s="17" t="str">
        <f>IF($E687="","",INDEX([1]Esquemas_NORM!$H$2:$K$126,MATCH($E687,[1]Esquemas_NORM!$A$2:$A$126,0),MATCH(AB$4,[1]Esquemas_NORM!$H$1:$K$1,0)))</f>
        <v>A la fecha no ha conformado un EAT Área Metropolitana</v>
      </c>
      <c r="AC687" s="17" t="str">
        <f>IF($E687="","",INDEX([1]Esquemas_NORM!$H$2:$K$126,MATCH($E687,[1]Esquemas_NORM!$A$2:$A$126,0),MATCH(AC$4,[1]Esquemas_NORM!$H$1:$K$1,0)))</f>
        <v>ASOCIACION DE MUNICIPIOS DEL OCCIDENTE ANTIOQUEÑO - AMOCCIDENTE</v>
      </c>
      <c r="AD687" s="23"/>
    </row>
    <row r="688" spans="1:30" x14ac:dyDescent="0.25">
      <c r="A688" s="24">
        <v>2020</v>
      </c>
      <c r="B688" s="25" t="s">
        <v>36</v>
      </c>
      <c r="C688" s="25" t="s">
        <v>158</v>
      </c>
      <c r="D688" s="25" t="s">
        <v>163</v>
      </c>
      <c r="E688" s="25" t="s">
        <v>168</v>
      </c>
      <c r="F688" s="25" t="s">
        <v>161</v>
      </c>
      <c r="G688" s="25" t="s">
        <v>169</v>
      </c>
      <c r="H688" s="26">
        <v>5.930335385341257</v>
      </c>
      <c r="I688" s="26">
        <v>180.78101214994066</v>
      </c>
      <c r="J688" s="27">
        <v>186.71134753528193</v>
      </c>
      <c r="K688" s="26">
        <v>3.9335317804270331</v>
      </c>
      <c r="L688" s="26">
        <v>0.23266969605285404</v>
      </c>
      <c r="M688" s="27">
        <v>4.1662014764798876</v>
      </c>
      <c r="N688" s="26">
        <v>4.7361232922988199</v>
      </c>
      <c r="O688" s="26">
        <v>4.3440936903118326</v>
      </c>
      <c r="P688" s="26">
        <v>1.3255874526680205</v>
      </c>
      <c r="Q688" s="26">
        <v>0.8841649665181095</v>
      </c>
      <c r="R688" s="26">
        <v>4.4341752077296386</v>
      </c>
      <c r="S688" s="26">
        <v>21.06194845897754</v>
      </c>
      <c r="T688" s="26">
        <v>8.7089624764120632</v>
      </c>
      <c r="U688" s="26">
        <v>1.5656243661653446</v>
      </c>
      <c r="V688" s="27">
        <v>47.060679911081365</v>
      </c>
      <c r="W688" s="27">
        <v>327.19637476434622</v>
      </c>
      <c r="X688" s="26">
        <v>32.467567922675386</v>
      </c>
      <c r="Y688" s="28">
        <v>359.68136889607132</v>
      </c>
      <c r="Z688" s="17" t="str">
        <f>SUBSTITUTE(SUBSTITUTE(SUBSTITUTE(SUBSTITUTE(IF(E688="","",VLOOKUP(E688,[1]Esquemas_NORM!$A$2:$H$126,8,FALSE)),"PROVINCIA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88" s="17" t="str">
        <f>IF($E688="","",INDEX([1]Esquemas_NORM!$H$2:$K$126,MATCH($E688,[1]Esquemas_NORM!$A$2:$A$126,0),MATCH(AA$4,[1]Esquemas_NORM!$H$1:$K$1,0)))</f>
        <v>Región de Planeación y Gestión de Occidente</v>
      </c>
      <c r="AB688" s="17" t="str">
        <f>IF($E688="","",INDEX([1]Esquemas_NORM!$H$2:$K$126,MATCH($E688,[1]Esquemas_NORM!$A$2:$A$126,0),MATCH(AB$4,[1]Esquemas_NORM!$H$1:$K$1,0)))</f>
        <v>A la fecha no ha conformado un EAT Área Metropolitana</v>
      </c>
      <c r="AC688" s="17" t="str">
        <f>IF($E688="","",INDEX([1]Esquemas_NORM!$H$2:$K$126,MATCH($E688,[1]Esquemas_NORM!$A$2:$A$126,0),MATCH(AC$4,[1]Esquemas_NORM!$H$1:$K$1,0)))</f>
        <v>ASOCIACION DE MUNICIPIOS DEL OCCIDENTE ANTIOQUEÑO - AMOCCIDENTE</v>
      </c>
      <c r="AD688" s="23"/>
    </row>
    <row r="689" spans="1:30" x14ac:dyDescent="0.25">
      <c r="A689" s="24">
        <v>2020</v>
      </c>
      <c r="B689" s="25" t="s">
        <v>36</v>
      </c>
      <c r="C689" s="25" t="s">
        <v>158</v>
      </c>
      <c r="D689" s="25" t="s">
        <v>163</v>
      </c>
      <c r="E689" s="25" t="s">
        <v>170</v>
      </c>
      <c r="F689" s="25" t="s">
        <v>161</v>
      </c>
      <c r="G689" s="25" t="s">
        <v>171</v>
      </c>
      <c r="H689" s="26">
        <v>24.112944522486071</v>
      </c>
      <c r="I689" s="26">
        <v>0</v>
      </c>
      <c r="J689" s="27">
        <v>24.112944522486071</v>
      </c>
      <c r="K689" s="26">
        <v>1.794377432384596</v>
      </c>
      <c r="L689" s="26">
        <v>3.6804951936393833</v>
      </c>
      <c r="M689" s="27">
        <v>5.4748726260239788</v>
      </c>
      <c r="N689" s="26">
        <v>0.80904606934153789</v>
      </c>
      <c r="O689" s="26">
        <v>7.0843019340615871</v>
      </c>
      <c r="P689" s="26">
        <v>2.5863207297444184</v>
      </c>
      <c r="Q689" s="26">
        <v>2.4212721063742042</v>
      </c>
      <c r="R689" s="26">
        <v>6.123589057290987</v>
      </c>
      <c r="S689" s="26">
        <v>6.9035669007241189</v>
      </c>
      <c r="T689" s="26">
        <v>20.043463331494145</v>
      </c>
      <c r="U689" s="26">
        <v>2.6214119744720605</v>
      </c>
      <c r="V689" s="27">
        <v>48.592972103503065</v>
      </c>
      <c r="W689" s="27">
        <v>80.577389071888263</v>
      </c>
      <c r="X689" s="26">
        <v>7.9956627105582605</v>
      </c>
      <c r="Y689" s="28">
        <v>88.577343267726519</v>
      </c>
      <c r="Z689" s="17" t="str">
        <f>SUBSTITUTE(SUBSTITUTE(SUBSTITUTE(SUBSTITUTE(IF(E689="","",VLOOKUP(E689,[1]Esquemas_NORM!$A$2:$H$126,8,FALSE)),"PROVINCIA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689" s="17" t="str">
        <f>IF($E689="","",INDEX([1]Esquemas_NORM!$H$2:$K$126,MATCH($E689,[1]Esquemas_NORM!$A$2:$A$126,0),MATCH(AA$4,[1]Esquemas_NORM!$H$1:$K$1,0)))</f>
        <v>A la fecha no ha conformado un EAT Región</v>
      </c>
      <c r="AB689" s="17" t="str">
        <f>IF($E689="","",INDEX([1]Esquemas_NORM!$H$2:$K$126,MATCH($E689,[1]Esquemas_NORM!$A$2:$A$126,0),MATCH(AB$4,[1]Esquemas_NORM!$H$1:$K$1,0)))</f>
        <v>A la fecha no ha conformado un EAT Área Metropolitana</v>
      </c>
      <c r="AC689" s="17" t="str">
        <f>IF($E689="","",INDEX([1]Esquemas_NORM!$H$2:$K$126,MATCH($E689,[1]Esquemas_NORM!$A$2:$A$126,0),MATCH(AC$4,[1]Esquemas_NORM!$H$1:$K$1,0)))</f>
        <v>ASOCIACION DE MUNICIPIOS DEL OCCIDENTE ANTIOQUEÑO - AMOCCIDENTE</v>
      </c>
      <c r="AD689" s="23"/>
    </row>
    <row r="690" spans="1:30" x14ac:dyDescent="0.25">
      <c r="A690" s="24">
        <v>2020</v>
      </c>
      <c r="B690" s="25" t="s">
        <v>36</v>
      </c>
      <c r="C690" s="25" t="s">
        <v>158</v>
      </c>
      <c r="D690" s="25" t="s">
        <v>159</v>
      </c>
      <c r="E690" s="25" t="s">
        <v>172</v>
      </c>
      <c r="F690" s="25" t="s">
        <v>161</v>
      </c>
      <c r="G690" s="25" t="s">
        <v>173</v>
      </c>
      <c r="H690" s="26">
        <v>24.972988092430867</v>
      </c>
      <c r="I690" s="26">
        <v>3.2582818168793631E-2</v>
      </c>
      <c r="J690" s="27">
        <v>25.005570910599662</v>
      </c>
      <c r="K690" s="26">
        <v>3.5160518166759567</v>
      </c>
      <c r="L690" s="26">
        <v>7.1066808080335528</v>
      </c>
      <c r="M690" s="27">
        <v>10.62273262470951</v>
      </c>
      <c r="N690" s="26">
        <v>8.3186550604936862</v>
      </c>
      <c r="O690" s="26">
        <v>17.435613989692374</v>
      </c>
      <c r="P690" s="26">
        <v>3.7020867319794202</v>
      </c>
      <c r="Q690" s="26">
        <v>3.0602899961920738</v>
      </c>
      <c r="R690" s="26">
        <v>10.104104207574441</v>
      </c>
      <c r="S690" s="26">
        <v>14.033598925141025</v>
      </c>
      <c r="T690" s="26">
        <v>32.960649392813089</v>
      </c>
      <c r="U690" s="26">
        <v>4.0095965861735374</v>
      </c>
      <c r="V690" s="27">
        <v>93.62459489005964</v>
      </c>
      <c r="W690" s="27">
        <v>132.90932462433628</v>
      </c>
      <c r="X690" s="26">
        <v>13.188540147855074</v>
      </c>
      <c r="Y690" s="28">
        <v>146.10494341319466</v>
      </c>
      <c r="Z690" s="17" t="str">
        <f>SUBSTITUTE(SUBSTITUTE(SUBSTITUTE(SUBSTITUTE(IF(E690="","",VLOOKUP(E690,[1]Esquemas_NORM!$A$2:$H$126,8,FALSE)),"PROVINCIA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690" s="17" t="str">
        <f>IF($E690="","",INDEX([1]Esquemas_NORM!$H$2:$K$126,MATCH($E690,[1]Esquemas_NORM!$A$2:$A$126,0),MATCH(AA$4,[1]Esquemas_NORM!$H$1:$K$1,0)))</f>
        <v>Región de Planeación y Gestión de Occidente</v>
      </c>
      <c r="AB690" s="17" t="str">
        <f>IF($E690="","",INDEX([1]Esquemas_NORM!$H$2:$K$126,MATCH($E690,[1]Esquemas_NORM!$A$2:$A$126,0),MATCH(AB$4,[1]Esquemas_NORM!$H$1:$K$1,0)))</f>
        <v>A la fecha no ha conformado un EAT Área Metropolitana</v>
      </c>
      <c r="AC690" s="17" t="str">
        <f>IF($E690="","",INDEX([1]Esquemas_NORM!$H$2:$K$126,MATCH($E690,[1]Esquemas_NORM!$A$2:$A$126,0),MATCH(AC$4,[1]Esquemas_NORM!$H$1:$K$1,0)))</f>
        <v>ASOCIACION DE MUNICIPIOS DEL OCCIDENTE ANTIOQUEÑO - AMOCCIDENTE</v>
      </c>
      <c r="AD690" s="23"/>
    </row>
    <row r="691" spans="1:30" x14ac:dyDescent="0.25">
      <c r="A691" s="24">
        <v>2020</v>
      </c>
      <c r="B691" s="25" t="s">
        <v>36</v>
      </c>
      <c r="C691" s="25" t="s">
        <v>158</v>
      </c>
      <c r="D691" s="25" t="s">
        <v>159</v>
      </c>
      <c r="E691" s="25" t="s">
        <v>174</v>
      </c>
      <c r="F691" s="25" t="s">
        <v>161</v>
      </c>
      <c r="G691" s="25" t="s">
        <v>175</v>
      </c>
      <c r="H691" s="26">
        <v>45.853746422993105</v>
      </c>
      <c r="I691" s="26">
        <v>15.719013922412769</v>
      </c>
      <c r="J691" s="27">
        <v>61.572760345405875</v>
      </c>
      <c r="K691" s="26">
        <v>1.8061794368553943</v>
      </c>
      <c r="L691" s="26">
        <v>12.097716380157358</v>
      </c>
      <c r="M691" s="27">
        <v>13.903895817012753</v>
      </c>
      <c r="N691" s="26">
        <v>3.3437146836267013</v>
      </c>
      <c r="O691" s="26">
        <v>30.541289697623782</v>
      </c>
      <c r="P691" s="26">
        <v>6.3818015713910174</v>
      </c>
      <c r="Q691" s="26">
        <v>5.5496451509173426</v>
      </c>
      <c r="R691" s="26">
        <v>12.64156930531991</v>
      </c>
      <c r="S691" s="26">
        <v>19.583912795882657</v>
      </c>
      <c r="T691" s="26">
        <v>45.005986793015346</v>
      </c>
      <c r="U691" s="26">
        <v>4.2774032408519407</v>
      </c>
      <c r="V691" s="27">
        <v>127.32532323862868</v>
      </c>
      <c r="W691" s="27">
        <v>215.93664773609808</v>
      </c>
      <c r="X691" s="26">
        <v>21.427308852177294</v>
      </c>
      <c r="Y691" s="28">
        <v>237.37545719602548</v>
      </c>
      <c r="Z691" s="17" t="str">
        <f>SUBSTITUTE(SUBSTITUTE(SUBSTITUTE(SUBSTITUTE(IF(E691="","",VLOOKUP(E691,[1]Esquemas_NORM!$A$2:$H$126,8,FALSE)),"PROVINCIA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691" s="17" t="str">
        <f>IF($E691="","",INDEX([1]Esquemas_NORM!$H$2:$K$126,MATCH($E691,[1]Esquemas_NORM!$A$2:$A$126,0),MATCH(AA$4,[1]Esquemas_NORM!$H$1:$K$1,0)))</f>
        <v>Región de Planeación y Gestión de Occidente</v>
      </c>
      <c r="AB691" s="17" t="str">
        <f>IF($E691="","",INDEX([1]Esquemas_NORM!$H$2:$K$126,MATCH($E691,[1]Esquemas_NORM!$A$2:$A$126,0),MATCH(AB$4,[1]Esquemas_NORM!$H$1:$K$1,0)))</f>
        <v>A la fecha no ha conformado un EAT Área Metropolitana</v>
      </c>
      <c r="AC691" s="17" t="str">
        <f>IF($E691="","",INDEX([1]Esquemas_NORM!$H$2:$K$126,MATCH($E691,[1]Esquemas_NORM!$A$2:$A$126,0),MATCH(AC$4,[1]Esquemas_NORM!$H$1:$K$1,0)))</f>
        <v>ASOCIACION DE MUNICIPIOS DEL OCCIDENTE ANTIOQUEÑO - AMOCCIDENTE</v>
      </c>
      <c r="AD691" s="23"/>
    </row>
    <row r="692" spans="1:30" x14ac:dyDescent="0.25">
      <c r="A692" s="24">
        <v>2020</v>
      </c>
      <c r="B692" s="25" t="s">
        <v>36</v>
      </c>
      <c r="C692" s="25" t="s">
        <v>158</v>
      </c>
      <c r="D692" s="25" t="s">
        <v>163</v>
      </c>
      <c r="E692" s="25" t="s">
        <v>176</v>
      </c>
      <c r="F692" s="25" t="s">
        <v>161</v>
      </c>
      <c r="G692" s="25" t="s">
        <v>177</v>
      </c>
      <c r="H692" s="26">
        <v>75.453670217596994</v>
      </c>
      <c r="I692" s="26">
        <v>0</v>
      </c>
      <c r="J692" s="27">
        <v>75.453670217596994</v>
      </c>
      <c r="K692" s="26">
        <v>5.9566457056172872</v>
      </c>
      <c r="L692" s="26">
        <v>6.6053150260018683</v>
      </c>
      <c r="M692" s="27">
        <v>12.561960731619155</v>
      </c>
      <c r="N692" s="26">
        <v>2.6192400901954969</v>
      </c>
      <c r="O692" s="26">
        <v>12.605601771377804</v>
      </c>
      <c r="P692" s="26">
        <v>4.3599195704704927</v>
      </c>
      <c r="Q692" s="26">
        <v>3.1087639507477687</v>
      </c>
      <c r="R692" s="26">
        <v>11.455481017973733</v>
      </c>
      <c r="S692" s="26">
        <v>11.223795910982115</v>
      </c>
      <c r="T692" s="26">
        <v>20.811048039059205</v>
      </c>
      <c r="U692" s="26">
        <v>4.4279821226563847</v>
      </c>
      <c r="V692" s="27">
        <v>70.611832473462997</v>
      </c>
      <c r="W692" s="27">
        <v>167.20413525131718</v>
      </c>
      <c r="X692" s="26">
        <v>16.591600754000556</v>
      </c>
      <c r="Y692" s="28">
        <v>183.80464115964725</v>
      </c>
      <c r="Z692" s="17" t="str">
        <f>SUBSTITUTE(SUBSTITUTE(SUBSTITUTE(SUBSTITUTE(IF(E692="","",VLOOKUP(E692,[1]Esquemas_NORM!$A$2:$H$126,8,FALSE)),"PROVINCIA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92" s="17" t="str">
        <f>IF($E692="","",INDEX([1]Esquemas_NORM!$H$2:$K$126,MATCH($E692,[1]Esquemas_NORM!$A$2:$A$126,0),MATCH(AA$4,[1]Esquemas_NORM!$H$1:$K$1,0)))</f>
        <v>A la fecha no ha conformado un EAT Región</v>
      </c>
      <c r="AB692" s="17" t="str">
        <f>IF($E692="","",INDEX([1]Esquemas_NORM!$H$2:$K$126,MATCH($E692,[1]Esquemas_NORM!$A$2:$A$126,0),MATCH(AB$4,[1]Esquemas_NORM!$H$1:$K$1,0)))</f>
        <v>A la fecha no ha conformado un EAT Área Metropolitana</v>
      </c>
      <c r="AC692" s="17" t="str">
        <f>IF($E692="","",INDEX([1]Esquemas_NORM!$H$2:$K$126,MATCH($E692,[1]Esquemas_NORM!$A$2:$A$126,0),MATCH(AC$4,[1]Esquemas_NORM!$H$1:$K$1,0)))</f>
        <v>ASOCIACION DE MUNICIPIOS DEL OCCIDENTE ANTIOQUEÑO - AMOCCIDENTE</v>
      </c>
      <c r="AD692" s="23"/>
    </row>
    <row r="693" spans="1:30" x14ac:dyDescent="0.25">
      <c r="A693" s="24">
        <v>2020</v>
      </c>
      <c r="B693" s="25" t="s">
        <v>36</v>
      </c>
      <c r="C693" s="25" t="s">
        <v>158</v>
      </c>
      <c r="D693" s="25" t="s">
        <v>159</v>
      </c>
      <c r="E693" s="25" t="s">
        <v>178</v>
      </c>
      <c r="F693" s="25" t="s">
        <v>161</v>
      </c>
      <c r="G693" s="25" t="s">
        <v>179</v>
      </c>
      <c r="H693" s="26">
        <v>50.960580859598956</v>
      </c>
      <c r="I693" s="26">
        <v>8.9021020277995166</v>
      </c>
      <c r="J693" s="27">
        <v>59.862682887398471</v>
      </c>
      <c r="K693" s="26">
        <v>2.8357422399125372</v>
      </c>
      <c r="L693" s="26">
        <v>13.482421999728839</v>
      </c>
      <c r="M693" s="27">
        <v>16.318164239641376</v>
      </c>
      <c r="N693" s="26">
        <v>13.815230003079442</v>
      </c>
      <c r="O693" s="26">
        <v>32.319907800855553</v>
      </c>
      <c r="P693" s="26">
        <v>7.0215108705152245</v>
      </c>
      <c r="Q693" s="26">
        <v>6.336191818936471</v>
      </c>
      <c r="R693" s="26">
        <v>11.447390206772525</v>
      </c>
      <c r="S693" s="26">
        <v>24.358180664813887</v>
      </c>
      <c r="T693" s="26">
        <v>41.131157648728554</v>
      </c>
      <c r="U693" s="26">
        <v>4.7310942627789556</v>
      </c>
      <c r="V693" s="27">
        <v>141.16066327648062</v>
      </c>
      <c r="W693" s="27">
        <v>229.5994376144547</v>
      </c>
      <c r="X693" s="26">
        <v>22.783062132486293</v>
      </c>
      <c r="Y693" s="28">
        <v>252.39472802361036</v>
      </c>
      <c r="Z693" s="17" t="str">
        <f>SUBSTITUTE(SUBSTITUTE(SUBSTITUTE(SUBSTITUTE(IF(E693="","",VLOOKUP(E693,[1]Esquemas_NORM!$A$2:$H$126,8,FALSE)),"PROVINCIA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693" s="17" t="str">
        <f>IF($E693="","",INDEX([1]Esquemas_NORM!$H$2:$K$126,MATCH($E693,[1]Esquemas_NORM!$A$2:$A$126,0),MATCH(AA$4,[1]Esquemas_NORM!$H$1:$K$1,0)))</f>
        <v>Región de Planeación y Gestión de Occidente</v>
      </c>
      <c r="AB693" s="17" t="str">
        <f>IF($E693="","",INDEX([1]Esquemas_NORM!$H$2:$K$126,MATCH($E693,[1]Esquemas_NORM!$A$2:$A$126,0),MATCH(AB$4,[1]Esquemas_NORM!$H$1:$K$1,0)))</f>
        <v>A la fecha no ha conformado un EAT Área Metropolitana</v>
      </c>
      <c r="AC693" s="17" t="str">
        <f>IF($E693="","",INDEX([1]Esquemas_NORM!$H$2:$K$126,MATCH($E693,[1]Esquemas_NORM!$A$2:$A$126,0),MATCH(AC$4,[1]Esquemas_NORM!$H$1:$K$1,0)))</f>
        <v>ASOCIACION DE MUNICIPIOS DEL OCCIDENTE ANTIOQUEÑO - AMOCCIDENTE</v>
      </c>
      <c r="AD693" s="23"/>
    </row>
    <row r="694" spans="1:30" x14ac:dyDescent="0.25">
      <c r="A694" s="24">
        <v>2020</v>
      </c>
      <c r="B694" s="25" t="s">
        <v>36</v>
      </c>
      <c r="C694" s="25" t="s">
        <v>158</v>
      </c>
      <c r="D694" s="25" t="s">
        <v>163</v>
      </c>
      <c r="E694" s="25" t="s">
        <v>180</v>
      </c>
      <c r="F694" s="25" t="s">
        <v>161</v>
      </c>
      <c r="G694" s="25" t="s">
        <v>181</v>
      </c>
      <c r="H694" s="26">
        <v>9.0925993227684039</v>
      </c>
      <c r="I694" s="26">
        <v>0</v>
      </c>
      <c r="J694" s="27">
        <v>9.0925993227684039</v>
      </c>
      <c r="K694" s="26">
        <v>1.9967101784303134</v>
      </c>
      <c r="L694" s="26">
        <v>1.2091182741944586</v>
      </c>
      <c r="M694" s="27">
        <v>3.2058284526247718</v>
      </c>
      <c r="N694" s="26">
        <v>1.5871951129039437</v>
      </c>
      <c r="O694" s="26">
        <v>7.880291895930335</v>
      </c>
      <c r="P694" s="26">
        <v>1.4468126736885834</v>
      </c>
      <c r="Q694" s="26">
        <v>1.0219608066007586</v>
      </c>
      <c r="R694" s="26">
        <v>4.5596562155469851</v>
      </c>
      <c r="S694" s="26">
        <v>5.6527414696377765</v>
      </c>
      <c r="T694" s="26">
        <v>10.078068051129408</v>
      </c>
      <c r="U694" s="26">
        <v>2.5250902571911689</v>
      </c>
      <c r="V694" s="27">
        <v>34.751816482628954</v>
      </c>
      <c r="W694" s="27">
        <v>48.146587900672905</v>
      </c>
      <c r="X694" s="26">
        <v>4.7775670315455514</v>
      </c>
      <c r="Y694" s="28">
        <v>52.926719179777827</v>
      </c>
      <c r="Z694" s="17" t="str">
        <f>SUBSTITUTE(SUBSTITUTE(SUBSTITUTE(SUBSTITUTE(IF(E694="","",VLOOKUP(E694,[1]Esquemas_NORM!$A$2:$H$126,8,FALSE)),"PROVINCIA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94" s="17" t="str">
        <f>IF($E694="","",INDEX([1]Esquemas_NORM!$H$2:$K$126,MATCH($E694,[1]Esquemas_NORM!$A$2:$A$126,0),MATCH(AA$4,[1]Esquemas_NORM!$H$1:$K$1,0)))</f>
        <v>A la fecha no ha conformado un EAT Región</v>
      </c>
      <c r="AB694" s="17" t="str">
        <f>IF($E694="","",INDEX([1]Esquemas_NORM!$H$2:$K$126,MATCH($E694,[1]Esquemas_NORM!$A$2:$A$126,0),MATCH(AB$4,[1]Esquemas_NORM!$H$1:$K$1,0)))</f>
        <v>A la fecha no ha conformado un EAT Área Metropolitana</v>
      </c>
      <c r="AC694" s="17" t="str">
        <f>IF($E694="","",INDEX([1]Esquemas_NORM!$H$2:$K$126,MATCH($E694,[1]Esquemas_NORM!$A$2:$A$126,0),MATCH(AC$4,[1]Esquemas_NORM!$H$1:$K$1,0)))</f>
        <v>ASOCIACION DE MUNICIPIOS DEL OCCIDENTE ANTIOQUEÑO - AMOCCIDENTE</v>
      </c>
      <c r="AD694" s="23"/>
    </row>
    <row r="695" spans="1:30" x14ac:dyDescent="0.25">
      <c r="A695" s="24">
        <v>2020</v>
      </c>
      <c r="B695" s="25" t="s">
        <v>36</v>
      </c>
      <c r="C695" s="25" t="s">
        <v>158</v>
      </c>
      <c r="D695" s="25" t="s">
        <v>163</v>
      </c>
      <c r="E695" s="25" t="s">
        <v>182</v>
      </c>
      <c r="F695" s="25" t="s">
        <v>161</v>
      </c>
      <c r="G695" s="25" t="s">
        <v>183</v>
      </c>
      <c r="H695" s="26">
        <v>25.235547160054615</v>
      </c>
      <c r="I695" s="26">
        <v>1.0712386247572113E-2</v>
      </c>
      <c r="J695" s="27">
        <v>25.246259546302188</v>
      </c>
      <c r="K695" s="26">
        <v>2.6419633598745871</v>
      </c>
      <c r="L695" s="26">
        <v>5.0220984711622911</v>
      </c>
      <c r="M695" s="27">
        <v>7.6640618310368787</v>
      </c>
      <c r="N695" s="26">
        <v>3.165329152384861</v>
      </c>
      <c r="O695" s="26">
        <v>14.049838781225233</v>
      </c>
      <c r="P695" s="26">
        <v>3.8502804445806018</v>
      </c>
      <c r="Q695" s="26">
        <v>3.1753186939647025</v>
      </c>
      <c r="R695" s="26">
        <v>9.6133135758996691</v>
      </c>
      <c r="S695" s="26">
        <v>12.434211114561526</v>
      </c>
      <c r="T695" s="26">
        <v>27.924129323401424</v>
      </c>
      <c r="U695" s="26">
        <v>3.8338942428301741</v>
      </c>
      <c r="V695" s="27">
        <v>78.046315328848195</v>
      </c>
      <c r="W695" s="27">
        <v>113.75187516486282</v>
      </c>
      <c r="X695" s="26">
        <v>11.287553952638214</v>
      </c>
      <c r="Y695" s="28">
        <v>125.04548744854739</v>
      </c>
      <c r="Z695" s="17" t="str">
        <f>SUBSTITUTE(SUBSTITUTE(SUBSTITUTE(SUBSTITUTE(IF(E695="","",VLOOKUP(E695,[1]Esquemas_NORM!$A$2:$H$126,8,FALSE)),"PROVINCIA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95" s="17" t="str">
        <f>IF($E695="","",INDEX([1]Esquemas_NORM!$H$2:$K$126,MATCH($E695,[1]Esquemas_NORM!$A$2:$A$126,0),MATCH(AA$4,[1]Esquemas_NORM!$H$1:$K$1,0)))</f>
        <v>Región de Planeación y Gestión de Occidente</v>
      </c>
      <c r="AB695" s="17" t="str">
        <f>IF($E695="","",INDEX([1]Esquemas_NORM!$H$2:$K$126,MATCH($E695,[1]Esquemas_NORM!$A$2:$A$126,0),MATCH(AB$4,[1]Esquemas_NORM!$H$1:$K$1,0)))</f>
        <v>A la fecha no ha conformado un EAT Área Metropolitana</v>
      </c>
      <c r="AC695" s="17" t="str">
        <f>IF($E695="","",INDEX([1]Esquemas_NORM!$H$2:$K$126,MATCH($E695,[1]Esquemas_NORM!$A$2:$A$126,0),MATCH(AC$4,[1]Esquemas_NORM!$H$1:$K$1,0)))</f>
        <v>ASOCIACION DE MUNICIPIOS DEL OCCIDENTE ANTIOQUEÑO - AMOCCIDENTE</v>
      </c>
      <c r="AD695" s="23"/>
    </row>
    <row r="696" spans="1:30" x14ac:dyDescent="0.25">
      <c r="A696" s="24">
        <v>2020</v>
      </c>
      <c r="B696" s="25" t="s">
        <v>36</v>
      </c>
      <c r="C696" s="25" t="s">
        <v>158</v>
      </c>
      <c r="D696" s="25" t="s">
        <v>163</v>
      </c>
      <c r="E696" s="25" t="s">
        <v>184</v>
      </c>
      <c r="F696" s="25" t="s">
        <v>161</v>
      </c>
      <c r="G696" s="25" t="s">
        <v>185</v>
      </c>
      <c r="H696" s="26">
        <v>16.777968018081953</v>
      </c>
      <c r="I696" s="26">
        <v>0</v>
      </c>
      <c r="J696" s="27">
        <v>16.777968018081953</v>
      </c>
      <c r="K696" s="26">
        <v>0.29852139801591882</v>
      </c>
      <c r="L696" s="26">
        <v>5.8299796106250623</v>
      </c>
      <c r="M696" s="27">
        <v>6.1285010086409812</v>
      </c>
      <c r="N696" s="26">
        <v>3.8931827865383943</v>
      </c>
      <c r="O696" s="26">
        <v>9.8131249365544431</v>
      </c>
      <c r="P696" s="26">
        <v>3.3998382660983095</v>
      </c>
      <c r="Q696" s="26">
        <v>2.9853025115915206</v>
      </c>
      <c r="R696" s="26">
        <v>6.0343668915055657</v>
      </c>
      <c r="S696" s="26">
        <v>8.84014404211025</v>
      </c>
      <c r="T696" s="26">
        <v>22.270379110120267</v>
      </c>
      <c r="U696" s="26">
        <v>5.9121816301008394</v>
      </c>
      <c r="V696" s="27">
        <v>63.148520174619591</v>
      </c>
      <c r="W696" s="27">
        <v>88.006025063597065</v>
      </c>
      <c r="X696" s="26">
        <v>8.7328033460787928</v>
      </c>
      <c r="Y696" s="28">
        <v>96.743515537981622</v>
      </c>
      <c r="Z696" s="17" t="str">
        <f>SUBSTITUTE(SUBSTITUTE(SUBSTITUTE(SUBSTITUTE(IF(E696="","",VLOOKUP(E696,[1]Esquemas_NORM!$A$2:$H$126,8,FALSE)),"PROVINCIA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696" s="17" t="str">
        <f>IF($E696="","",INDEX([1]Esquemas_NORM!$H$2:$K$126,MATCH($E696,[1]Esquemas_NORM!$A$2:$A$126,0),MATCH(AA$4,[1]Esquemas_NORM!$H$1:$K$1,0)))</f>
        <v>Región de Planeación y Gestión de Occidente</v>
      </c>
      <c r="AB696" s="17" t="str">
        <f>IF($E696="","",INDEX([1]Esquemas_NORM!$H$2:$K$126,MATCH($E696,[1]Esquemas_NORM!$A$2:$A$126,0),MATCH(AB$4,[1]Esquemas_NORM!$H$1:$K$1,0)))</f>
        <v>A la fecha no ha conformado un EAT Área Metropolitana</v>
      </c>
      <c r="AC696" s="17" t="str">
        <f>IF($E696="","",INDEX([1]Esquemas_NORM!$H$2:$K$126,MATCH($E696,[1]Esquemas_NORM!$A$2:$A$126,0),MATCH(AC$4,[1]Esquemas_NORM!$H$1:$K$1,0)))</f>
        <v>ASOCIACION DE MUNICIPIOS DEL OCCIDENTE ANTIOQUEÑO - AMOCCIDENTE</v>
      </c>
      <c r="AD696" s="23"/>
    </row>
    <row r="697" spans="1:30" x14ac:dyDescent="0.25">
      <c r="A697" s="24">
        <v>2020</v>
      </c>
      <c r="B697" s="25" t="s">
        <v>36</v>
      </c>
      <c r="C697" s="25" t="s">
        <v>158</v>
      </c>
      <c r="D697" s="25" t="s">
        <v>163</v>
      </c>
      <c r="E697" s="25" t="s">
        <v>186</v>
      </c>
      <c r="F697" s="25" t="s">
        <v>161</v>
      </c>
      <c r="G697" s="25" t="s">
        <v>187</v>
      </c>
      <c r="H697" s="26">
        <v>5.6857414697335393</v>
      </c>
      <c r="I697" s="26">
        <v>2.2906955954164654E-3</v>
      </c>
      <c r="J697" s="27">
        <v>5.6880321653289556</v>
      </c>
      <c r="K697" s="26">
        <v>0.25798468973074018</v>
      </c>
      <c r="L697" s="26">
        <v>1.9129910648007677</v>
      </c>
      <c r="M697" s="27">
        <v>2.1709757545315078</v>
      </c>
      <c r="N697" s="26">
        <v>1.640982514151843</v>
      </c>
      <c r="O697" s="26">
        <v>5.2578165964486443</v>
      </c>
      <c r="P697" s="26">
        <v>1.197303909850908</v>
      </c>
      <c r="Q697" s="26">
        <v>0.62770401200161219</v>
      </c>
      <c r="R697" s="26">
        <v>3.2999069692743839</v>
      </c>
      <c r="S697" s="26">
        <v>3.3760280782457093</v>
      </c>
      <c r="T697" s="26">
        <v>6.8349447506827881</v>
      </c>
      <c r="U697" s="26">
        <v>1.3029559245202798</v>
      </c>
      <c r="V697" s="27">
        <v>23.537642755176165</v>
      </c>
      <c r="W697" s="27">
        <v>32.215778300163052</v>
      </c>
      <c r="X697" s="26">
        <v>3.1967590438590876</v>
      </c>
      <c r="Y697" s="28">
        <v>35.414253129802226</v>
      </c>
      <c r="Z697" s="17" t="str">
        <f>SUBSTITUTE(SUBSTITUTE(SUBSTITUTE(SUBSTITUTE(IF(E697="","",VLOOKUP(E697,[1]Esquemas_NORM!$A$2:$H$126,8,FALSE)),"PROVINCIA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97" s="17" t="str">
        <f>IF($E697="","",INDEX([1]Esquemas_NORM!$H$2:$K$126,MATCH($E697,[1]Esquemas_NORM!$A$2:$A$126,0),MATCH(AA$4,[1]Esquemas_NORM!$H$1:$K$1,0)))</f>
        <v>Región de Planeación y Gestión de Occidente</v>
      </c>
      <c r="AB697" s="17" t="str">
        <f>IF($E697="","",INDEX([1]Esquemas_NORM!$H$2:$K$126,MATCH($E697,[1]Esquemas_NORM!$A$2:$A$126,0),MATCH(AB$4,[1]Esquemas_NORM!$H$1:$K$1,0)))</f>
        <v>A la fecha no ha conformado un EAT Área Metropolitana</v>
      </c>
      <c r="AC697" s="17" t="str">
        <f>IF($E697="","",INDEX([1]Esquemas_NORM!$H$2:$K$126,MATCH($E697,[1]Esquemas_NORM!$A$2:$A$126,0),MATCH(AC$4,[1]Esquemas_NORM!$H$1:$K$1,0)))</f>
        <v>ASOCIACION DE MUNICIPIOS DEL OCCIDENTE ANTIOQUEÑO - AMOCCIDENTE</v>
      </c>
      <c r="AD697" s="23"/>
    </row>
    <row r="698" spans="1:30" x14ac:dyDescent="0.25">
      <c r="A698" s="24">
        <v>2020</v>
      </c>
      <c r="B698" s="25" t="s">
        <v>36</v>
      </c>
      <c r="C698" s="25" t="s">
        <v>158</v>
      </c>
      <c r="D698" s="25" t="s">
        <v>159</v>
      </c>
      <c r="E698" s="25" t="s">
        <v>188</v>
      </c>
      <c r="F698" s="25" t="s">
        <v>161</v>
      </c>
      <c r="G698" s="25" t="s">
        <v>189</v>
      </c>
      <c r="H698" s="26">
        <v>11.809318483657506</v>
      </c>
      <c r="I698" s="26">
        <v>0</v>
      </c>
      <c r="J698" s="27">
        <v>11.809318483657506</v>
      </c>
      <c r="K698" s="26">
        <v>0.57101825389295524</v>
      </c>
      <c r="L698" s="26">
        <v>3.4915307203621255</v>
      </c>
      <c r="M698" s="27">
        <v>4.0625489742550807</v>
      </c>
      <c r="N698" s="26">
        <v>0.67908348502492055</v>
      </c>
      <c r="O698" s="26">
        <v>3.1782855121258966</v>
      </c>
      <c r="P698" s="26">
        <v>2.2483526899128443</v>
      </c>
      <c r="Q698" s="26">
        <v>1.918753155006633</v>
      </c>
      <c r="R698" s="26">
        <v>5.1000547026565588</v>
      </c>
      <c r="S698" s="26">
        <v>6.9345103781436546</v>
      </c>
      <c r="T698" s="26">
        <v>21.642255382195042</v>
      </c>
      <c r="U698" s="26">
        <v>1.8005727231307802</v>
      </c>
      <c r="V698" s="27">
        <v>43.501868028196327</v>
      </c>
      <c r="W698" s="27">
        <v>60.160528651689319</v>
      </c>
      <c r="X698" s="26">
        <v>5.969705659716845</v>
      </c>
      <c r="Y698" s="28">
        <v>66.133438411540553</v>
      </c>
      <c r="Z698" s="17" t="str">
        <f>SUBSTITUTE(SUBSTITUTE(SUBSTITUTE(SUBSTITUTE(IF(E698="","",VLOOKUP(E698,[1]Esquemas_NORM!$A$2:$H$126,8,FALSE)),"PROVINCIA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698" s="17" t="str">
        <f>IF($E698="","",INDEX([1]Esquemas_NORM!$H$2:$K$126,MATCH($E698,[1]Esquemas_NORM!$A$2:$A$126,0),MATCH(AA$4,[1]Esquemas_NORM!$H$1:$K$1,0)))</f>
        <v>Región de Planeación y Gestión de Occidente</v>
      </c>
      <c r="AB698" s="17" t="str">
        <f>IF($E698="","",INDEX([1]Esquemas_NORM!$H$2:$K$126,MATCH($E698,[1]Esquemas_NORM!$A$2:$A$126,0),MATCH(AB$4,[1]Esquemas_NORM!$H$1:$K$1,0)))</f>
        <v>A la fecha no ha conformado un EAT Área Metropolitana</v>
      </c>
      <c r="AC698" s="17" t="str">
        <f>IF($E698="","",INDEX([1]Esquemas_NORM!$H$2:$K$126,MATCH($E698,[1]Esquemas_NORM!$A$2:$A$126,0),MATCH(AC$4,[1]Esquemas_NORM!$H$1:$K$1,0)))</f>
        <v>ASOCIACION DE MUNICIPIOS DEL OCCIDENTE ANTIOQUEÑO - AMOCCIDENTE</v>
      </c>
      <c r="AD698" s="23"/>
    </row>
    <row r="699" spans="1:30" x14ac:dyDescent="0.25">
      <c r="A699" s="24">
        <v>2020</v>
      </c>
      <c r="B699" s="25" t="s">
        <v>36</v>
      </c>
      <c r="C699" s="25" t="s">
        <v>158</v>
      </c>
      <c r="D699" s="25" t="s">
        <v>163</v>
      </c>
      <c r="E699" s="25" t="s">
        <v>190</v>
      </c>
      <c r="F699" s="25" t="s">
        <v>161</v>
      </c>
      <c r="G699" s="25" t="s">
        <v>191</v>
      </c>
      <c r="H699" s="26">
        <v>12.534215894286154</v>
      </c>
      <c r="I699" s="26">
        <v>1.0958247076624496E-2</v>
      </c>
      <c r="J699" s="27">
        <v>12.545174141362779</v>
      </c>
      <c r="K699" s="26">
        <v>0.82256011232368231</v>
      </c>
      <c r="L699" s="26">
        <v>3.9199218053488121</v>
      </c>
      <c r="M699" s="27">
        <v>4.7424819176724942</v>
      </c>
      <c r="N699" s="26">
        <v>1.3398825257563254</v>
      </c>
      <c r="O699" s="26">
        <v>8.0381727856069922</v>
      </c>
      <c r="P699" s="26">
        <v>2.7747367406359849</v>
      </c>
      <c r="Q699" s="26">
        <v>2.1822183393543497</v>
      </c>
      <c r="R699" s="26">
        <v>6.5733086149619382</v>
      </c>
      <c r="S699" s="26">
        <v>6.750866938419767</v>
      </c>
      <c r="T699" s="26">
        <v>19.137891109262313</v>
      </c>
      <c r="U699" s="26">
        <v>1.9690234443215304</v>
      </c>
      <c r="V699" s="27">
        <v>48.766100498319197</v>
      </c>
      <c r="W699" s="27">
        <v>67.213144544471334</v>
      </c>
      <c r="X699" s="26">
        <v>6.6695339683184001</v>
      </c>
      <c r="Y699" s="28">
        <v>73.886258229429501</v>
      </c>
      <c r="Z699" s="17" t="str">
        <f>SUBSTITUTE(SUBSTITUTE(SUBSTITUTE(SUBSTITUTE(IF(E699="","",VLOOKUP(E699,[1]Esquemas_NORM!$A$2:$H$126,8,FALSE)),"PROVINCIA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699" s="17" t="str">
        <f>IF($E699="","",INDEX([1]Esquemas_NORM!$H$2:$K$126,MATCH($E699,[1]Esquemas_NORM!$A$2:$A$126,0),MATCH(AA$4,[1]Esquemas_NORM!$H$1:$K$1,0)))</f>
        <v>A la fecha no ha conformado un EAT Región</v>
      </c>
      <c r="AB699" s="17" t="str">
        <f>IF($E699="","",INDEX([1]Esquemas_NORM!$H$2:$K$126,MATCH($E699,[1]Esquemas_NORM!$A$2:$A$126,0),MATCH(AB$4,[1]Esquemas_NORM!$H$1:$K$1,0)))</f>
        <v>A la fecha no ha conformado un EAT Área Metropolitana</v>
      </c>
      <c r="AC699" s="17" t="str">
        <f>IF($E699="","",INDEX([1]Esquemas_NORM!$H$2:$K$126,MATCH($E699,[1]Esquemas_NORM!$A$2:$A$126,0),MATCH(AC$4,[1]Esquemas_NORM!$H$1:$K$1,0)))</f>
        <v>ASOCIACION DE MUNICIPIOS DEL OCCIDENTE ANTIOQUEÑO - AMOCCIDENTE</v>
      </c>
      <c r="AD699" s="23"/>
    </row>
    <row r="700" spans="1:30" x14ac:dyDescent="0.25">
      <c r="A700" s="24">
        <v>2020</v>
      </c>
      <c r="B700" s="25" t="s">
        <v>36</v>
      </c>
      <c r="C700" s="25" t="s">
        <v>158</v>
      </c>
      <c r="D700" s="25" t="s">
        <v>163</v>
      </c>
      <c r="E700" s="25" t="s">
        <v>192</v>
      </c>
      <c r="F700" s="25" t="s">
        <v>161</v>
      </c>
      <c r="G700" s="25" t="s">
        <v>193</v>
      </c>
      <c r="H700" s="26">
        <v>12.909165864603187</v>
      </c>
      <c r="I700" s="26">
        <v>0</v>
      </c>
      <c r="J700" s="27">
        <v>12.909165864603187</v>
      </c>
      <c r="K700" s="26">
        <v>1.4767221572000491</v>
      </c>
      <c r="L700" s="26">
        <v>9.1159472531770405</v>
      </c>
      <c r="M700" s="27">
        <v>10.59266941037709</v>
      </c>
      <c r="N700" s="26">
        <v>7.5550673476611285</v>
      </c>
      <c r="O700" s="26">
        <v>43.610309164471524</v>
      </c>
      <c r="P700" s="26">
        <v>5.0055272024390369</v>
      </c>
      <c r="Q700" s="26">
        <v>3.4408310036857217</v>
      </c>
      <c r="R700" s="26">
        <v>25.104203547349719</v>
      </c>
      <c r="S700" s="26">
        <v>17.249643721093996</v>
      </c>
      <c r="T700" s="26">
        <v>22.955343426427273</v>
      </c>
      <c r="U700" s="26">
        <v>4.5843311669089841</v>
      </c>
      <c r="V700" s="27">
        <v>129.50525658003738</v>
      </c>
      <c r="W700" s="27">
        <v>155.74468675709514</v>
      </c>
      <c r="X700" s="26">
        <v>15.454484174954226</v>
      </c>
      <c r="Y700" s="28">
        <v>171.20746576560501</v>
      </c>
      <c r="Z700" s="17" t="str">
        <f>SUBSTITUTE(SUBSTITUTE(SUBSTITUTE(SUBSTITUTE(IF(E700="","",VLOOKUP(E700,[1]Esquemas_NORM!$A$2:$H$126,8,FALSE)),"PROVINCIA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700" s="17" t="str">
        <f>IF($E700="","",INDEX([1]Esquemas_NORM!$H$2:$K$126,MATCH($E700,[1]Esquemas_NORM!$A$2:$A$126,0),MATCH(AA$4,[1]Esquemas_NORM!$H$1:$K$1,0)))</f>
        <v>Región de Planeación y Gestión de Occidente</v>
      </c>
      <c r="AB700" s="17" t="str">
        <f>IF($E700="","",INDEX([1]Esquemas_NORM!$H$2:$K$126,MATCH($E700,[1]Esquemas_NORM!$A$2:$A$126,0),MATCH(AB$4,[1]Esquemas_NORM!$H$1:$K$1,0)))</f>
        <v>A la fecha no ha conformado un EAT Área Metropolitana</v>
      </c>
      <c r="AC700" s="17" t="str">
        <f>IF($E700="","",INDEX([1]Esquemas_NORM!$H$2:$K$126,MATCH($E700,[1]Esquemas_NORM!$A$2:$A$126,0),MATCH(AC$4,[1]Esquemas_NORM!$H$1:$K$1,0)))</f>
        <v>ASOCIACION DE MUNICIPIOS DEL OCCIDENTE ANTIOQUEÑO - AMOCCIDENTE</v>
      </c>
      <c r="AD700" s="23"/>
    </row>
    <row r="701" spans="1:30" x14ac:dyDescent="0.25">
      <c r="A701" s="24">
        <v>2020</v>
      </c>
      <c r="B701" s="25" t="s">
        <v>36</v>
      </c>
      <c r="C701" s="25" t="s">
        <v>158</v>
      </c>
      <c r="D701" s="25" t="s">
        <v>163</v>
      </c>
      <c r="E701" s="25" t="s">
        <v>194</v>
      </c>
      <c r="F701" s="25" t="s">
        <v>161</v>
      </c>
      <c r="G701" s="25" t="s">
        <v>195</v>
      </c>
      <c r="H701" s="26">
        <v>17.693916734512079</v>
      </c>
      <c r="I701" s="26">
        <v>2.3179280364978507</v>
      </c>
      <c r="J701" s="27">
        <v>20.01184477100993</v>
      </c>
      <c r="K701" s="26">
        <v>3.7372552852742906</v>
      </c>
      <c r="L701" s="26">
        <v>12.916468990241251</v>
      </c>
      <c r="M701" s="27">
        <v>16.653724275515543</v>
      </c>
      <c r="N701" s="26">
        <v>12.769287590731743</v>
      </c>
      <c r="O701" s="26">
        <v>58.12319355409052</v>
      </c>
      <c r="P701" s="26">
        <v>8.2084769833053226</v>
      </c>
      <c r="Q701" s="26">
        <v>8.3940802759093174</v>
      </c>
      <c r="R701" s="26">
        <v>26.660531793206353</v>
      </c>
      <c r="S701" s="26">
        <v>28.372669260250753</v>
      </c>
      <c r="T701" s="26">
        <v>61.04983715546684</v>
      </c>
      <c r="U701" s="26">
        <v>7.726030307246381</v>
      </c>
      <c r="V701" s="27">
        <v>211.3041069202072</v>
      </c>
      <c r="W701" s="27">
        <v>252.86587741181404</v>
      </c>
      <c r="X701" s="26">
        <v>25.091781827149259</v>
      </c>
      <c r="Y701" s="28">
        <v>277.97112666702594</v>
      </c>
      <c r="Z701" s="17" t="str">
        <f>SUBSTITUTE(SUBSTITUTE(SUBSTITUTE(SUBSTITUTE(IF(E701="","",VLOOKUP(E701,[1]Esquemas_NORM!$A$2:$H$126,8,FALSE)),"PROVINCIA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701" s="17" t="str">
        <f>IF($E701="","",INDEX([1]Esquemas_NORM!$H$2:$K$126,MATCH($E701,[1]Esquemas_NORM!$A$2:$A$126,0),MATCH(AA$4,[1]Esquemas_NORM!$H$1:$K$1,0)))</f>
        <v>A la fecha no ha conformado un EAT Región</v>
      </c>
      <c r="AB701" s="17" t="str">
        <f>IF($E701="","",INDEX([1]Esquemas_NORM!$H$2:$K$126,MATCH($E701,[1]Esquemas_NORM!$A$2:$A$126,0),MATCH(AB$4,[1]Esquemas_NORM!$H$1:$K$1,0)))</f>
        <v>A la fecha no ha conformado un EAT Área Metropolitana</v>
      </c>
      <c r="AC701" s="17" t="str">
        <f>IF($E701="","",INDEX([1]Esquemas_NORM!$H$2:$K$126,MATCH($E701,[1]Esquemas_NORM!$A$2:$A$126,0),MATCH(AC$4,[1]Esquemas_NORM!$H$1:$K$1,0)))</f>
        <v>ASOCIACION DE MUNICIPIOS DEL OCCIDENTE ANTIOQUEÑO - AMOCCIDENTE</v>
      </c>
      <c r="AD701" s="23"/>
    </row>
    <row r="702" spans="1:30" x14ac:dyDescent="0.25">
      <c r="A702" s="24">
        <v>2020</v>
      </c>
      <c r="B702" s="25" t="s">
        <v>36</v>
      </c>
      <c r="C702" s="25" t="s">
        <v>158</v>
      </c>
      <c r="D702" s="25" t="s">
        <v>163</v>
      </c>
      <c r="E702" s="25" t="s">
        <v>196</v>
      </c>
      <c r="F702" s="25" t="s">
        <v>161</v>
      </c>
      <c r="G702" s="25" t="s">
        <v>197</v>
      </c>
      <c r="H702" s="26">
        <v>13.091820971420452</v>
      </c>
      <c r="I702" s="26">
        <v>2.4368298358677611</v>
      </c>
      <c r="J702" s="27">
        <v>15.528650807288212</v>
      </c>
      <c r="K702" s="26">
        <v>1.8223407582889037</v>
      </c>
      <c r="L702" s="26">
        <v>7.9530002406347817</v>
      </c>
      <c r="M702" s="27">
        <v>9.775340998923685</v>
      </c>
      <c r="N702" s="26">
        <v>6.4976698901348344</v>
      </c>
      <c r="O702" s="26">
        <v>26.970054743194119</v>
      </c>
      <c r="P702" s="26">
        <v>5.1212022886817872</v>
      </c>
      <c r="Q702" s="26">
        <v>3.6283812833606826</v>
      </c>
      <c r="R702" s="26">
        <v>17.60436801730479</v>
      </c>
      <c r="S702" s="26">
        <v>16.927491673967118</v>
      </c>
      <c r="T702" s="26">
        <v>29.807411158728005</v>
      </c>
      <c r="U702" s="26">
        <v>5.5086744473451237</v>
      </c>
      <c r="V702" s="27">
        <v>112.06525350271647</v>
      </c>
      <c r="W702" s="27">
        <v>140.44293047635298</v>
      </c>
      <c r="X702" s="26">
        <v>13.936096901437342</v>
      </c>
      <c r="Y702" s="28">
        <v>154.38650725242766</v>
      </c>
      <c r="Z702" s="17" t="str">
        <f>SUBSTITUTE(SUBSTITUTE(SUBSTITUTE(SUBSTITUTE(IF(E702="","",VLOOKUP(E702,[1]Esquemas_NORM!$A$2:$H$126,8,FALSE)),"PROVINCIA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02" s="17" t="str">
        <f>IF($E702="","",INDEX([1]Esquemas_NORM!$H$2:$K$126,MATCH($E702,[1]Esquemas_NORM!$A$2:$A$126,0),MATCH(AA$4,[1]Esquemas_NORM!$H$1:$K$1,0)))</f>
        <v>A la fecha no ha conformado un EAT Región</v>
      </c>
      <c r="AB702" s="17" t="str">
        <f>IF($E702="","",INDEX([1]Esquemas_NORM!$H$2:$K$126,MATCH($E702,[1]Esquemas_NORM!$A$2:$A$126,0),MATCH(AB$4,[1]Esquemas_NORM!$H$1:$K$1,0)))</f>
        <v>A la fecha no ha conformado un EAT Área Metropolitana</v>
      </c>
      <c r="AC702" s="17" t="str">
        <f>IF($E702="","",INDEX([1]Esquemas_NORM!$H$2:$K$126,MATCH($E702,[1]Esquemas_NORM!$A$2:$A$126,0),MATCH(AC$4,[1]Esquemas_NORM!$H$1:$K$1,0)))</f>
        <v>ASOCIACION DE MUNICIPIOS DEL OCCIDENTE ANTIOQUEÑO - AMOCCIDENTE</v>
      </c>
      <c r="AD702" s="23"/>
    </row>
    <row r="703" spans="1:30" x14ac:dyDescent="0.25">
      <c r="A703" s="24">
        <v>2020</v>
      </c>
      <c r="B703" s="25" t="s">
        <v>36</v>
      </c>
      <c r="C703" s="25" t="s">
        <v>158</v>
      </c>
      <c r="D703" s="25" t="s">
        <v>159</v>
      </c>
      <c r="E703" s="25" t="s">
        <v>198</v>
      </c>
      <c r="F703" s="25" t="s">
        <v>161</v>
      </c>
      <c r="G703" s="25" t="s">
        <v>199</v>
      </c>
      <c r="H703" s="26">
        <v>30.715410398762639</v>
      </c>
      <c r="I703" s="26">
        <v>0.3264855706535269</v>
      </c>
      <c r="J703" s="27">
        <v>31.041895969416167</v>
      </c>
      <c r="K703" s="26">
        <v>0.77066645024901814</v>
      </c>
      <c r="L703" s="26">
        <v>4.7791743285477484</v>
      </c>
      <c r="M703" s="27">
        <v>5.5498407787967663</v>
      </c>
      <c r="N703" s="26">
        <v>2.2533954856367675</v>
      </c>
      <c r="O703" s="26">
        <v>6.9034525973537226</v>
      </c>
      <c r="P703" s="26">
        <v>1.9250090175336643</v>
      </c>
      <c r="Q703" s="26">
        <v>1.3359742180369338</v>
      </c>
      <c r="R703" s="26">
        <v>3.990962986973428</v>
      </c>
      <c r="S703" s="26">
        <v>5.6991399432542131</v>
      </c>
      <c r="T703" s="26">
        <v>11.512432016771335</v>
      </c>
      <c r="U703" s="26">
        <v>2.124056315747195</v>
      </c>
      <c r="V703" s="27">
        <v>35.744422581307262</v>
      </c>
      <c r="W703" s="27">
        <v>76.298594436240634</v>
      </c>
      <c r="X703" s="26">
        <v>7.5710795972506917</v>
      </c>
      <c r="Y703" s="28">
        <v>83.873737633698212</v>
      </c>
      <c r="Z703" s="17" t="str">
        <f>SUBSTITUTE(SUBSTITUTE(SUBSTITUTE(SUBSTITUTE(IF(E703="","",VLOOKUP(E703,[1]Esquemas_NORM!$A$2:$H$126,8,FALSE)),"PROVINCIA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703" s="17" t="str">
        <f>IF($E703="","",INDEX([1]Esquemas_NORM!$H$2:$K$126,MATCH($E703,[1]Esquemas_NORM!$A$2:$A$126,0),MATCH(AA$4,[1]Esquemas_NORM!$H$1:$K$1,0)))</f>
        <v>Región de Planeación y Gestión de Occidente</v>
      </c>
      <c r="AB703" s="17" t="str">
        <f>IF($E703="","",INDEX([1]Esquemas_NORM!$H$2:$K$126,MATCH($E703,[1]Esquemas_NORM!$A$2:$A$126,0),MATCH(AB$4,[1]Esquemas_NORM!$H$1:$K$1,0)))</f>
        <v>A la fecha no ha conformado un EAT Área Metropolitana</v>
      </c>
      <c r="AC703" s="17" t="str">
        <f>IF($E703="","",INDEX([1]Esquemas_NORM!$H$2:$K$126,MATCH($E703,[1]Esquemas_NORM!$A$2:$A$126,0),MATCH(AC$4,[1]Esquemas_NORM!$H$1:$K$1,0)))</f>
        <v>ASOCIACION DE MUNICIPIOS DEL OCCIDENTE ANTIOQUEÑO - AMOCCIDENTE</v>
      </c>
      <c r="AD703" s="23"/>
    </row>
    <row r="704" spans="1:30" x14ac:dyDescent="0.25">
      <c r="A704" s="24">
        <v>2020</v>
      </c>
      <c r="B704" s="25" t="s">
        <v>36</v>
      </c>
      <c r="C704" s="25" t="s">
        <v>200</v>
      </c>
      <c r="D704" s="25" t="s">
        <v>201</v>
      </c>
      <c r="E704" s="25" t="s">
        <v>202</v>
      </c>
      <c r="F704" s="25" t="s">
        <v>203</v>
      </c>
      <c r="G704" s="25" t="s">
        <v>204</v>
      </c>
      <c r="H704" s="26">
        <v>70.320542748030206</v>
      </c>
      <c r="I704" s="26">
        <v>0.26620274375660558</v>
      </c>
      <c r="J704" s="27">
        <v>70.586745491786814</v>
      </c>
      <c r="K704" s="26">
        <v>3.7426596423560885</v>
      </c>
      <c r="L704" s="26">
        <v>9.9438835743715615</v>
      </c>
      <c r="M704" s="27">
        <v>13.68654321672765</v>
      </c>
      <c r="N704" s="26">
        <v>6.4487382380490095</v>
      </c>
      <c r="O704" s="26">
        <v>13.179507761444599</v>
      </c>
      <c r="P704" s="26">
        <v>21.61914960912155</v>
      </c>
      <c r="Q704" s="26">
        <v>3.7750074288766018</v>
      </c>
      <c r="R704" s="26">
        <v>14.133944457052856</v>
      </c>
      <c r="S704" s="26">
        <v>17.771715059825897</v>
      </c>
      <c r="T704" s="26">
        <v>23.000486800744547</v>
      </c>
      <c r="U704" s="26">
        <v>4.4201076775758033</v>
      </c>
      <c r="V704" s="27">
        <v>104.34865703269085</v>
      </c>
      <c r="W704" s="27">
        <v>196.58563767061915</v>
      </c>
      <c r="X704" s="26">
        <v>19.507115713964204</v>
      </c>
      <c r="Y704" s="28">
        <v>216.10322337349746</v>
      </c>
      <c r="Z704" s="17" t="str">
        <f>SUBSTITUTE(SUBSTITUTE(SUBSTITUTE(SUBSTITUTE(IF(E704="","",VLOOKUP(E704,[1]Esquemas_NORM!$A$2:$H$126,8,FALSE)),"PROVINCIA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704" s="17" t="str">
        <f>IF($E704="","",INDEX([1]Esquemas_NORM!$H$2:$K$126,MATCH($E704,[1]Esquemas_NORM!$A$2:$A$126,0),MATCH(AA$4,[1]Esquemas_NORM!$H$1:$K$1,0)))</f>
        <v>A la fecha no ha conformado un EAT Región</v>
      </c>
      <c r="AB704" s="17" t="str">
        <f>IF($E704="","",INDEX([1]Esquemas_NORM!$H$2:$K$126,MATCH($E704,[1]Esquemas_NORM!$A$2:$A$126,0),MATCH(AB$4,[1]Esquemas_NORM!$H$1:$K$1,0)))</f>
        <v>A la fecha no ha conformado un EAT Área Metropolitana</v>
      </c>
      <c r="AC704" s="17" t="str">
        <f>IF($E704="","",INDEX([1]Esquemas_NORM!$H$2:$K$126,MATCH($E704,[1]Esquemas_NORM!$A$2:$A$126,0),MATCH(AC$4,[1]Esquemas_NORM!$H$1:$K$1,0)))</f>
        <v>MUNICIPIOS UNIDOS DEL SUR DE ANTIOQUIA - MUSA</v>
      </c>
      <c r="AD704" s="23"/>
    </row>
    <row r="705" spans="1:30" x14ac:dyDescent="0.25">
      <c r="A705" s="24">
        <v>2020</v>
      </c>
      <c r="B705" s="25" t="s">
        <v>36</v>
      </c>
      <c r="C705" s="25" t="s">
        <v>200</v>
      </c>
      <c r="D705" s="25" t="s">
        <v>205</v>
      </c>
      <c r="E705" s="25" t="s">
        <v>206</v>
      </c>
      <c r="F705" s="25" t="s">
        <v>203</v>
      </c>
      <c r="G705" s="25" t="s">
        <v>207</v>
      </c>
      <c r="H705" s="26">
        <v>5.8339248685698895</v>
      </c>
      <c r="I705" s="26">
        <v>0</v>
      </c>
      <c r="J705" s="27">
        <v>5.8339248685698895</v>
      </c>
      <c r="K705" s="26">
        <v>0.57846691146242901</v>
      </c>
      <c r="L705" s="26">
        <v>2.7633818258051073</v>
      </c>
      <c r="M705" s="27">
        <v>3.3418487372675365</v>
      </c>
      <c r="N705" s="26">
        <v>13.513260138724284</v>
      </c>
      <c r="O705" s="26">
        <v>4.2282614014228939</v>
      </c>
      <c r="P705" s="26">
        <v>0.7147621356467726</v>
      </c>
      <c r="Q705" s="26">
        <v>0.62605648806768754</v>
      </c>
      <c r="R705" s="26">
        <v>3.229382420720817</v>
      </c>
      <c r="S705" s="26">
        <v>3.4062749863331847</v>
      </c>
      <c r="T705" s="26">
        <v>5.9021990824306991</v>
      </c>
      <c r="U705" s="26">
        <v>0.79860219371364904</v>
      </c>
      <c r="V705" s="27">
        <v>32.418798847059989</v>
      </c>
      <c r="W705" s="27">
        <v>44.601188274463013</v>
      </c>
      <c r="X705" s="26">
        <v>4.4257584173431344</v>
      </c>
      <c r="Y705" s="28">
        <v>49.029322114305849</v>
      </c>
      <c r="Z705" s="17" t="str">
        <f>SUBSTITUTE(SUBSTITUTE(SUBSTITUTE(SUBSTITUTE(IF(E705="","",VLOOKUP(E705,[1]Esquemas_NORM!$A$2:$H$126,8,FALSE)),"PROVINCIA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05" s="17" t="str">
        <f>IF($E705="","",INDEX([1]Esquemas_NORM!$H$2:$K$126,MATCH($E705,[1]Esquemas_NORM!$A$2:$A$126,0),MATCH(AA$4,[1]Esquemas_NORM!$H$1:$K$1,0)))</f>
        <v>A la fecha no ha conformado un EAT Región</v>
      </c>
      <c r="AB705" s="17" t="str">
        <f>IF($E705="","",INDEX([1]Esquemas_NORM!$H$2:$K$126,MATCH($E705,[1]Esquemas_NORM!$A$2:$A$126,0),MATCH(AB$4,[1]Esquemas_NORM!$H$1:$K$1,0)))</f>
        <v>A la fecha no ha conformado un EAT Área Metropolitana</v>
      </c>
      <c r="AC705" s="17" t="str">
        <f>IF($E705="","",INDEX([1]Esquemas_NORM!$H$2:$K$126,MATCH($E705,[1]Esquemas_NORM!$A$2:$A$126,0),MATCH(AC$4,[1]Esquemas_NORM!$H$1:$K$1,0)))</f>
        <v>A la fecha no ha conformado un EAT asociación - unión</v>
      </c>
      <c r="AD705" s="23"/>
    </row>
    <row r="706" spans="1:30" x14ac:dyDescent="0.25">
      <c r="A706" s="24">
        <v>2020</v>
      </c>
      <c r="B706" s="25" t="s">
        <v>36</v>
      </c>
      <c r="C706" s="25" t="s">
        <v>200</v>
      </c>
      <c r="D706" s="25" t="s">
        <v>201</v>
      </c>
      <c r="E706" s="25" t="s">
        <v>208</v>
      </c>
      <c r="F706" s="25" t="s">
        <v>203</v>
      </c>
      <c r="G706" s="25" t="s">
        <v>209</v>
      </c>
      <c r="H706" s="26">
        <v>12.612075803174864</v>
      </c>
      <c r="I706" s="26">
        <v>0</v>
      </c>
      <c r="J706" s="27">
        <v>12.612075803174864</v>
      </c>
      <c r="K706" s="26">
        <v>1.508877967404276</v>
      </c>
      <c r="L706" s="26">
        <v>2.4193422215668847</v>
      </c>
      <c r="M706" s="27">
        <v>3.928220188971161</v>
      </c>
      <c r="N706" s="26">
        <v>1.0028258603885545</v>
      </c>
      <c r="O706" s="26">
        <v>5.2109253017683876</v>
      </c>
      <c r="P706" s="26">
        <v>2.1116806509440953</v>
      </c>
      <c r="Q706" s="26">
        <v>1.8195569709048471</v>
      </c>
      <c r="R706" s="26">
        <v>7.8562545445091825</v>
      </c>
      <c r="S706" s="26">
        <v>5.1624127308626981</v>
      </c>
      <c r="T706" s="26">
        <v>13.462316880518943</v>
      </c>
      <c r="U706" s="26">
        <v>1.4493186585682403</v>
      </c>
      <c r="V706" s="27">
        <v>38.075291598464943</v>
      </c>
      <c r="W706" s="27">
        <v>55.64304713131741</v>
      </c>
      <c r="X706" s="26">
        <v>5.5214377404663795</v>
      </c>
      <c r="Y706" s="28">
        <v>61.167448374578356</v>
      </c>
      <c r="Z706" s="17" t="str">
        <f>SUBSTITUTE(SUBSTITUTE(SUBSTITUTE(SUBSTITUTE(IF(E706="","",VLOOKUP(E706,[1]Esquemas_NORM!$A$2:$H$126,8,FALSE)),"PROVINCIA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706" s="17" t="str">
        <f>IF($E706="","",INDEX([1]Esquemas_NORM!$H$2:$K$126,MATCH($E706,[1]Esquemas_NORM!$A$2:$A$126,0),MATCH(AA$4,[1]Esquemas_NORM!$H$1:$K$1,0)))</f>
        <v>A la fecha no ha conformado un EAT Región</v>
      </c>
      <c r="AB706" s="17" t="str">
        <f>IF($E706="","",INDEX([1]Esquemas_NORM!$H$2:$K$126,MATCH($E706,[1]Esquemas_NORM!$A$2:$A$126,0),MATCH(AB$4,[1]Esquemas_NORM!$H$1:$K$1,0)))</f>
        <v>A la fecha no ha conformado un EAT Área Metropolitana</v>
      </c>
      <c r="AC706" s="17" t="str">
        <f>IF($E706="","",INDEX([1]Esquemas_NORM!$H$2:$K$126,MATCH($E706,[1]Esquemas_NORM!$A$2:$A$126,0),MATCH(AC$4,[1]Esquemas_NORM!$H$1:$K$1,0)))</f>
        <v>MUNICIPIOS UNIDOS DEL SUR DE ANTIOQUIA - MUSA</v>
      </c>
      <c r="AD706" s="23"/>
    </row>
    <row r="707" spans="1:30" x14ac:dyDescent="0.25">
      <c r="A707" s="24">
        <v>2020</v>
      </c>
      <c r="B707" s="25" t="s">
        <v>36</v>
      </c>
      <c r="C707" s="25" t="s">
        <v>200</v>
      </c>
      <c r="D707" s="25" t="s">
        <v>210</v>
      </c>
      <c r="E707" s="25" t="s">
        <v>211</v>
      </c>
      <c r="F707" s="25" t="s">
        <v>203</v>
      </c>
      <c r="G707" s="25" t="s">
        <v>212</v>
      </c>
      <c r="H707" s="26">
        <v>11.089051697285708</v>
      </c>
      <c r="I707" s="26">
        <v>0.21602468667455985</v>
      </c>
      <c r="J707" s="27">
        <v>11.305076383960268</v>
      </c>
      <c r="K707" s="26">
        <v>8.8022912029677443</v>
      </c>
      <c r="L707" s="26">
        <v>4.623996796561971</v>
      </c>
      <c r="M707" s="27">
        <v>13.426287999529716</v>
      </c>
      <c r="N707" s="26">
        <v>31.03140619338831</v>
      </c>
      <c r="O707" s="26">
        <v>11.971220412063373</v>
      </c>
      <c r="P707" s="26">
        <v>2.9057883221855278</v>
      </c>
      <c r="Q707" s="26">
        <v>2.6314061125255104</v>
      </c>
      <c r="R707" s="26">
        <v>13.352037225804002</v>
      </c>
      <c r="S707" s="26">
        <v>10.694958104939987</v>
      </c>
      <c r="T707" s="26">
        <v>16.128408083921023</v>
      </c>
      <c r="U707" s="26">
        <v>2.5853673730533977</v>
      </c>
      <c r="V707" s="27">
        <v>91.300591827881135</v>
      </c>
      <c r="W707" s="27">
        <v>121.78102584670295</v>
      </c>
      <c r="X707" s="26">
        <v>12.08428342530345</v>
      </c>
      <c r="Y707" s="28">
        <v>133.87179522899569</v>
      </c>
      <c r="Z707" s="17" t="str">
        <f>SUBSTITUTE(SUBSTITUTE(SUBSTITUTE(SUBSTITUTE(IF(E707="","",VLOOKUP(E707,[1]Esquemas_NORM!$A$2:$H$126,8,FALSE)),"PROVINCIA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07" s="17" t="str">
        <f>IF($E707="","",INDEX([1]Esquemas_NORM!$H$2:$K$126,MATCH($E707,[1]Esquemas_NORM!$A$2:$A$126,0),MATCH(AA$4,[1]Esquemas_NORM!$H$1:$K$1,0)))</f>
        <v>A la fecha no ha conformado un EAT Región</v>
      </c>
      <c r="AB707" s="17" t="str">
        <f>IF($E707="","",INDEX([1]Esquemas_NORM!$H$2:$K$126,MATCH($E707,[1]Esquemas_NORM!$A$2:$A$126,0),MATCH(AB$4,[1]Esquemas_NORM!$H$1:$K$1,0)))</f>
        <v>A la fecha no ha conformado un EAT Área Metropolitana</v>
      </c>
      <c r="AC707" s="17" t="str">
        <f>IF($E707="","",INDEX([1]Esquemas_NORM!$H$2:$K$126,MATCH($E707,[1]Esquemas_NORM!$A$2:$A$126,0),MATCH(AC$4,[1]Esquemas_NORM!$H$1:$K$1,0)))</f>
        <v>A la fecha no ha conformado un EAT asociación - unión</v>
      </c>
      <c r="AD707" s="23"/>
    </row>
    <row r="708" spans="1:30" x14ac:dyDescent="0.25">
      <c r="A708" s="24">
        <v>2020</v>
      </c>
      <c r="B708" s="25" t="s">
        <v>36</v>
      </c>
      <c r="C708" s="25" t="s">
        <v>200</v>
      </c>
      <c r="D708" s="25" t="s">
        <v>205</v>
      </c>
      <c r="E708" s="25" t="s">
        <v>213</v>
      </c>
      <c r="F708" s="25" t="s">
        <v>203</v>
      </c>
      <c r="G708" s="25" t="s">
        <v>214</v>
      </c>
      <c r="H708" s="26">
        <v>12.367140814906374</v>
      </c>
      <c r="I708" s="26">
        <v>5.3871336448905321E-2</v>
      </c>
      <c r="J708" s="27">
        <v>12.42101215135528</v>
      </c>
      <c r="K708" s="26">
        <v>1.6161540303617998</v>
      </c>
      <c r="L708" s="26">
        <v>2.3369525041717227</v>
      </c>
      <c r="M708" s="27">
        <v>3.9531065345335223</v>
      </c>
      <c r="N708" s="26">
        <v>8.4009851379791858</v>
      </c>
      <c r="O708" s="26">
        <v>2.5845333132355348</v>
      </c>
      <c r="P708" s="26">
        <v>0.7224978258313447</v>
      </c>
      <c r="Q708" s="26">
        <v>0.56771079826499515</v>
      </c>
      <c r="R708" s="26">
        <v>3.8934683001010155</v>
      </c>
      <c r="S708" s="26">
        <v>2.6680031302072433</v>
      </c>
      <c r="T708" s="26">
        <v>4.9775891592866905</v>
      </c>
      <c r="U708" s="26">
        <v>0.85660378937138426</v>
      </c>
      <c r="V708" s="27">
        <v>24.671391454277394</v>
      </c>
      <c r="W708" s="27">
        <v>43.754484029543612</v>
      </c>
      <c r="X708" s="26">
        <v>4.3417402872479354</v>
      </c>
      <c r="Y708" s="28">
        <v>48.098554644521379</v>
      </c>
      <c r="Z708" s="17" t="str">
        <f>SUBSTITUTE(SUBSTITUTE(SUBSTITUTE(SUBSTITUTE(IF(E708="","",VLOOKUP(E708,[1]Esquemas_NORM!$A$2:$H$126,8,FALSE)),"PROVINCIA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08" s="17" t="str">
        <f>IF($E708="","",INDEX([1]Esquemas_NORM!$H$2:$K$126,MATCH($E708,[1]Esquemas_NORM!$A$2:$A$126,0),MATCH(AA$4,[1]Esquemas_NORM!$H$1:$K$1,0)))</f>
        <v>A la fecha no ha conformado un EAT Región</v>
      </c>
      <c r="AB708" s="17" t="str">
        <f>IF($E708="","",INDEX([1]Esquemas_NORM!$H$2:$K$126,MATCH($E708,[1]Esquemas_NORM!$A$2:$A$126,0),MATCH(AB$4,[1]Esquemas_NORM!$H$1:$K$1,0)))</f>
        <v>A la fecha no ha conformado un EAT Área Metropolitana</v>
      </c>
      <c r="AC708" s="17" t="str">
        <f>IF($E708="","",INDEX([1]Esquemas_NORM!$H$2:$K$126,MATCH($E708,[1]Esquemas_NORM!$A$2:$A$126,0),MATCH(AC$4,[1]Esquemas_NORM!$H$1:$K$1,0)))</f>
        <v>A la fecha no ha conformado un EAT asociación - unión</v>
      </c>
      <c r="AD708" s="23"/>
    </row>
    <row r="709" spans="1:30" x14ac:dyDescent="0.25">
      <c r="A709" s="24">
        <v>2020</v>
      </c>
      <c r="B709" s="25" t="s">
        <v>36</v>
      </c>
      <c r="C709" s="25" t="s">
        <v>200</v>
      </c>
      <c r="D709" s="25" t="s">
        <v>215</v>
      </c>
      <c r="E709" s="25" t="s">
        <v>216</v>
      </c>
      <c r="F709" s="25" t="s">
        <v>203</v>
      </c>
      <c r="G709" s="25" t="s">
        <v>217</v>
      </c>
      <c r="H709" s="26">
        <v>106.75184555482981</v>
      </c>
      <c r="I709" s="26">
        <v>0</v>
      </c>
      <c r="J709" s="27">
        <v>106.75184555482981</v>
      </c>
      <c r="K709" s="26">
        <v>24.113064587688491</v>
      </c>
      <c r="L709" s="26">
        <v>20.48740842744953</v>
      </c>
      <c r="M709" s="27">
        <v>44.600473015138022</v>
      </c>
      <c r="N709" s="26">
        <v>22.276522504681267</v>
      </c>
      <c r="O709" s="26">
        <v>119.47140493554441</v>
      </c>
      <c r="P709" s="26">
        <v>23.273356309693099</v>
      </c>
      <c r="Q709" s="26">
        <v>22.923352263633749</v>
      </c>
      <c r="R709" s="26">
        <v>85.312976636482304</v>
      </c>
      <c r="S709" s="26">
        <v>63.841129057693642</v>
      </c>
      <c r="T709" s="26">
        <v>64.129906465989677</v>
      </c>
      <c r="U709" s="26">
        <v>23.067935510829816</v>
      </c>
      <c r="V709" s="27">
        <v>424.29658368454801</v>
      </c>
      <c r="W709" s="27">
        <v>588.32535534036219</v>
      </c>
      <c r="X709" s="26">
        <v>58.37929423566856</v>
      </c>
      <c r="Y709" s="28">
        <v>646.73598329919378</v>
      </c>
      <c r="Z709" s="17" t="str">
        <f>SUBSTITUTE(SUBSTITUTE(SUBSTITUTE(SUBSTITUTE(IF(E709="","",VLOOKUP(E709,[1]Esquemas_NORM!$A$2:$H$126,8,FALSE)),"PROVINCIA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09" s="17" t="str">
        <f>IF($E709="","",INDEX([1]Esquemas_NORM!$H$2:$K$126,MATCH($E709,[1]Esquemas_NORM!$A$2:$A$126,0),MATCH(AA$4,[1]Esquemas_NORM!$H$1:$K$1,0)))</f>
        <v>A la fecha no ha conformado un EAT Región</v>
      </c>
      <c r="AB709" s="17" t="str">
        <f>IF($E709="","",INDEX([1]Esquemas_NORM!$H$2:$K$126,MATCH($E709,[1]Esquemas_NORM!$A$2:$A$126,0),MATCH(AB$4,[1]Esquemas_NORM!$H$1:$K$1,0)))</f>
        <v>A la fecha no ha conformado un EAT Área Metropolitana</v>
      </c>
      <c r="AC709" s="17" t="str">
        <f>IF($E709="","",INDEX([1]Esquemas_NORM!$H$2:$K$126,MATCH($E709,[1]Esquemas_NORM!$A$2:$A$126,0),MATCH(AC$4,[1]Esquemas_NORM!$H$1:$K$1,0)))</f>
        <v>MUNICIPIOS ASOCIADOS DEL ALTIPLANO DEL ORIENTE ANTIOQUEÑO - MASORA</v>
      </c>
      <c r="AD709" s="23"/>
    </row>
    <row r="710" spans="1:30" x14ac:dyDescent="0.25">
      <c r="A710" s="24">
        <v>2020</v>
      </c>
      <c r="B710" s="25" t="s">
        <v>36</v>
      </c>
      <c r="C710" s="25" t="s">
        <v>200</v>
      </c>
      <c r="D710" s="25" t="s">
        <v>205</v>
      </c>
      <c r="E710" s="25" t="s">
        <v>218</v>
      </c>
      <c r="F710" s="25" t="s">
        <v>203</v>
      </c>
      <c r="G710" s="25" t="s">
        <v>219</v>
      </c>
      <c r="H710" s="26">
        <v>223.81698747352681</v>
      </c>
      <c r="I710" s="26">
        <v>3.5338664323979439E-3</v>
      </c>
      <c r="J710" s="27">
        <v>223.82052133995921</v>
      </c>
      <c r="K710" s="26">
        <v>4.5221617480343079</v>
      </c>
      <c r="L710" s="26">
        <v>24.246204198899409</v>
      </c>
      <c r="M710" s="27">
        <v>28.768365946933717</v>
      </c>
      <c r="N710" s="26">
        <v>4.4887774250058223</v>
      </c>
      <c r="O710" s="26">
        <v>33.413873212936323</v>
      </c>
      <c r="P710" s="26">
        <v>5.6611557787969389</v>
      </c>
      <c r="Q710" s="26">
        <v>4.6251761335407666</v>
      </c>
      <c r="R710" s="26">
        <v>27.45798174105591</v>
      </c>
      <c r="S710" s="26">
        <v>16.452136947239957</v>
      </c>
      <c r="T710" s="26">
        <v>25.582018508632359</v>
      </c>
      <c r="U710" s="26">
        <v>6.4203289050618917</v>
      </c>
      <c r="V710" s="27">
        <v>124.10144865226997</v>
      </c>
      <c r="W710" s="27">
        <v>403.74076832534286</v>
      </c>
      <c r="X710" s="26">
        <v>40.063038070801888</v>
      </c>
      <c r="Y710" s="28">
        <v>443.82530929645003</v>
      </c>
      <c r="Z710" s="17" t="str">
        <f>SUBSTITUTE(SUBSTITUTE(SUBSTITUTE(SUBSTITUTE(IF(E710="","",VLOOKUP(E710,[1]Esquemas_NORM!$A$2:$H$126,8,FALSE)),"PROVINCIA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10" s="17" t="str">
        <f>IF($E710="","",INDEX([1]Esquemas_NORM!$H$2:$K$126,MATCH($E710,[1]Esquemas_NORM!$A$2:$A$126,0),MATCH(AA$4,[1]Esquemas_NORM!$H$1:$K$1,0)))</f>
        <v>A la fecha no ha conformado un EAT Región</v>
      </c>
      <c r="AB710" s="17" t="str">
        <f>IF($E710="","",INDEX([1]Esquemas_NORM!$H$2:$K$126,MATCH($E710,[1]Esquemas_NORM!$A$2:$A$126,0),MATCH(AB$4,[1]Esquemas_NORM!$H$1:$K$1,0)))</f>
        <v>A la fecha no ha conformado un EAT Área Metropolitana</v>
      </c>
      <c r="AC710" s="17" t="str">
        <f>IF($E710="","",INDEX([1]Esquemas_NORM!$H$2:$K$126,MATCH($E710,[1]Esquemas_NORM!$A$2:$A$126,0),MATCH(AC$4,[1]Esquemas_NORM!$H$1:$K$1,0)))</f>
        <v>A la fecha no ha conformado un EAT asociación - unión</v>
      </c>
      <c r="AD710" s="23"/>
    </row>
    <row r="711" spans="1:30" x14ac:dyDescent="0.25">
      <c r="A711" s="24">
        <v>2020</v>
      </c>
      <c r="B711" s="25" t="s">
        <v>36</v>
      </c>
      <c r="C711" s="25" t="s">
        <v>200</v>
      </c>
      <c r="D711" s="25" t="s">
        <v>215</v>
      </c>
      <c r="E711" s="25" t="s">
        <v>220</v>
      </c>
      <c r="F711" s="25" t="s">
        <v>203</v>
      </c>
      <c r="G711" s="25" t="s">
        <v>221</v>
      </c>
      <c r="H711" s="26">
        <v>52.617977285145535</v>
      </c>
      <c r="I711" s="26">
        <v>0.7789722774976765</v>
      </c>
      <c r="J711" s="27">
        <v>53.396949562643215</v>
      </c>
      <c r="K711" s="26">
        <v>16.270591832223513</v>
      </c>
      <c r="L711" s="26">
        <v>23.217107986646678</v>
      </c>
      <c r="M711" s="27">
        <v>39.48769981887019</v>
      </c>
      <c r="N711" s="26">
        <v>26.715083645575607</v>
      </c>
      <c r="O711" s="26">
        <v>87.444122536419925</v>
      </c>
      <c r="P711" s="26">
        <v>22.484160363991062</v>
      </c>
      <c r="Q711" s="26">
        <v>12.506378728313043</v>
      </c>
      <c r="R711" s="26">
        <v>75.23837198389765</v>
      </c>
      <c r="S711" s="26">
        <v>47.966483531791894</v>
      </c>
      <c r="T711" s="26">
        <v>59.701454825919811</v>
      </c>
      <c r="U711" s="26">
        <v>13.188979395268664</v>
      </c>
      <c r="V711" s="27">
        <v>345.24503501117772</v>
      </c>
      <c r="W711" s="27">
        <v>445.54521192085235</v>
      </c>
      <c r="X711" s="26">
        <v>44.2112766106588</v>
      </c>
      <c r="Y711" s="28">
        <v>489.78021790200387</v>
      </c>
      <c r="Z711" s="17" t="str">
        <f>SUBSTITUTE(SUBSTITUTE(SUBSTITUTE(SUBSTITUTE(IF(E711="","",VLOOKUP(E711,[1]Esquemas_NORM!$A$2:$H$126,8,FALSE)),"PROVINCIA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11" s="17" t="str">
        <f>IF($E711="","",INDEX([1]Esquemas_NORM!$H$2:$K$126,MATCH($E711,[1]Esquemas_NORM!$A$2:$A$126,0),MATCH(AA$4,[1]Esquemas_NORM!$H$1:$K$1,0)))</f>
        <v>A la fecha no ha conformado un EAT Región</v>
      </c>
      <c r="AB711" s="17" t="str">
        <f>IF($E711="","",INDEX([1]Esquemas_NORM!$H$2:$K$126,MATCH($E711,[1]Esquemas_NORM!$A$2:$A$126,0),MATCH(AB$4,[1]Esquemas_NORM!$H$1:$K$1,0)))</f>
        <v>A la fecha no ha conformado un EAT Área Metropolitana</v>
      </c>
      <c r="AC711" s="17" t="str">
        <f>IF($E711="","",INDEX([1]Esquemas_NORM!$H$2:$K$126,MATCH($E711,[1]Esquemas_NORM!$A$2:$A$126,0),MATCH(AC$4,[1]Esquemas_NORM!$H$1:$K$1,0)))</f>
        <v>MUNICIPIOS ASOCIADOS DEL ALTIPLANO DEL ORIENTE ANTIOQUEÑO - MASORA</v>
      </c>
      <c r="AD711" s="23"/>
    </row>
    <row r="712" spans="1:30" x14ac:dyDescent="0.25">
      <c r="A712" s="24">
        <v>2020</v>
      </c>
      <c r="B712" s="25" t="s">
        <v>36</v>
      </c>
      <c r="C712" s="25" t="s">
        <v>200</v>
      </c>
      <c r="D712" s="25" t="s">
        <v>215</v>
      </c>
      <c r="E712" s="25" t="s">
        <v>222</v>
      </c>
      <c r="F712" s="25" t="s">
        <v>203</v>
      </c>
      <c r="G712" s="25" t="s">
        <v>223</v>
      </c>
      <c r="H712" s="26">
        <v>95.806233569609489</v>
      </c>
      <c r="I712" s="26">
        <v>0</v>
      </c>
      <c r="J712" s="27">
        <v>95.806233569609489</v>
      </c>
      <c r="K712" s="26">
        <v>24.285394885121764</v>
      </c>
      <c r="L712" s="26">
        <v>13.967230409093837</v>
      </c>
      <c r="M712" s="27">
        <v>38.252625294215605</v>
      </c>
      <c r="N712" s="26">
        <v>10.426695024089351</v>
      </c>
      <c r="O712" s="26">
        <v>65.151943170361534</v>
      </c>
      <c r="P712" s="26">
        <v>10.423491314759836</v>
      </c>
      <c r="Q712" s="26">
        <v>12.912208370926294</v>
      </c>
      <c r="R712" s="26">
        <v>49.637203931830364</v>
      </c>
      <c r="S712" s="26">
        <v>35.034660557691083</v>
      </c>
      <c r="T712" s="26">
        <v>52.467671120108015</v>
      </c>
      <c r="U712" s="26">
        <v>9.6377452829385213</v>
      </c>
      <c r="V712" s="27">
        <v>245.69161877270497</v>
      </c>
      <c r="W712" s="27">
        <v>389.82427614277611</v>
      </c>
      <c r="X712" s="26">
        <v>38.68211001033994</v>
      </c>
      <c r="Y712" s="28">
        <v>428.52714787252819</v>
      </c>
      <c r="Z712" s="17" t="str">
        <f>SUBSTITUTE(SUBSTITUTE(SUBSTITUTE(SUBSTITUTE(IF(E712="","",VLOOKUP(E712,[1]Esquemas_NORM!$A$2:$H$126,8,FALSE)),"PROVINCIA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12" s="17" t="str">
        <f>IF($E712="","",INDEX([1]Esquemas_NORM!$H$2:$K$126,MATCH($E712,[1]Esquemas_NORM!$A$2:$A$126,0),MATCH(AA$4,[1]Esquemas_NORM!$H$1:$K$1,0)))</f>
        <v>Región de Planeación y Gestión Aeroportuaria de Oriente</v>
      </c>
      <c r="AB712" s="17" t="str">
        <f>IF($E712="","",INDEX([1]Esquemas_NORM!$H$2:$K$126,MATCH($E712,[1]Esquemas_NORM!$A$2:$A$126,0),MATCH(AB$4,[1]Esquemas_NORM!$H$1:$K$1,0)))</f>
        <v>A la fecha no ha conformado un EAT Área Metropolitana</v>
      </c>
      <c r="AC712" s="17" t="str">
        <f>IF($E712="","",INDEX([1]Esquemas_NORM!$H$2:$K$126,MATCH($E712,[1]Esquemas_NORM!$A$2:$A$126,0),MATCH(AC$4,[1]Esquemas_NORM!$H$1:$K$1,0)))</f>
        <v>MUNICIPIOS ASOCIADOS DEL ALTIPLANO DEL ORIENTE ANTIOQUEÑO - MASORA</v>
      </c>
      <c r="AD712" s="23"/>
    </row>
    <row r="713" spans="1:30" x14ac:dyDescent="0.25">
      <c r="A713" s="24">
        <v>2020</v>
      </c>
      <c r="B713" s="25" t="s">
        <v>36</v>
      </c>
      <c r="C713" s="25" t="s">
        <v>200</v>
      </c>
      <c r="D713" s="25" t="s">
        <v>205</v>
      </c>
      <c r="E713" s="25" t="s">
        <v>224</v>
      </c>
      <c r="F713" s="25" t="s">
        <v>203</v>
      </c>
      <c r="G713" s="25" t="s">
        <v>225</v>
      </c>
      <c r="H713" s="26">
        <v>11.739025041072905</v>
      </c>
      <c r="I713" s="26">
        <v>0</v>
      </c>
      <c r="J713" s="27">
        <v>11.739025041072905</v>
      </c>
      <c r="K713" s="26">
        <v>1.0027437393472907</v>
      </c>
      <c r="L713" s="26">
        <v>3.9716895303266866</v>
      </c>
      <c r="M713" s="27">
        <v>4.9744332696739768</v>
      </c>
      <c r="N713" s="26">
        <v>5.7233317975684024</v>
      </c>
      <c r="O713" s="26">
        <v>7.1207862942126301</v>
      </c>
      <c r="P713" s="26">
        <v>2.7709540398445638</v>
      </c>
      <c r="Q713" s="26">
        <v>2.3901355856134248</v>
      </c>
      <c r="R713" s="26">
        <v>13.937666762398967</v>
      </c>
      <c r="S713" s="26">
        <v>6.301462524749903</v>
      </c>
      <c r="T713" s="26">
        <v>13.78682450481479</v>
      </c>
      <c r="U713" s="26">
        <v>2.6172346279364165</v>
      </c>
      <c r="V713" s="27">
        <v>54.648396137139095</v>
      </c>
      <c r="W713" s="27">
        <v>72.800682328948128</v>
      </c>
      <c r="X713" s="26">
        <v>7.2239831509221402</v>
      </c>
      <c r="Y713" s="28">
        <v>80.028542784163662</v>
      </c>
      <c r="Z713" s="17" t="str">
        <f>SUBSTITUTE(SUBSTITUTE(SUBSTITUTE(SUBSTITUTE(IF(E713="","",VLOOKUP(E713,[1]Esquemas_NORM!$A$2:$H$126,8,FALSE)),"PROVINCIA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13" s="17" t="str">
        <f>IF($E713="","",INDEX([1]Esquemas_NORM!$H$2:$K$126,MATCH($E713,[1]Esquemas_NORM!$A$2:$A$126,0),MATCH(AA$4,[1]Esquemas_NORM!$H$1:$K$1,0)))</f>
        <v>A la fecha no ha conformado un EAT Región</v>
      </c>
      <c r="AB713" s="17" t="str">
        <f>IF($E713="","",INDEX([1]Esquemas_NORM!$H$2:$K$126,MATCH($E713,[1]Esquemas_NORM!$A$2:$A$126,0),MATCH(AB$4,[1]Esquemas_NORM!$H$1:$K$1,0)))</f>
        <v>A la fecha no ha conformado un EAT Área Metropolitana</v>
      </c>
      <c r="AC713" s="17" t="str">
        <f>IF($E713="","",INDEX([1]Esquemas_NORM!$H$2:$K$126,MATCH($E713,[1]Esquemas_NORM!$A$2:$A$126,0),MATCH(AC$4,[1]Esquemas_NORM!$H$1:$K$1,0)))</f>
        <v>A la fecha no ha conformado un EAT asociación - unión</v>
      </c>
      <c r="AD713" s="23"/>
    </row>
    <row r="714" spans="1:30" x14ac:dyDescent="0.25">
      <c r="A714" s="24">
        <v>2020</v>
      </c>
      <c r="B714" s="25" t="s">
        <v>36</v>
      </c>
      <c r="C714" s="25" t="s">
        <v>200</v>
      </c>
      <c r="D714" s="25" t="s">
        <v>215</v>
      </c>
      <c r="E714" s="25" t="s">
        <v>226</v>
      </c>
      <c r="F714" s="25" t="s">
        <v>203</v>
      </c>
      <c r="G714" s="25" t="s">
        <v>227</v>
      </c>
      <c r="H714" s="26">
        <v>68.691977278193818</v>
      </c>
      <c r="I714" s="26">
        <v>0</v>
      </c>
      <c r="J714" s="27">
        <v>68.691977278193818</v>
      </c>
      <c r="K714" s="26">
        <v>461.56271235945218</v>
      </c>
      <c r="L714" s="26">
        <v>106.48266488583236</v>
      </c>
      <c r="M714" s="27">
        <v>568.0453772452845</v>
      </c>
      <c r="N714" s="26">
        <v>30.120224578856252</v>
      </c>
      <c r="O714" s="26">
        <v>117.6830412028993</v>
      </c>
      <c r="P714" s="26">
        <v>22.034697824859254</v>
      </c>
      <c r="Q714" s="26">
        <v>17.05813485795807</v>
      </c>
      <c r="R714" s="26">
        <v>90.35606678879013</v>
      </c>
      <c r="S714" s="26">
        <v>67.972558358779764</v>
      </c>
      <c r="T714" s="26">
        <v>56.157352836064256</v>
      </c>
      <c r="U714" s="26">
        <v>17.006582976058748</v>
      </c>
      <c r="V714" s="27">
        <v>418.38865942426571</v>
      </c>
      <c r="W714" s="27">
        <v>1014.9074300387338</v>
      </c>
      <c r="X714" s="26">
        <v>100.70886617814766</v>
      </c>
      <c r="Y714" s="28">
        <v>1115.6703493494911</v>
      </c>
      <c r="Z714" s="17" t="str">
        <f>SUBSTITUTE(SUBSTITUTE(SUBSTITUTE(SUBSTITUTE(IF(E714="","",VLOOKUP(E714,[1]Esquemas_NORM!$A$2:$H$126,8,FALSE)),"PROVINCIA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14" s="17" t="str">
        <f>IF($E714="","",INDEX([1]Esquemas_NORM!$H$2:$K$126,MATCH($E714,[1]Esquemas_NORM!$A$2:$A$126,0),MATCH(AA$4,[1]Esquemas_NORM!$H$1:$K$1,0)))</f>
        <v>A la fecha no ha conformado un EAT Región</v>
      </c>
      <c r="AB714" s="17" t="str">
        <f>IF($E714="","",INDEX([1]Esquemas_NORM!$H$2:$K$126,MATCH($E714,[1]Esquemas_NORM!$A$2:$A$126,0),MATCH(AB$4,[1]Esquemas_NORM!$H$1:$K$1,0)))</f>
        <v>A la fecha no ha conformado un EAT Área Metropolitana</v>
      </c>
      <c r="AC714" s="17" t="str">
        <f>IF($E714="","",INDEX([1]Esquemas_NORM!$H$2:$K$126,MATCH($E714,[1]Esquemas_NORM!$A$2:$A$126,0),MATCH(AC$4,[1]Esquemas_NORM!$H$1:$K$1,0)))</f>
        <v>MUNICIPIOS ASOCIADOS DEL ALTIPLANO DEL ORIENTE ANTIOQUEÑO - MASORA</v>
      </c>
      <c r="AD714" s="23"/>
    </row>
    <row r="715" spans="1:30" x14ac:dyDescent="0.25">
      <c r="A715" s="24">
        <v>2020</v>
      </c>
      <c r="B715" s="25" t="s">
        <v>36</v>
      </c>
      <c r="C715" s="25" t="s">
        <v>200</v>
      </c>
      <c r="D715" s="25" t="s">
        <v>205</v>
      </c>
      <c r="E715" s="25" t="s">
        <v>228</v>
      </c>
      <c r="F715" s="25" t="s">
        <v>203</v>
      </c>
      <c r="G715" s="25" t="s">
        <v>229</v>
      </c>
      <c r="H715" s="26">
        <v>3.2830296245170985</v>
      </c>
      <c r="I715" s="26">
        <v>0</v>
      </c>
      <c r="J715" s="27">
        <v>3.2830296245170985</v>
      </c>
      <c r="K715" s="26">
        <v>5.9434523704369502</v>
      </c>
      <c r="L715" s="26">
        <v>15.316613322788882</v>
      </c>
      <c r="M715" s="27">
        <v>21.260065693225833</v>
      </c>
      <c r="N715" s="26">
        <v>11.887008146721934</v>
      </c>
      <c r="O715" s="26">
        <v>107.57481933379358</v>
      </c>
      <c r="P715" s="26">
        <v>10.599604295526651</v>
      </c>
      <c r="Q715" s="26">
        <v>7.5941916259082216</v>
      </c>
      <c r="R715" s="26">
        <v>54.071762890168735</v>
      </c>
      <c r="S715" s="26">
        <v>35.263205668515816</v>
      </c>
      <c r="T715" s="26">
        <v>49.55856085491763</v>
      </c>
      <c r="U715" s="26">
        <v>10.843362098864638</v>
      </c>
      <c r="V715" s="27">
        <v>287.39251491441723</v>
      </c>
      <c r="W715" s="27">
        <v>314.73689186322343</v>
      </c>
      <c r="X715" s="26">
        <v>31.231218321819558</v>
      </c>
      <c r="Y715" s="28">
        <v>345.98487281230302</v>
      </c>
      <c r="Z715" s="17" t="str">
        <f>SUBSTITUTE(SUBSTITUTE(SUBSTITUTE(SUBSTITUTE(IF(E715="","",VLOOKUP(E715,[1]Esquemas_NORM!$A$2:$H$126,8,FALSE)),"PROVINCIA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15" s="17" t="str">
        <f>IF($E715="","",INDEX([1]Esquemas_NORM!$H$2:$K$126,MATCH($E715,[1]Esquemas_NORM!$A$2:$A$126,0),MATCH(AA$4,[1]Esquemas_NORM!$H$1:$K$1,0)))</f>
        <v>A la fecha no ha conformado un EAT Región</v>
      </c>
      <c r="AB715" s="17" t="str">
        <f>IF($E715="","",INDEX([1]Esquemas_NORM!$H$2:$K$126,MATCH($E715,[1]Esquemas_NORM!$A$2:$A$126,0),MATCH(AB$4,[1]Esquemas_NORM!$H$1:$K$1,0)))</f>
        <v>A la fecha no ha conformado un EAT Área Metropolitana</v>
      </c>
      <c r="AC715" s="17" t="str">
        <f>IF($E715="","",INDEX([1]Esquemas_NORM!$H$2:$K$126,MATCH($E715,[1]Esquemas_NORM!$A$2:$A$126,0),MATCH(AC$4,[1]Esquemas_NORM!$H$1:$K$1,0)))</f>
        <v>A la fecha no ha conformado un EAT asociación - unión</v>
      </c>
      <c r="AD715" s="23"/>
    </row>
    <row r="716" spans="1:30" x14ac:dyDescent="0.25">
      <c r="A716" s="24">
        <v>2020</v>
      </c>
      <c r="B716" s="25" t="s">
        <v>36</v>
      </c>
      <c r="C716" s="25" t="s">
        <v>200</v>
      </c>
      <c r="D716" s="25" t="s">
        <v>215</v>
      </c>
      <c r="E716" s="25" t="s">
        <v>230</v>
      </c>
      <c r="F716" s="25" t="s">
        <v>203</v>
      </c>
      <c r="G716" s="25" t="s">
        <v>231</v>
      </c>
      <c r="H716" s="26">
        <v>42.915295442416088</v>
      </c>
      <c r="I716" s="26">
        <v>0.20965556966233753</v>
      </c>
      <c r="J716" s="27">
        <v>43.124951012078427</v>
      </c>
      <c r="K716" s="26">
        <v>42.530926663022598</v>
      </c>
      <c r="L716" s="26">
        <v>34.453311570978236</v>
      </c>
      <c r="M716" s="27">
        <v>76.984238234000827</v>
      </c>
      <c r="N716" s="26">
        <v>38.699147270536912</v>
      </c>
      <c r="O716" s="26">
        <v>131.58484452865022</v>
      </c>
      <c r="P716" s="26">
        <v>38.793120252381833</v>
      </c>
      <c r="Q716" s="26">
        <v>41.912915585129554</v>
      </c>
      <c r="R716" s="26">
        <v>125.16878140729591</v>
      </c>
      <c r="S716" s="26">
        <v>85.316454974396805</v>
      </c>
      <c r="T716" s="26">
        <v>86.499178125734886</v>
      </c>
      <c r="U716" s="26">
        <v>26.191695712376923</v>
      </c>
      <c r="V716" s="27">
        <v>574.16613785650316</v>
      </c>
      <c r="W716" s="27">
        <v>695.41587433218217</v>
      </c>
      <c r="X716" s="26">
        <v>69.00584442819995</v>
      </c>
      <c r="Y716" s="28">
        <v>764.45875603625723</v>
      </c>
      <c r="Z716" s="17" t="str">
        <f>SUBSTITUTE(SUBSTITUTE(SUBSTITUTE(SUBSTITUTE(IF(E716="","",VLOOKUP(E716,[1]Esquemas_NORM!$A$2:$H$126,8,FALSE)),"PROVINCIA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16" s="17" t="str">
        <f>IF($E716="","",INDEX([1]Esquemas_NORM!$H$2:$K$126,MATCH($E716,[1]Esquemas_NORM!$A$2:$A$126,0),MATCH(AA$4,[1]Esquemas_NORM!$H$1:$K$1,0)))</f>
        <v>Región de Planeación y Gestión Aeroportuaria de Oriente</v>
      </c>
      <c r="AB716" s="17" t="str">
        <f>IF($E716="","",INDEX([1]Esquemas_NORM!$H$2:$K$126,MATCH($E716,[1]Esquemas_NORM!$A$2:$A$126,0),MATCH(AB$4,[1]Esquemas_NORM!$H$1:$K$1,0)))</f>
        <v>A la fecha no ha conformado un EAT Área Metropolitana</v>
      </c>
      <c r="AC716" s="17" t="str">
        <f>IF($E716="","",INDEX([1]Esquemas_NORM!$H$2:$K$126,MATCH($E716,[1]Esquemas_NORM!$A$2:$A$126,0),MATCH(AC$4,[1]Esquemas_NORM!$H$1:$K$1,0)))</f>
        <v>MUNICIPIOS ASOCIADOS DEL ALTIPLANO DEL ORIENTE ANTIOQUEÑO - MASORA</v>
      </c>
      <c r="AD716" s="23"/>
    </row>
    <row r="717" spans="1:30" x14ac:dyDescent="0.25">
      <c r="A717" s="24">
        <v>2020</v>
      </c>
      <c r="B717" s="25" t="s">
        <v>36</v>
      </c>
      <c r="C717" s="25" t="s">
        <v>200</v>
      </c>
      <c r="D717" s="25" t="s">
        <v>215</v>
      </c>
      <c r="E717" s="25" t="s">
        <v>232</v>
      </c>
      <c r="F717" s="25" t="s">
        <v>203</v>
      </c>
      <c r="G717" s="25" t="s">
        <v>233</v>
      </c>
      <c r="H717" s="26">
        <v>36.082356623063781</v>
      </c>
      <c r="I717" s="26">
        <v>0.18032851377577097</v>
      </c>
      <c r="J717" s="27">
        <v>36.262685136839551</v>
      </c>
      <c r="K717" s="26">
        <v>23.013566128748497</v>
      </c>
      <c r="L717" s="26">
        <v>7.4387954720456628</v>
      </c>
      <c r="M717" s="27">
        <v>30.452361600794159</v>
      </c>
      <c r="N717" s="26">
        <v>8.8137260304224725</v>
      </c>
      <c r="O717" s="26">
        <v>42.64484550217459</v>
      </c>
      <c r="P717" s="26">
        <v>8.2502530626270651</v>
      </c>
      <c r="Q717" s="26">
        <v>9.2353100242672035</v>
      </c>
      <c r="R717" s="26">
        <v>26.588116008562331</v>
      </c>
      <c r="S717" s="26">
        <v>23.321676011615313</v>
      </c>
      <c r="T717" s="26">
        <v>27.633219382117709</v>
      </c>
      <c r="U717" s="26">
        <v>7.8669075228400489</v>
      </c>
      <c r="V717" s="27">
        <v>154.35405354462674</v>
      </c>
      <c r="W717" s="27">
        <v>224.27887029531453</v>
      </c>
      <c r="X717" s="26">
        <v>22.255104324440769</v>
      </c>
      <c r="Y717" s="28">
        <v>246.54591952739753</v>
      </c>
      <c r="Z717" s="17" t="str">
        <f>SUBSTITUTE(SUBSTITUTE(SUBSTITUTE(SUBSTITUTE(IF(E717="","",VLOOKUP(E717,[1]Esquemas_NORM!$A$2:$H$126,8,FALSE)),"PROVINCIA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717" s="17" t="str">
        <f>IF($E717="","",INDEX([1]Esquemas_NORM!$H$2:$K$126,MATCH($E717,[1]Esquemas_NORM!$A$2:$A$126,0),MATCH(AA$4,[1]Esquemas_NORM!$H$1:$K$1,0)))</f>
        <v>Región de Planeación y Gestión Aeroportuaria de Oriente</v>
      </c>
      <c r="AB717" s="17" t="str">
        <f>IF($E717="","",INDEX([1]Esquemas_NORM!$H$2:$K$126,MATCH($E717,[1]Esquemas_NORM!$A$2:$A$126,0),MATCH(AB$4,[1]Esquemas_NORM!$H$1:$K$1,0)))</f>
        <v>A la fecha no ha conformado un EAT Área Metropolitana</v>
      </c>
      <c r="AC717" s="17" t="str">
        <f>IF($E717="","",INDEX([1]Esquemas_NORM!$H$2:$K$126,MATCH($E717,[1]Esquemas_NORM!$A$2:$A$126,0),MATCH(AC$4,[1]Esquemas_NORM!$H$1:$K$1,0)))</f>
        <v>MUNICIPIOS ASOCIADOS DEL ALTIPLANO DEL ORIENTE ANTIOQUEÑO - MASORA</v>
      </c>
      <c r="AD717" s="23"/>
    </row>
    <row r="718" spans="1:30" x14ac:dyDescent="0.25">
      <c r="A718" s="24">
        <v>2020</v>
      </c>
      <c r="B718" s="25" t="s">
        <v>36</v>
      </c>
      <c r="C718" s="25" t="s">
        <v>200</v>
      </c>
      <c r="D718" s="25" t="s">
        <v>215</v>
      </c>
      <c r="E718" s="25" t="s">
        <v>234</v>
      </c>
      <c r="F718" s="25" t="s">
        <v>203</v>
      </c>
      <c r="G718" s="25" t="s">
        <v>235</v>
      </c>
      <c r="H718" s="26">
        <v>142.74038764710608</v>
      </c>
      <c r="I718" s="26">
        <v>0.36242870829130691</v>
      </c>
      <c r="J718" s="27">
        <v>143.10281635539738</v>
      </c>
      <c r="K718" s="26">
        <v>312.373433919506</v>
      </c>
      <c r="L718" s="26">
        <v>117.44163622559026</v>
      </c>
      <c r="M718" s="27">
        <v>429.81507014509623</v>
      </c>
      <c r="N718" s="26">
        <v>26.445799070953925</v>
      </c>
      <c r="O718" s="26">
        <v>113.559158540062</v>
      </c>
      <c r="P718" s="26">
        <v>23.05348270956879</v>
      </c>
      <c r="Q718" s="26">
        <v>26.982232018981453</v>
      </c>
      <c r="R718" s="26">
        <v>88.455932409489847</v>
      </c>
      <c r="S718" s="26">
        <v>78.855071266180758</v>
      </c>
      <c r="T718" s="26">
        <v>105.54519645497219</v>
      </c>
      <c r="U718" s="26">
        <v>22.146694874511301</v>
      </c>
      <c r="V718" s="27">
        <v>485.04356734472026</v>
      </c>
      <c r="W718" s="27">
        <v>1039.045724741366</v>
      </c>
      <c r="X718" s="26">
        <v>103.1040996930863</v>
      </c>
      <c r="Y718" s="28">
        <v>1142.205163152727</v>
      </c>
      <c r="Z718" s="17" t="str">
        <f>SUBSTITUTE(SUBSTITUTE(SUBSTITUTE(SUBSTITUTE(IF(E718="","",VLOOKUP(E718,[1]Esquemas_NORM!$A$2:$H$126,8,FALSE)),"PROVINCIA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18" s="17" t="str">
        <f>IF($E718="","",INDEX([1]Esquemas_NORM!$H$2:$K$126,MATCH($E718,[1]Esquemas_NORM!$A$2:$A$126,0),MATCH(AA$4,[1]Esquemas_NORM!$H$1:$K$1,0)))</f>
        <v>A la fecha no ha conformado un EAT Región</v>
      </c>
      <c r="AB718" s="17" t="str">
        <f>IF($E718="","",INDEX([1]Esquemas_NORM!$H$2:$K$126,MATCH($E718,[1]Esquemas_NORM!$A$2:$A$126,0),MATCH(AB$4,[1]Esquemas_NORM!$H$1:$K$1,0)))</f>
        <v>A la fecha no ha conformado un EAT Área Metropolitana</v>
      </c>
      <c r="AC718" s="17" t="str">
        <f>IF($E718="","",INDEX([1]Esquemas_NORM!$H$2:$K$126,MATCH($E718,[1]Esquemas_NORM!$A$2:$A$126,0),MATCH(AC$4,[1]Esquemas_NORM!$H$1:$K$1,0)))</f>
        <v>MUNICIPIOS ASOCIADOS DEL ALTIPLANO DEL ORIENTE ANTIOQUEÑO - MASORA</v>
      </c>
      <c r="AD718" s="23"/>
    </row>
    <row r="719" spans="1:30" x14ac:dyDescent="0.25">
      <c r="A719" s="24">
        <v>2020</v>
      </c>
      <c r="B719" s="25" t="s">
        <v>36</v>
      </c>
      <c r="C719" s="25" t="s">
        <v>200</v>
      </c>
      <c r="D719" s="25" t="s">
        <v>201</v>
      </c>
      <c r="E719" s="25" t="s">
        <v>236</v>
      </c>
      <c r="F719" s="25" t="s">
        <v>203</v>
      </c>
      <c r="G719" s="25" t="s">
        <v>237</v>
      </c>
      <c r="H719" s="26">
        <v>15.5513951976769</v>
      </c>
      <c r="I719" s="26">
        <v>0</v>
      </c>
      <c r="J719" s="27">
        <v>15.5513951976769</v>
      </c>
      <c r="K719" s="26">
        <v>5.6950139362413372</v>
      </c>
      <c r="L719" s="26">
        <v>4.0882768800220104</v>
      </c>
      <c r="M719" s="27">
        <v>9.7832908162633476</v>
      </c>
      <c r="N719" s="26">
        <v>1.1255227611656586</v>
      </c>
      <c r="O719" s="26">
        <v>5.4909608384338764</v>
      </c>
      <c r="P719" s="26">
        <v>3.0934127711864767</v>
      </c>
      <c r="Q719" s="26">
        <v>2.6510199168534267</v>
      </c>
      <c r="R719" s="26">
        <v>11.473087975957048</v>
      </c>
      <c r="S719" s="26">
        <v>8.2145720621073259</v>
      </c>
      <c r="T719" s="26">
        <v>20.266836612218288</v>
      </c>
      <c r="U719" s="26">
        <v>2.6467529405726666</v>
      </c>
      <c r="V719" s="27">
        <v>54.962165878494773</v>
      </c>
      <c r="W719" s="27">
        <v>80.803405192701788</v>
      </c>
      <c r="X719" s="26">
        <v>8.0180902015670075</v>
      </c>
      <c r="Y719" s="28">
        <v>88.825798916981171</v>
      </c>
      <c r="Z719" s="17" t="str">
        <f>SUBSTITUTE(SUBSTITUTE(SUBSTITUTE(SUBSTITUTE(IF(E719="","",VLOOKUP(E719,[1]Esquemas_NORM!$A$2:$H$126,8,FALSE)),"PROVINCIA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719" s="17" t="str">
        <f>IF($E719="","",INDEX([1]Esquemas_NORM!$H$2:$K$126,MATCH($E719,[1]Esquemas_NORM!$A$2:$A$126,0),MATCH(AA$4,[1]Esquemas_NORM!$H$1:$K$1,0)))</f>
        <v>A la fecha no ha conformado un EAT Región</v>
      </c>
      <c r="AB719" s="17" t="str">
        <f>IF($E719="","",INDEX([1]Esquemas_NORM!$H$2:$K$126,MATCH($E719,[1]Esquemas_NORM!$A$2:$A$126,0),MATCH(AB$4,[1]Esquemas_NORM!$H$1:$K$1,0)))</f>
        <v>A la fecha no ha conformado un EAT Área Metropolitana</v>
      </c>
      <c r="AC719" s="17" t="str">
        <f>IF($E719="","",INDEX([1]Esquemas_NORM!$H$2:$K$126,MATCH($E719,[1]Esquemas_NORM!$A$2:$A$126,0),MATCH(AC$4,[1]Esquemas_NORM!$H$1:$K$1,0)))</f>
        <v>MUNICIPIOS UNIDOS DEL SUR DE ANTIOQUIA - MUSA</v>
      </c>
      <c r="AD719" s="23"/>
    </row>
    <row r="720" spans="1:30" x14ac:dyDescent="0.25">
      <c r="A720" s="24">
        <v>2020</v>
      </c>
      <c r="B720" s="25" t="s">
        <v>36</v>
      </c>
      <c r="C720" s="25" t="s">
        <v>200</v>
      </c>
      <c r="D720" s="25" t="s">
        <v>215</v>
      </c>
      <c r="E720" s="25" t="s">
        <v>238</v>
      </c>
      <c r="F720" s="25" t="s">
        <v>203</v>
      </c>
      <c r="G720" s="25" t="s">
        <v>239</v>
      </c>
      <c r="H720" s="26">
        <v>35.551917160890405</v>
      </c>
      <c r="I720" s="26">
        <v>0.70702029402630806</v>
      </c>
      <c r="J720" s="27">
        <v>36.258937454916712</v>
      </c>
      <c r="K720" s="26">
        <v>1211.9680271836137</v>
      </c>
      <c r="L720" s="26">
        <v>353.07758259118117</v>
      </c>
      <c r="M720" s="27">
        <v>1565.0456097747949</v>
      </c>
      <c r="N720" s="26">
        <v>79.122719092636231</v>
      </c>
      <c r="O720" s="26">
        <v>449.31511305213405</v>
      </c>
      <c r="P720" s="26">
        <v>58.189992650229513</v>
      </c>
      <c r="Q720" s="26">
        <v>73.830543254603398</v>
      </c>
      <c r="R720" s="26">
        <v>221.27260858724935</v>
      </c>
      <c r="S720" s="26">
        <v>219.07055087252908</v>
      </c>
      <c r="T720" s="26">
        <v>317.86841677746844</v>
      </c>
      <c r="U720" s="26">
        <v>41.736338934274166</v>
      </c>
      <c r="V720" s="27">
        <v>1460.4062832211243</v>
      </c>
      <c r="W720" s="27">
        <v>2938.0542715032743</v>
      </c>
      <c r="X720" s="26">
        <v>291.54197288872535</v>
      </c>
      <c r="Y720" s="28">
        <v>3229.7527227391415</v>
      </c>
      <c r="Z720" s="17" t="str">
        <f>SUBSTITUTE(SUBSTITUTE(SUBSTITUTE(SUBSTITUTE(IF(E720="","",VLOOKUP(E720,[1]Esquemas_NORM!$A$2:$H$126,8,FALSE)),"PROVINCIA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20" s="17" t="str">
        <f>IF($E720="","",INDEX([1]Esquemas_NORM!$H$2:$K$126,MATCH($E720,[1]Esquemas_NORM!$A$2:$A$126,0),MATCH(AA$4,[1]Esquemas_NORM!$H$1:$K$1,0)))</f>
        <v>Región de Planeación y Gestión Aeroportuaria de Oriente</v>
      </c>
      <c r="AB720" s="17" t="str">
        <f>IF($E720="","",INDEX([1]Esquemas_NORM!$H$2:$K$126,MATCH($E720,[1]Esquemas_NORM!$A$2:$A$126,0),MATCH(AB$4,[1]Esquemas_NORM!$H$1:$K$1,0)))</f>
        <v>A la fecha no ha conformado un EAT Área Metropolitana</v>
      </c>
      <c r="AC720" s="17" t="str">
        <f>IF($E720="","",INDEX([1]Esquemas_NORM!$H$2:$K$126,MATCH($E720,[1]Esquemas_NORM!$A$2:$A$126,0),MATCH(AC$4,[1]Esquemas_NORM!$H$1:$K$1,0)))</f>
        <v>MUNICIPIOS ASOCIADOS DEL ALTIPLANO DEL ORIENTE ANTIOQUEÑO - MASORA</v>
      </c>
      <c r="AD720" s="23"/>
    </row>
    <row r="721" spans="1:30" x14ac:dyDescent="0.25">
      <c r="A721" s="24">
        <v>2020</v>
      </c>
      <c r="B721" s="25" t="s">
        <v>36</v>
      </c>
      <c r="C721" s="25" t="s">
        <v>200</v>
      </c>
      <c r="D721" s="25" t="s">
        <v>205</v>
      </c>
      <c r="E721" s="25" t="s">
        <v>240</v>
      </c>
      <c r="F721" s="25" t="s">
        <v>203</v>
      </c>
      <c r="G721" s="25" t="s">
        <v>241</v>
      </c>
      <c r="H721" s="26">
        <v>11.735067336506095</v>
      </c>
      <c r="I721" s="26">
        <v>0.88312443469195889</v>
      </c>
      <c r="J721" s="27">
        <v>12.618191771198054</v>
      </c>
      <c r="K721" s="26">
        <v>4.2189737252326465</v>
      </c>
      <c r="L721" s="26">
        <v>44.057968653707164</v>
      </c>
      <c r="M721" s="27">
        <v>48.276942378939808</v>
      </c>
      <c r="N721" s="26">
        <v>486.46554240993305</v>
      </c>
      <c r="O721" s="26">
        <v>11.420380447539278</v>
      </c>
      <c r="P721" s="26">
        <v>3.140835844676265</v>
      </c>
      <c r="Q721" s="26">
        <v>2.3858888854830691</v>
      </c>
      <c r="R721" s="26">
        <v>12.191038925083085</v>
      </c>
      <c r="S721" s="26">
        <v>33.45172252844359</v>
      </c>
      <c r="T721" s="26">
        <v>17.282008614376185</v>
      </c>
      <c r="U721" s="26">
        <v>3.0921842812278806</v>
      </c>
      <c r="V721" s="27">
        <v>569.42960193676242</v>
      </c>
      <c r="W721" s="27">
        <v>721.30482835356679</v>
      </c>
      <c r="X721" s="26">
        <v>71.574795180601583</v>
      </c>
      <c r="Y721" s="28">
        <v>792.91803963438213</v>
      </c>
      <c r="Z721" s="17" t="str">
        <f>SUBSTITUTE(SUBSTITUTE(SUBSTITUTE(SUBSTITUTE(IF(E721="","",VLOOKUP(E721,[1]Esquemas_NORM!$A$2:$H$126,8,FALSE)),"PROVINCIA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21" s="17" t="str">
        <f>IF($E721="","",INDEX([1]Esquemas_NORM!$H$2:$K$126,MATCH($E721,[1]Esquemas_NORM!$A$2:$A$126,0),MATCH(AA$4,[1]Esquemas_NORM!$H$1:$K$1,0)))</f>
        <v>A la fecha no ha conformado un EAT Región</v>
      </c>
      <c r="AB721" s="17" t="str">
        <f>IF($E721="","",INDEX([1]Esquemas_NORM!$H$2:$K$126,MATCH($E721,[1]Esquemas_NORM!$A$2:$A$126,0),MATCH(AB$4,[1]Esquemas_NORM!$H$1:$K$1,0)))</f>
        <v>A la fecha no ha conformado un EAT Área Metropolitana</v>
      </c>
      <c r="AC721" s="17" t="str">
        <f>IF($E721="","",INDEX([1]Esquemas_NORM!$H$2:$K$126,MATCH($E721,[1]Esquemas_NORM!$A$2:$A$126,0),MATCH(AC$4,[1]Esquemas_NORM!$H$1:$K$1,0)))</f>
        <v>A la fecha no ha conformado un EAT asociación - unión</v>
      </c>
      <c r="AD721" s="23"/>
    </row>
    <row r="722" spans="1:30" x14ac:dyDescent="0.25">
      <c r="A722" s="24">
        <v>2020</v>
      </c>
      <c r="B722" s="25" t="s">
        <v>36</v>
      </c>
      <c r="C722" s="25" t="s">
        <v>200</v>
      </c>
      <c r="D722" s="25" t="s">
        <v>210</v>
      </c>
      <c r="E722" s="25" t="s">
        <v>242</v>
      </c>
      <c r="F722" s="25" t="s">
        <v>203</v>
      </c>
      <c r="G722" s="25" t="s">
        <v>243</v>
      </c>
      <c r="H722" s="26">
        <v>4.2024556104172213</v>
      </c>
      <c r="I722" s="26">
        <v>0</v>
      </c>
      <c r="J722" s="27">
        <v>4.2024556104172213</v>
      </c>
      <c r="K722" s="26">
        <v>0.99695444639198172</v>
      </c>
      <c r="L722" s="26">
        <v>3.048177847471039</v>
      </c>
      <c r="M722" s="27">
        <v>4.0451322938630208</v>
      </c>
      <c r="N722" s="26">
        <v>23.526640414363548</v>
      </c>
      <c r="O722" s="26">
        <v>4.7799741434022707</v>
      </c>
      <c r="P722" s="26">
        <v>0.83894668925321558</v>
      </c>
      <c r="Q722" s="26">
        <v>0.6652053004008539</v>
      </c>
      <c r="R722" s="26">
        <v>3.7131139870475427</v>
      </c>
      <c r="S722" s="26">
        <v>3.8997020606030248</v>
      </c>
      <c r="T722" s="26">
        <v>6.7634242401175904</v>
      </c>
      <c r="U722" s="26">
        <v>0.85615979333192282</v>
      </c>
      <c r="V722" s="27">
        <v>45.04316662851997</v>
      </c>
      <c r="W722" s="27">
        <v>57.946559183371619</v>
      </c>
      <c r="X722" s="26">
        <v>5.7500143378203976</v>
      </c>
      <c r="Y722" s="28">
        <v>63.699659707138672</v>
      </c>
      <c r="Z722" s="17" t="str">
        <f>SUBSTITUTE(SUBSTITUTE(SUBSTITUTE(SUBSTITUTE(IF(E722="","",VLOOKUP(E722,[1]Esquemas_NORM!$A$2:$H$126,8,FALSE)),"PROVINCIA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22" s="17" t="str">
        <f>IF($E722="","",INDEX([1]Esquemas_NORM!$H$2:$K$126,MATCH($E722,[1]Esquemas_NORM!$A$2:$A$126,0),MATCH(AA$4,[1]Esquemas_NORM!$H$1:$K$1,0)))</f>
        <v>A la fecha no ha conformado un EAT Región</v>
      </c>
      <c r="AB722" s="17" t="str">
        <f>IF($E722="","",INDEX([1]Esquemas_NORM!$H$2:$K$126,MATCH($E722,[1]Esquemas_NORM!$A$2:$A$126,0),MATCH(AB$4,[1]Esquemas_NORM!$H$1:$K$1,0)))</f>
        <v>A la fecha no ha conformado un EAT Área Metropolitana</v>
      </c>
      <c r="AC722" s="17" t="str">
        <f>IF($E722="","",INDEX([1]Esquemas_NORM!$H$2:$K$126,MATCH($E722,[1]Esquemas_NORM!$A$2:$A$126,0),MATCH(AC$4,[1]Esquemas_NORM!$H$1:$K$1,0)))</f>
        <v>A la fecha no ha conformado un EAT asociación - unión</v>
      </c>
      <c r="AD722" s="23"/>
    </row>
    <row r="723" spans="1:30" x14ac:dyDescent="0.25">
      <c r="A723" s="24">
        <v>2020</v>
      </c>
      <c r="B723" s="25" t="s">
        <v>36</v>
      </c>
      <c r="C723" s="25" t="s">
        <v>200</v>
      </c>
      <c r="D723" s="25" t="s">
        <v>210</v>
      </c>
      <c r="E723" s="25" t="s">
        <v>244</v>
      </c>
      <c r="F723" s="25" t="s">
        <v>203</v>
      </c>
      <c r="G723" s="25" t="s">
        <v>245</v>
      </c>
      <c r="H723" s="26">
        <v>4.9162470967088137</v>
      </c>
      <c r="I723" s="26">
        <v>3.6637444796384748E-2</v>
      </c>
      <c r="J723" s="27">
        <v>4.9528845415051981</v>
      </c>
      <c r="K723" s="26">
        <v>1.9955798911413376</v>
      </c>
      <c r="L723" s="26">
        <v>6.0765798208116211</v>
      </c>
      <c r="M723" s="27">
        <v>8.072159711952958</v>
      </c>
      <c r="N723" s="26">
        <v>2.5492763127044196</v>
      </c>
      <c r="O723" s="26">
        <v>19.119214307740606</v>
      </c>
      <c r="P723" s="26">
        <v>3.8780189098171021</v>
      </c>
      <c r="Q723" s="26">
        <v>3.2381134221917396</v>
      </c>
      <c r="R723" s="26">
        <v>11.009788140289656</v>
      </c>
      <c r="S723" s="26">
        <v>10.88518694385551</v>
      </c>
      <c r="T723" s="26">
        <v>26.504530948709665</v>
      </c>
      <c r="U723" s="26">
        <v>3.396464803902064</v>
      </c>
      <c r="V723" s="27">
        <v>80.580593789210752</v>
      </c>
      <c r="W723" s="27">
        <v>93.937437824652449</v>
      </c>
      <c r="X723" s="26">
        <v>9.3213751077172056</v>
      </c>
      <c r="Y723" s="28">
        <v>103.26381596282691</v>
      </c>
      <c r="Z723" s="17" t="str">
        <f>SUBSTITUTE(SUBSTITUTE(SUBSTITUTE(SUBSTITUTE(IF(E723="","",VLOOKUP(E723,[1]Esquemas_NORM!$A$2:$H$126,8,FALSE)),"PROVINCIA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23" s="17" t="str">
        <f>IF($E723="","",INDEX([1]Esquemas_NORM!$H$2:$K$126,MATCH($E723,[1]Esquemas_NORM!$A$2:$A$126,0),MATCH(AA$4,[1]Esquemas_NORM!$H$1:$K$1,0)))</f>
        <v>A la fecha no ha conformado un EAT Región</v>
      </c>
      <c r="AB723" s="17" t="str">
        <f>IF($E723="","",INDEX([1]Esquemas_NORM!$H$2:$K$126,MATCH($E723,[1]Esquemas_NORM!$A$2:$A$126,0),MATCH(AB$4,[1]Esquemas_NORM!$H$1:$K$1,0)))</f>
        <v>A la fecha no ha conformado un EAT Área Metropolitana</v>
      </c>
      <c r="AC723" s="17" t="str">
        <f>IF($E723="","",INDEX([1]Esquemas_NORM!$H$2:$K$126,MATCH($E723,[1]Esquemas_NORM!$A$2:$A$126,0),MATCH(AC$4,[1]Esquemas_NORM!$H$1:$K$1,0)))</f>
        <v>A la fecha no ha conformado un EAT asociación - unión</v>
      </c>
      <c r="AD723" s="23"/>
    </row>
    <row r="724" spans="1:30" x14ac:dyDescent="0.25">
      <c r="A724" s="24">
        <v>2020</v>
      </c>
      <c r="B724" s="25" t="s">
        <v>36</v>
      </c>
      <c r="C724" s="25" t="s">
        <v>200</v>
      </c>
      <c r="D724" s="25" t="s">
        <v>205</v>
      </c>
      <c r="E724" s="25" t="s">
        <v>246</v>
      </c>
      <c r="F724" s="25" t="s">
        <v>203</v>
      </c>
      <c r="G724" s="25" t="s">
        <v>247</v>
      </c>
      <c r="H724" s="26">
        <v>10.167093940204447</v>
      </c>
      <c r="I724" s="26">
        <v>0</v>
      </c>
      <c r="J724" s="27">
        <v>10.167093940204447</v>
      </c>
      <c r="K724" s="26">
        <v>2.9848783104540839</v>
      </c>
      <c r="L724" s="26">
        <v>10.721623907518756</v>
      </c>
      <c r="M724" s="27">
        <v>13.70650221797284</v>
      </c>
      <c r="N724" s="26">
        <v>96.829050498866735</v>
      </c>
      <c r="O724" s="26">
        <v>8.1342239330947326</v>
      </c>
      <c r="P724" s="26">
        <v>1.8407604012416319</v>
      </c>
      <c r="Q724" s="26">
        <v>1.3789693171390087</v>
      </c>
      <c r="R724" s="26">
        <v>7.652029966438719</v>
      </c>
      <c r="S724" s="26">
        <v>10.087579860728223</v>
      </c>
      <c r="T724" s="26">
        <v>9.3480713859962385</v>
      </c>
      <c r="U724" s="26">
        <v>1.8669607455666091</v>
      </c>
      <c r="V724" s="27">
        <v>137.13764610907191</v>
      </c>
      <c r="W724" s="27">
        <v>179.551902346319</v>
      </c>
      <c r="X724" s="26">
        <v>17.816864839324019</v>
      </c>
      <c r="Y724" s="28">
        <v>197.37832997186439</v>
      </c>
      <c r="Z724" s="17" t="str">
        <f>SUBSTITUTE(SUBSTITUTE(SUBSTITUTE(SUBSTITUTE(IF(E724="","",VLOOKUP(E724,[1]Esquemas_NORM!$A$2:$H$126,8,FALSE)),"PROVINCIA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24" s="17" t="str">
        <f>IF($E724="","",INDEX([1]Esquemas_NORM!$H$2:$K$126,MATCH($E724,[1]Esquemas_NORM!$A$2:$A$126,0),MATCH(AA$4,[1]Esquemas_NORM!$H$1:$K$1,0)))</f>
        <v>A la fecha no ha conformado un EAT Región</v>
      </c>
      <c r="AB724" s="17" t="str">
        <f>IF($E724="","",INDEX([1]Esquemas_NORM!$H$2:$K$126,MATCH($E724,[1]Esquemas_NORM!$A$2:$A$126,0),MATCH(AB$4,[1]Esquemas_NORM!$H$1:$K$1,0)))</f>
        <v>A la fecha no ha conformado un EAT Área Metropolitana</v>
      </c>
      <c r="AC724" s="17" t="str">
        <f>IF($E724="","",INDEX([1]Esquemas_NORM!$H$2:$K$126,MATCH($E724,[1]Esquemas_NORM!$A$2:$A$126,0),MATCH(AC$4,[1]Esquemas_NORM!$H$1:$K$1,0)))</f>
        <v>A la fecha no ha conformado un EAT asociación - unión</v>
      </c>
      <c r="AD724" s="23"/>
    </row>
    <row r="725" spans="1:30" x14ac:dyDescent="0.25">
      <c r="A725" s="24">
        <v>2020</v>
      </c>
      <c r="B725" s="25" t="s">
        <v>36</v>
      </c>
      <c r="C725" s="25" t="s">
        <v>200</v>
      </c>
      <c r="D725" s="25" t="s">
        <v>215</v>
      </c>
      <c r="E725" s="25" t="s">
        <v>248</v>
      </c>
      <c r="F725" s="25" t="s">
        <v>203</v>
      </c>
      <c r="G725" s="25" t="s">
        <v>249</v>
      </c>
      <c r="H725" s="26">
        <v>79.49784277668634</v>
      </c>
      <c r="I725" s="26">
        <v>7.8544167861497163E-2</v>
      </c>
      <c r="J725" s="27">
        <v>79.576386944547835</v>
      </c>
      <c r="K725" s="26">
        <v>3.9529577138312555</v>
      </c>
      <c r="L725" s="26">
        <v>11.256444460867765</v>
      </c>
      <c r="M725" s="27">
        <v>15.20940217469902</v>
      </c>
      <c r="N725" s="26">
        <v>3.162117888088114</v>
      </c>
      <c r="O725" s="26">
        <v>25.756213223071988</v>
      </c>
      <c r="P725" s="26">
        <v>5.784880307783359</v>
      </c>
      <c r="Q725" s="26">
        <v>4.7902210176523656</v>
      </c>
      <c r="R725" s="26">
        <v>27.986222481386974</v>
      </c>
      <c r="S725" s="26">
        <v>15.493493814353238</v>
      </c>
      <c r="T725" s="26">
        <v>32.537012410466829</v>
      </c>
      <c r="U725" s="26">
        <v>6.2700821600124472</v>
      </c>
      <c r="V725" s="27">
        <v>121.78024330281532</v>
      </c>
      <c r="W725" s="27">
        <v>225.27562565383462</v>
      </c>
      <c r="X725" s="26">
        <v>22.354011967690891</v>
      </c>
      <c r="Y725" s="28">
        <v>247.64163561553542</v>
      </c>
      <c r="Z725" s="17" t="str">
        <f>SUBSTITUTE(SUBSTITUTE(SUBSTITUTE(SUBSTITUTE(IF(E725="","",VLOOKUP(E725,[1]Esquemas_NORM!$A$2:$H$126,8,FALSE)),"PROVINCIA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725" s="17" t="str">
        <f>IF($E725="","",INDEX([1]Esquemas_NORM!$H$2:$K$126,MATCH($E725,[1]Esquemas_NORM!$A$2:$A$126,0),MATCH(AA$4,[1]Esquemas_NORM!$H$1:$K$1,0)))</f>
        <v>A la fecha no ha conformado un EAT Región</v>
      </c>
      <c r="AB725" s="17" t="str">
        <f>IF($E725="","",INDEX([1]Esquemas_NORM!$H$2:$K$126,MATCH($E725,[1]Esquemas_NORM!$A$2:$A$126,0),MATCH(AB$4,[1]Esquemas_NORM!$H$1:$K$1,0)))</f>
        <v>A la fecha no ha conformado un EAT Área Metropolitana</v>
      </c>
      <c r="AC725" s="17" t="str">
        <f>IF($E725="","",INDEX([1]Esquemas_NORM!$H$2:$K$126,MATCH($E725,[1]Esquemas_NORM!$A$2:$A$126,0),MATCH(AC$4,[1]Esquemas_NORM!$H$1:$K$1,0)))</f>
        <v>MUNICIPIOS ASOCIADOS DEL ALTIPLANO DEL ORIENTE ANTIOQUEÑO - MASORA</v>
      </c>
      <c r="AD725" s="23"/>
    </row>
    <row r="726" spans="1:30" x14ac:dyDescent="0.25">
      <c r="A726" s="24">
        <v>2020</v>
      </c>
      <c r="B726" s="25" t="s">
        <v>36</v>
      </c>
      <c r="C726" s="25" t="s">
        <v>200</v>
      </c>
      <c r="D726" s="25" t="s">
        <v>201</v>
      </c>
      <c r="E726" s="25" t="s">
        <v>250</v>
      </c>
      <c r="F726" s="25" t="s">
        <v>203</v>
      </c>
      <c r="G726" s="25" t="s">
        <v>251</v>
      </c>
      <c r="H726" s="26">
        <v>205.37097144724896</v>
      </c>
      <c r="I726" s="26">
        <v>21.604965488956363</v>
      </c>
      <c r="J726" s="27">
        <v>226.97593693620533</v>
      </c>
      <c r="K726" s="26">
        <v>249.53792030961654</v>
      </c>
      <c r="L726" s="26">
        <v>10.799123889971376</v>
      </c>
      <c r="M726" s="27">
        <v>260.33704419958792</v>
      </c>
      <c r="N726" s="26">
        <v>37.950759271185738</v>
      </c>
      <c r="O726" s="26">
        <v>37.350843742212732</v>
      </c>
      <c r="P726" s="26">
        <v>10.542451037636413</v>
      </c>
      <c r="Q726" s="26">
        <v>9.0795335730961177</v>
      </c>
      <c r="R726" s="26">
        <v>30.763632846420368</v>
      </c>
      <c r="S726" s="26">
        <v>64.744839187365912</v>
      </c>
      <c r="T726" s="26">
        <v>53.430141231152234</v>
      </c>
      <c r="U726" s="26">
        <v>7.4191915353161155</v>
      </c>
      <c r="V726" s="27">
        <v>251.28139242438564</v>
      </c>
      <c r="W726" s="27">
        <v>755.89823316357126</v>
      </c>
      <c r="X726" s="26">
        <v>75.007485170427756</v>
      </c>
      <c r="Y726" s="28">
        <v>830.9459768504172</v>
      </c>
      <c r="Z726" s="17" t="str">
        <f>SUBSTITUTE(SUBSTITUTE(SUBSTITUTE(SUBSTITUTE(IF(E726="","",VLOOKUP(E726,[1]Esquemas_NORM!$A$2:$H$126,8,FALSE)),"PROVINCIA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726" s="17" t="str">
        <f>IF($E726="","",INDEX([1]Esquemas_NORM!$H$2:$K$126,MATCH($E726,[1]Esquemas_NORM!$A$2:$A$126,0),MATCH(AA$4,[1]Esquemas_NORM!$H$1:$K$1,0)))</f>
        <v>A la fecha no ha conformado un EAT Región</v>
      </c>
      <c r="AB726" s="17" t="str">
        <f>IF($E726="","",INDEX([1]Esquemas_NORM!$H$2:$K$126,MATCH($E726,[1]Esquemas_NORM!$A$2:$A$126,0),MATCH(AB$4,[1]Esquemas_NORM!$H$1:$K$1,0)))</f>
        <v>A la fecha no ha conformado un EAT Área Metropolitana</v>
      </c>
      <c r="AC726" s="17" t="str">
        <f>IF($E726="","",INDEX([1]Esquemas_NORM!$H$2:$K$126,MATCH($E726,[1]Esquemas_NORM!$A$2:$A$126,0),MATCH(AC$4,[1]Esquemas_NORM!$H$1:$K$1,0)))</f>
        <v>A la fecha no ha conformado un EAT asociación - unión</v>
      </c>
      <c r="AD726" s="23"/>
    </row>
    <row r="727" spans="1:30" x14ac:dyDescent="0.25">
      <c r="A727" s="24">
        <v>2020</v>
      </c>
      <c r="B727" s="25" t="s">
        <v>36</v>
      </c>
      <c r="C727" s="25" t="s">
        <v>252</v>
      </c>
      <c r="D727" s="25" t="s">
        <v>253</v>
      </c>
      <c r="E727" s="25" t="s">
        <v>254</v>
      </c>
      <c r="F727" s="25" t="s">
        <v>255</v>
      </c>
      <c r="G727" s="25" t="s">
        <v>256</v>
      </c>
      <c r="H727" s="26">
        <v>26.745927032296574</v>
      </c>
      <c r="I727" s="26">
        <v>5.0810482411409019</v>
      </c>
      <c r="J727" s="27">
        <v>31.826975273437476</v>
      </c>
      <c r="K727" s="26">
        <v>169.90339898760192</v>
      </c>
      <c r="L727" s="26">
        <v>41.047565295640467</v>
      </c>
      <c r="M727" s="27">
        <v>210.9509642832424</v>
      </c>
      <c r="N727" s="26">
        <v>13.305929260044625</v>
      </c>
      <c r="O727" s="26">
        <v>48.343921708613578</v>
      </c>
      <c r="P727" s="26">
        <v>9.4047076821530506</v>
      </c>
      <c r="Q727" s="26">
        <v>8.7253399427972145</v>
      </c>
      <c r="R727" s="26">
        <v>27.9339498537698</v>
      </c>
      <c r="S727" s="26">
        <v>38.338272109701293</v>
      </c>
      <c r="T727" s="26">
        <v>44.04678893531991</v>
      </c>
      <c r="U727" s="26">
        <v>10.732473549535385</v>
      </c>
      <c r="V727" s="27">
        <v>200.83138304193483</v>
      </c>
      <c r="W727" s="27">
        <v>431.60058221393012</v>
      </c>
      <c r="X727" s="26">
        <v>42.82755647471199</v>
      </c>
      <c r="Y727" s="28">
        <v>474.45112537965912</v>
      </c>
      <c r="Z727" s="17" t="str">
        <f>SUBSTITUTE(SUBSTITUTE(SUBSTITUTE(SUBSTITUTE(IF(E727="","",VLOOKUP(E727,[1]Esquemas_NORM!$A$2:$H$126,8,FALSE)),"PROVINCIA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727" s="17" t="str">
        <f>IF($E727="","",INDEX([1]Esquemas_NORM!$H$2:$K$126,MATCH($E727,[1]Esquemas_NORM!$A$2:$A$126,0),MATCH(AA$4,[1]Esquemas_NORM!$H$1:$K$1,0)))</f>
        <v>A la fecha no ha conformado un EAT Región</v>
      </c>
      <c r="AB727" s="17" t="str">
        <f>IF($E727="","",INDEX([1]Esquemas_NORM!$H$2:$K$126,MATCH($E727,[1]Esquemas_NORM!$A$2:$A$126,0),MATCH(AB$4,[1]Esquemas_NORM!$H$1:$K$1,0)))</f>
        <v>A la fecha no ha conformado un EAT Área Metropolitana</v>
      </c>
      <c r="AC727" s="17" t="str">
        <f>IF($E727="","",INDEX([1]Esquemas_NORM!$H$2:$K$126,MATCH($E727,[1]Esquemas_NORM!$A$2:$A$126,0),MATCH(AC$4,[1]Esquemas_NORM!$H$1:$K$1,0)))</f>
        <v>A la fecha no ha conformado un EAT asociación - unión</v>
      </c>
      <c r="AD727" s="23"/>
    </row>
    <row r="728" spans="1:30" x14ac:dyDescent="0.25">
      <c r="A728" s="24">
        <v>2020</v>
      </c>
      <c r="B728" s="25" t="s">
        <v>36</v>
      </c>
      <c r="C728" s="25" t="s">
        <v>252</v>
      </c>
      <c r="D728" s="25" t="s">
        <v>257</v>
      </c>
      <c r="E728" s="25" t="s">
        <v>258</v>
      </c>
      <c r="F728" s="25" t="s">
        <v>255</v>
      </c>
      <c r="G728" s="25" t="s">
        <v>259</v>
      </c>
      <c r="H728" s="26">
        <v>102.04110505382127</v>
      </c>
      <c r="I728" s="26">
        <v>19.716422200595098</v>
      </c>
      <c r="J728" s="27">
        <v>121.75752725441637</v>
      </c>
      <c r="K728" s="26">
        <v>58.954630287378514</v>
      </c>
      <c r="L728" s="26">
        <v>49.687178843117394</v>
      </c>
      <c r="M728" s="27">
        <v>108.64180913049591</v>
      </c>
      <c r="N728" s="26">
        <v>11.752059082015224</v>
      </c>
      <c r="O728" s="26">
        <v>69.880115255827647</v>
      </c>
      <c r="P728" s="26">
        <v>15.811681012791716</v>
      </c>
      <c r="Q728" s="26">
        <v>20.789909206625833</v>
      </c>
      <c r="R728" s="26">
        <v>35.573740644547861</v>
      </c>
      <c r="S728" s="26">
        <v>42.452170251225283</v>
      </c>
      <c r="T728" s="26">
        <v>77.341526444418832</v>
      </c>
      <c r="U728" s="26">
        <v>12.774461186765064</v>
      </c>
      <c r="V728" s="27">
        <v>286.37566308421742</v>
      </c>
      <c r="W728" s="27">
        <v>531.24742352288069</v>
      </c>
      <c r="X728" s="26">
        <v>52.715473450628558</v>
      </c>
      <c r="Y728" s="28">
        <v>583.99119077310331</v>
      </c>
      <c r="Z728" s="17" t="str">
        <f>SUBSTITUTE(SUBSTITUTE(SUBSTITUTE(SUBSTITUTE(IF(E728="","",VLOOKUP(E728,[1]Esquemas_NORM!$A$2:$H$126,8,FALSE)),"PROVINCIA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728" s="17" t="str">
        <f>IF($E728="","",INDEX([1]Esquemas_NORM!$H$2:$K$126,MATCH($E728,[1]Esquemas_NORM!$A$2:$A$126,0),MATCH(AA$4,[1]Esquemas_NORM!$H$1:$K$1,0)))</f>
        <v>A la fecha no ha conformado un EAT Región</v>
      </c>
      <c r="AB728" s="17" t="str">
        <f>IF($E728="","",INDEX([1]Esquemas_NORM!$H$2:$K$126,MATCH($E728,[1]Esquemas_NORM!$A$2:$A$126,0),MATCH(AB$4,[1]Esquemas_NORM!$H$1:$K$1,0)))</f>
        <v>A la fecha no ha conformado un EAT Área Metropolitana</v>
      </c>
      <c r="AC728" s="17" t="str">
        <f>IF($E728="","",INDEX([1]Esquemas_NORM!$H$2:$K$126,MATCH($E728,[1]Esquemas_NORM!$A$2:$A$126,0),MATCH(AC$4,[1]Esquemas_NORM!$H$1:$K$1,0)))</f>
        <v>A la fecha no ha conformado un EAT asociación - unión</v>
      </c>
      <c r="AD728" s="23"/>
    </row>
    <row r="729" spans="1:30" x14ac:dyDescent="0.25">
      <c r="A729" s="24">
        <v>2020</v>
      </c>
      <c r="B729" s="25" t="s">
        <v>36</v>
      </c>
      <c r="C729" s="25" t="s">
        <v>252</v>
      </c>
      <c r="D729" s="25" t="s">
        <v>253</v>
      </c>
      <c r="E729" s="25" t="s">
        <v>260</v>
      </c>
      <c r="F729" s="25" t="s">
        <v>255</v>
      </c>
      <c r="G729" s="25" t="s">
        <v>261</v>
      </c>
      <c r="H729" s="26">
        <v>15.184045059529206</v>
      </c>
      <c r="I729" s="26">
        <v>0.6251050497984455</v>
      </c>
      <c r="J729" s="27">
        <v>15.809150109327652</v>
      </c>
      <c r="K729" s="26">
        <v>3.2568396013168082</v>
      </c>
      <c r="L729" s="26">
        <v>0.92095917073279576</v>
      </c>
      <c r="M729" s="27">
        <v>4.1777987720496039</v>
      </c>
      <c r="N729" s="26">
        <v>3.4465752093060065</v>
      </c>
      <c r="O729" s="26">
        <v>7.6754789177728835</v>
      </c>
      <c r="P729" s="26">
        <v>1.8119905304008976</v>
      </c>
      <c r="Q729" s="26">
        <v>1.3582309594888409</v>
      </c>
      <c r="R729" s="26">
        <v>4.6370429719437176</v>
      </c>
      <c r="S729" s="26">
        <v>6.2063597695383388</v>
      </c>
      <c r="T729" s="26">
        <v>8.5671262113193354</v>
      </c>
      <c r="U729" s="26">
        <v>2.1739555508261255</v>
      </c>
      <c r="V729" s="27">
        <v>35.876760120596145</v>
      </c>
      <c r="W729" s="27">
        <v>58.272372885640067</v>
      </c>
      <c r="X729" s="26">
        <v>5.7823447036955518</v>
      </c>
      <c r="Y729" s="28">
        <v>64.057821127851199</v>
      </c>
      <c r="Z729" s="17" t="str">
        <f>SUBSTITUTE(SUBSTITUTE(SUBSTITUTE(SUBSTITUTE(IF(E729="","",VLOOKUP(E729,[1]Esquemas_NORM!$A$2:$H$126,8,FALSE)),"PROVINCIA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729" s="17" t="str">
        <f>IF($E729="","",INDEX([1]Esquemas_NORM!$H$2:$K$126,MATCH($E729,[1]Esquemas_NORM!$A$2:$A$126,0),MATCH(AA$4,[1]Esquemas_NORM!$H$1:$K$1,0)))</f>
        <v>A la fecha no ha conformado un EAT Región</v>
      </c>
      <c r="AB729" s="17" t="str">
        <f>IF($E729="","",INDEX([1]Esquemas_NORM!$H$2:$K$126,MATCH($E729,[1]Esquemas_NORM!$A$2:$A$126,0),MATCH(AB$4,[1]Esquemas_NORM!$H$1:$K$1,0)))</f>
        <v>A la fecha no ha conformado un EAT Área Metropolitana</v>
      </c>
      <c r="AC729" s="17" t="str">
        <f>IF($E729="","",INDEX([1]Esquemas_NORM!$H$2:$K$126,MATCH($E729,[1]Esquemas_NORM!$A$2:$A$126,0),MATCH(AC$4,[1]Esquemas_NORM!$H$1:$K$1,0)))</f>
        <v>A la fecha no ha conformado un EAT asociación - unión</v>
      </c>
      <c r="AD729" s="23"/>
    </row>
    <row r="730" spans="1:30" x14ac:dyDescent="0.25">
      <c r="A730" s="24">
        <v>2020</v>
      </c>
      <c r="B730" s="25" t="s">
        <v>36</v>
      </c>
      <c r="C730" s="25" t="s">
        <v>252</v>
      </c>
      <c r="D730" s="25" t="s">
        <v>257</v>
      </c>
      <c r="E730" s="25" t="s">
        <v>262</v>
      </c>
      <c r="F730" s="25" t="s">
        <v>255</v>
      </c>
      <c r="G730" s="25" t="s">
        <v>263</v>
      </c>
      <c r="H730" s="26">
        <v>57.167402918499988</v>
      </c>
      <c r="I730" s="26">
        <v>0</v>
      </c>
      <c r="J730" s="27">
        <v>57.167402918499988</v>
      </c>
      <c r="K730" s="26">
        <v>7.7198929790043618</v>
      </c>
      <c r="L730" s="26">
        <v>1.9490561797185531</v>
      </c>
      <c r="M730" s="27">
        <v>9.6689491587229153</v>
      </c>
      <c r="N730" s="26">
        <v>2.2745572981949667</v>
      </c>
      <c r="O730" s="26">
        <v>12.451866853342286</v>
      </c>
      <c r="P730" s="26">
        <v>3.6630090848915446</v>
      </c>
      <c r="Q730" s="26">
        <v>2.5051713304063461</v>
      </c>
      <c r="R730" s="26">
        <v>8.2081419284196127</v>
      </c>
      <c r="S730" s="26">
        <v>9.7166260330671488</v>
      </c>
      <c r="T730" s="26">
        <v>20.615676767779238</v>
      </c>
      <c r="U730" s="26">
        <v>3.207711896802997</v>
      </c>
      <c r="V730" s="27">
        <v>62.642761192904139</v>
      </c>
      <c r="W730" s="27">
        <v>136.11660567041224</v>
      </c>
      <c r="X730" s="26">
        <v>13.506797387985618</v>
      </c>
      <c r="Y730" s="28">
        <v>149.63065251654376</v>
      </c>
      <c r="Z730" s="17" t="str">
        <f>SUBSTITUTE(SUBSTITUTE(SUBSTITUTE(SUBSTITUTE(IF(E730="","",VLOOKUP(E730,[1]Esquemas_NORM!$A$2:$H$126,8,FALSE)),"PROVINCIA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730" s="17" t="str">
        <f>IF($E730="","",INDEX([1]Esquemas_NORM!$H$2:$K$126,MATCH($E730,[1]Esquemas_NORM!$A$2:$A$126,0),MATCH(AA$4,[1]Esquemas_NORM!$H$1:$K$1,0)))</f>
        <v>A la fecha no ha conformado un EAT Región</v>
      </c>
      <c r="AB730" s="17" t="str">
        <f>IF($E730="","",INDEX([1]Esquemas_NORM!$H$2:$K$126,MATCH($E730,[1]Esquemas_NORM!$A$2:$A$126,0),MATCH(AB$4,[1]Esquemas_NORM!$H$1:$K$1,0)))</f>
        <v>A la fecha no ha conformado un EAT Área Metropolitana</v>
      </c>
      <c r="AC730" s="17" t="str">
        <f>IF($E730="","",INDEX([1]Esquemas_NORM!$H$2:$K$126,MATCH($E730,[1]Esquemas_NORM!$A$2:$A$126,0),MATCH(AC$4,[1]Esquemas_NORM!$H$1:$K$1,0)))</f>
        <v>A la fecha no ha conformado un EAT asociación - unión</v>
      </c>
      <c r="AD730" s="23"/>
    </row>
    <row r="731" spans="1:30" x14ac:dyDescent="0.25">
      <c r="A731" s="24">
        <v>2020</v>
      </c>
      <c r="B731" s="25" t="s">
        <v>36</v>
      </c>
      <c r="C731" s="25" t="s">
        <v>252</v>
      </c>
      <c r="D731" s="25" t="s">
        <v>264</v>
      </c>
      <c r="E731" s="25" t="s">
        <v>265</v>
      </c>
      <c r="F731" s="25" t="s">
        <v>255</v>
      </c>
      <c r="G731" s="25" t="s">
        <v>266</v>
      </c>
      <c r="H731" s="26">
        <v>83.041152057743474</v>
      </c>
      <c r="I731" s="26">
        <v>0</v>
      </c>
      <c r="J731" s="27">
        <v>83.041152057743474</v>
      </c>
      <c r="K731" s="26">
        <v>6.7243495816051473</v>
      </c>
      <c r="L731" s="26">
        <v>6.5913453191116602</v>
      </c>
      <c r="M731" s="27">
        <v>13.315694900716807</v>
      </c>
      <c r="N731" s="26">
        <v>2.6973150648809252</v>
      </c>
      <c r="O731" s="26">
        <v>19.973074999023659</v>
      </c>
      <c r="P731" s="26">
        <v>4.6395707122692009</v>
      </c>
      <c r="Q731" s="26">
        <v>4.1215682835848009</v>
      </c>
      <c r="R731" s="26">
        <v>11.419644606638592</v>
      </c>
      <c r="S731" s="26">
        <v>12.605431811559164</v>
      </c>
      <c r="T731" s="26">
        <v>29.22116713324889</v>
      </c>
      <c r="U731" s="26">
        <v>4.0895424426962652</v>
      </c>
      <c r="V731" s="27">
        <v>88.767315053901498</v>
      </c>
      <c r="W731" s="27">
        <v>194.97038563154473</v>
      </c>
      <c r="X731" s="26">
        <v>19.346834887723102</v>
      </c>
      <c r="Y731" s="28">
        <v>214.32760448119046</v>
      </c>
      <c r="Z731" s="17" t="str">
        <f>SUBSTITUTE(SUBSTITUTE(SUBSTITUTE(SUBSTITUTE(IF(E731="","",VLOOKUP(E731,[1]Esquemas_NORM!$A$2:$H$126,8,FALSE)),"PROVINCIA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731" s="17" t="str">
        <f>IF($E731="","",INDEX([1]Esquemas_NORM!$H$2:$K$126,MATCH($E731,[1]Esquemas_NORM!$A$2:$A$126,0),MATCH(AA$4,[1]Esquemas_NORM!$H$1:$K$1,0)))</f>
        <v>A la fecha no ha conformado un EAT Región</v>
      </c>
      <c r="AB731" s="17" t="str">
        <f>IF($E731="","",INDEX([1]Esquemas_NORM!$H$2:$K$126,MATCH($E731,[1]Esquemas_NORM!$A$2:$A$126,0),MATCH(AB$4,[1]Esquemas_NORM!$H$1:$K$1,0)))</f>
        <v>A la fecha no ha conformado un EAT Área Metropolitana</v>
      </c>
      <c r="AC731" s="17" t="str">
        <f>IF($E731="","",INDEX([1]Esquemas_NORM!$H$2:$K$126,MATCH($E731,[1]Esquemas_NORM!$A$2:$A$126,0),MATCH(AC$4,[1]Esquemas_NORM!$H$1:$K$1,0)))</f>
        <v>A la fecha no ha conformado un EAT asociación - unión</v>
      </c>
      <c r="AD731" s="23"/>
    </row>
    <row r="732" spans="1:30" x14ac:dyDescent="0.25">
      <c r="A732" s="24">
        <v>2020</v>
      </c>
      <c r="B732" s="25" t="s">
        <v>36</v>
      </c>
      <c r="C732" s="25" t="s">
        <v>252</v>
      </c>
      <c r="D732" s="25" t="s">
        <v>267</v>
      </c>
      <c r="E732" s="25" t="s">
        <v>268</v>
      </c>
      <c r="F732" s="25" t="s">
        <v>255</v>
      </c>
      <c r="G732" s="25" t="s">
        <v>269</v>
      </c>
      <c r="H732" s="26">
        <v>11.669527963945347</v>
      </c>
      <c r="I732" s="26">
        <v>0</v>
      </c>
      <c r="J732" s="27">
        <v>11.669527963945347</v>
      </c>
      <c r="K732" s="26">
        <v>1.6782860346869515</v>
      </c>
      <c r="L732" s="26">
        <v>1.8476431967209226</v>
      </c>
      <c r="M732" s="27">
        <v>3.5259292314078738</v>
      </c>
      <c r="N732" s="26">
        <v>0.93712208352844228</v>
      </c>
      <c r="O732" s="26">
        <v>6.1646119554147019</v>
      </c>
      <c r="P732" s="26">
        <v>1.4641426850468071</v>
      </c>
      <c r="Q732" s="26">
        <v>1.3023917536582681</v>
      </c>
      <c r="R732" s="26">
        <v>2.8679337747048503</v>
      </c>
      <c r="S732" s="26">
        <v>4.3895692348990289</v>
      </c>
      <c r="T732" s="26">
        <v>11.554871895211599</v>
      </c>
      <c r="U732" s="26">
        <v>1.2261690616733278</v>
      </c>
      <c r="V732" s="27">
        <v>29.906812444137028</v>
      </c>
      <c r="W732" s="27">
        <v>46.417748370386313</v>
      </c>
      <c r="X732" s="26">
        <v>4.6060149631060021</v>
      </c>
      <c r="Y732" s="28">
        <v>51.026235504484191</v>
      </c>
      <c r="Z732" s="17" t="str">
        <f>SUBSTITUTE(SUBSTITUTE(SUBSTITUTE(SUBSTITUTE(IF(E732="","",VLOOKUP(E732,[1]Esquemas_NORM!$A$2:$H$126,8,FALSE)),"PROVINCIA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32" s="17" t="str">
        <f>IF($E732="","",INDEX([1]Esquemas_NORM!$H$2:$K$126,MATCH($E732,[1]Esquemas_NORM!$A$2:$A$126,0),MATCH(AA$4,[1]Esquemas_NORM!$H$1:$K$1,0)))</f>
        <v>A la fecha no ha conformado un EAT Región</v>
      </c>
      <c r="AB732" s="17" t="str">
        <f>IF($E732="","",INDEX([1]Esquemas_NORM!$H$2:$K$126,MATCH($E732,[1]Esquemas_NORM!$A$2:$A$126,0),MATCH(AB$4,[1]Esquemas_NORM!$H$1:$K$1,0)))</f>
        <v>A la fecha no ha conformado un EAT Área Metropolitana</v>
      </c>
      <c r="AC732" s="17" t="str">
        <f>IF($E732="","",INDEX([1]Esquemas_NORM!$H$2:$K$126,MATCH($E732,[1]Esquemas_NORM!$A$2:$A$126,0),MATCH(AC$4,[1]Esquemas_NORM!$H$1:$K$1,0)))</f>
        <v>A la fecha no ha conformado un EAT asociación - unión</v>
      </c>
      <c r="AD732" s="23"/>
    </row>
    <row r="733" spans="1:30" x14ac:dyDescent="0.25">
      <c r="A733" s="24">
        <v>2020</v>
      </c>
      <c r="B733" s="25" t="s">
        <v>36</v>
      </c>
      <c r="C733" s="25" t="s">
        <v>252</v>
      </c>
      <c r="D733" s="25" t="s">
        <v>257</v>
      </c>
      <c r="E733" s="25" t="s">
        <v>270</v>
      </c>
      <c r="F733" s="25" t="s">
        <v>255</v>
      </c>
      <c r="G733" s="25" t="s">
        <v>271</v>
      </c>
      <c r="H733" s="26">
        <v>77.280465893010856</v>
      </c>
      <c r="I733" s="26">
        <v>0</v>
      </c>
      <c r="J733" s="27">
        <v>77.280465893010856</v>
      </c>
      <c r="K733" s="26">
        <v>7.4373518516281907</v>
      </c>
      <c r="L733" s="26">
        <v>11.795456905188415</v>
      </c>
      <c r="M733" s="27">
        <v>19.232808756816606</v>
      </c>
      <c r="N733" s="26">
        <v>7.7469277581821645</v>
      </c>
      <c r="O733" s="26">
        <v>42.497870103648197</v>
      </c>
      <c r="P733" s="26">
        <v>8.5639388865218109</v>
      </c>
      <c r="Q733" s="26">
        <v>11.515481616224511</v>
      </c>
      <c r="R733" s="26">
        <v>22.464677300375854</v>
      </c>
      <c r="S733" s="26">
        <v>25.33694159082059</v>
      </c>
      <c r="T733" s="26">
        <v>54.614587347232053</v>
      </c>
      <c r="U733" s="26">
        <v>7.849590335854062</v>
      </c>
      <c r="V733" s="27">
        <v>180.59001493885924</v>
      </c>
      <c r="W733" s="27">
        <v>286.43520195788375</v>
      </c>
      <c r="X733" s="26">
        <v>28.422852734065302</v>
      </c>
      <c r="Y733" s="28">
        <v>314.87330999454741</v>
      </c>
      <c r="Z733" s="17" t="str">
        <f>SUBSTITUTE(SUBSTITUTE(SUBSTITUTE(SUBSTITUTE(IF(E733="","",VLOOKUP(E733,[1]Esquemas_NORM!$A$2:$H$126,8,FALSE)),"PROVINCIA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733" s="17" t="str">
        <f>IF($E733="","",INDEX([1]Esquemas_NORM!$H$2:$K$126,MATCH($E733,[1]Esquemas_NORM!$A$2:$A$126,0),MATCH(AA$4,[1]Esquemas_NORM!$H$1:$K$1,0)))</f>
        <v>A la fecha no ha conformado un EAT Región</v>
      </c>
      <c r="AB733" s="17" t="str">
        <f>IF($E733="","",INDEX([1]Esquemas_NORM!$H$2:$K$126,MATCH($E733,[1]Esquemas_NORM!$A$2:$A$126,0),MATCH(AB$4,[1]Esquemas_NORM!$H$1:$K$1,0)))</f>
        <v>A la fecha no ha conformado un EAT Área Metropolitana</v>
      </c>
      <c r="AC733" s="17" t="str">
        <f>IF($E733="","",INDEX([1]Esquemas_NORM!$H$2:$K$126,MATCH($E733,[1]Esquemas_NORM!$A$2:$A$126,0),MATCH(AC$4,[1]Esquemas_NORM!$H$1:$K$1,0)))</f>
        <v>A la fecha no ha conformado un EAT asociación - unión</v>
      </c>
      <c r="AD733" s="23"/>
    </row>
    <row r="734" spans="1:30" x14ac:dyDescent="0.25">
      <c r="A734" s="24">
        <v>2020</v>
      </c>
      <c r="B734" s="25" t="s">
        <v>36</v>
      </c>
      <c r="C734" s="25" t="s">
        <v>252</v>
      </c>
      <c r="D734" s="25" t="s">
        <v>264</v>
      </c>
      <c r="E734" s="25" t="s">
        <v>272</v>
      </c>
      <c r="F734" s="25" t="s">
        <v>255</v>
      </c>
      <c r="G734" s="25" t="s">
        <v>273</v>
      </c>
      <c r="H734" s="26">
        <v>97.592787783676414</v>
      </c>
      <c r="I734" s="26">
        <v>0</v>
      </c>
      <c r="J734" s="27">
        <v>97.592787783676414</v>
      </c>
      <c r="K734" s="26">
        <v>8.528507111475621</v>
      </c>
      <c r="L734" s="26">
        <v>9.581030049968593</v>
      </c>
      <c r="M734" s="27">
        <v>18.109537161444216</v>
      </c>
      <c r="N734" s="26">
        <v>7.6948622372230293</v>
      </c>
      <c r="O734" s="26">
        <v>29.608168545930297</v>
      </c>
      <c r="P734" s="26">
        <v>6.9098198625695284</v>
      </c>
      <c r="Q734" s="26">
        <v>6.6659056262106295</v>
      </c>
      <c r="R734" s="26">
        <v>15.505085117832989</v>
      </c>
      <c r="S734" s="26">
        <v>17.868998763166186</v>
      </c>
      <c r="T734" s="26">
        <v>33.479025539221787</v>
      </c>
      <c r="U734" s="26">
        <v>5.9831654004406412</v>
      </c>
      <c r="V734" s="27">
        <v>123.7150310925951</v>
      </c>
      <c r="W734" s="27">
        <v>251.66113586677579</v>
      </c>
      <c r="X734" s="26">
        <v>24.972235796221884</v>
      </c>
      <c r="Y734" s="28">
        <v>276.64677492751804</v>
      </c>
      <c r="Z734" s="17" t="str">
        <f>SUBSTITUTE(SUBSTITUTE(SUBSTITUTE(SUBSTITUTE(IF(E734="","",VLOOKUP(E734,[1]Esquemas_NORM!$A$2:$H$126,8,FALSE)),"PROVINCIA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734" s="17" t="str">
        <f>IF($E734="","",INDEX([1]Esquemas_NORM!$H$2:$K$126,MATCH($E734,[1]Esquemas_NORM!$A$2:$A$126,0),MATCH(AA$4,[1]Esquemas_NORM!$H$1:$K$1,0)))</f>
        <v>A la fecha no ha conformado un EAT Región</v>
      </c>
      <c r="AB734" s="17" t="str">
        <f>IF($E734="","",INDEX([1]Esquemas_NORM!$H$2:$K$126,MATCH($E734,[1]Esquemas_NORM!$A$2:$A$126,0),MATCH(AB$4,[1]Esquemas_NORM!$H$1:$K$1,0)))</f>
        <v>A la fecha no ha conformado un EAT Área Metropolitana</v>
      </c>
      <c r="AC734" s="17" t="str">
        <f>IF($E734="","",INDEX([1]Esquemas_NORM!$H$2:$K$126,MATCH($E734,[1]Esquemas_NORM!$A$2:$A$126,0),MATCH(AC$4,[1]Esquemas_NORM!$H$1:$K$1,0)))</f>
        <v>A la fecha no ha conformado un EAT asociación - unión</v>
      </c>
      <c r="AD734" s="23"/>
    </row>
    <row r="735" spans="1:30" x14ac:dyDescent="0.25">
      <c r="A735" s="24">
        <v>2020</v>
      </c>
      <c r="B735" s="25" t="s">
        <v>36</v>
      </c>
      <c r="C735" s="25" t="s">
        <v>252</v>
      </c>
      <c r="D735" s="25" t="s">
        <v>253</v>
      </c>
      <c r="E735" s="25" t="s">
        <v>274</v>
      </c>
      <c r="F735" s="25" t="s">
        <v>255</v>
      </c>
      <c r="G735" s="25" t="s">
        <v>275</v>
      </c>
      <c r="H735" s="26">
        <v>109.17645545694086</v>
      </c>
      <c r="I735" s="26">
        <v>5.1531747111124409</v>
      </c>
      <c r="J735" s="27">
        <v>114.3296301680533</v>
      </c>
      <c r="K735" s="26">
        <v>8.8243501091791057</v>
      </c>
      <c r="L735" s="26">
        <v>13.478466051414644</v>
      </c>
      <c r="M735" s="27">
        <v>22.30281616059375</v>
      </c>
      <c r="N735" s="26">
        <v>6.0468812658539148</v>
      </c>
      <c r="O735" s="26">
        <v>33.615410823655743</v>
      </c>
      <c r="P735" s="26">
        <v>8.0766029321453772</v>
      </c>
      <c r="Q735" s="26">
        <v>7.3734060406432693</v>
      </c>
      <c r="R735" s="26">
        <v>20.741578626930171</v>
      </c>
      <c r="S735" s="26">
        <v>23.719028795431694</v>
      </c>
      <c r="T735" s="26">
        <v>41.635022319607046</v>
      </c>
      <c r="U735" s="26">
        <v>8.4545035293021229</v>
      </c>
      <c r="V735" s="27">
        <v>149.66243433356934</v>
      </c>
      <c r="W735" s="27">
        <v>301.56186646011452</v>
      </c>
      <c r="X735" s="26">
        <v>29.923865719083121</v>
      </c>
      <c r="Y735" s="28">
        <v>331.50179311547049</v>
      </c>
      <c r="Z735" s="17" t="str">
        <f>SUBSTITUTE(SUBSTITUTE(SUBSTITUTE(SUBSTITUTE(IF(E735="","",VLOOKUP(E735,[1]Esquemas_NORM!$A$2:$H$126,8,FALSE)),"PROVINCIA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35" s="17" t="str">
        <f>IF($E735="","",INDEX([1]Esquemas_NORM!$H$2:$K$126,MATCH($E735,[1]Esquemas_NORM!$A$2:$A$126,0),MATCH(AA$4,[1]Esquemas_NORM!$H$1:$K$1,0)))</f>
        <v>A la fecha no ha conformado un EAT Región</v>
      </c>
      <c r="AB735" s="17" t="str">
        <f>IF($E735="","",INDEX([1]Esquemas_NORM!$H$2:$K$126,MATCH($E735,[1]Esquemas_NORM!$A$2:$A$126,0),MATCH(AB$4,[1]Esquemas_NORM!$H$1:$K$1,0)))</f>
        <v>A la fecha no ha conformado un EAT Área Metropolitana</v>
      </c>
      <c r="AC735" s="17" t="str">
        <f>IF($E735="","",INDEX([1]Esquemas_NORM!$H$2:$K$126,MATCH($E735,[1]Esquemas_NORM!$A$2:$A$126,0),MATCH(AC$4,[1]Esquemas_NORM!$H$1:$K$1,0)))</f>
        <v>A la fecha no ha conformado un EAT asociación - unión</v>
      </c>
      <c r="AD735" s="23"/>
    </row>
    <row r="736" spans="1:30" x14ac:dyDescent="0.25">
      <c r="A736" s="24">
        <v>2020</v>
      </c>
      <c r="B736" s="25" t="s">
        <v>36</v>
      </c>
      <c r="C736" s="25" t="s">
        <v>252</v>
      </c>
      <c r="D736" s="25" t="s">
        <v>257</v>
      </c>
      <c r="E736" s="25" t="s">
        <v>276</v>
      </c>
      <c r="F736" s="25" t="s">
        <v>255</v>
      </c>
      <c r="G736" s="25" t="s">
        <v>277</v>
      </c>
      <c r="H736" s="26">
        <v>14.158598495651002</v>
      </c>
      <c r="I736" s="26">
        <v>0</v>
      </c>
      <c r="J736" s="27">
        <v>14.158598495651002</v>
      </c>
      <c r="K736" s="26">
        <v>2.0754260616396842</v>
      </c>
      <c r="L736" s="26">
        <v>2.3383428779269178</v>
      </c>
      <c r="M736" s="27">
        <v>4.4137689395666015</v>
      </c>
      <c r="N736" s="26">
        <v>2.3170723789088008</v>
      </c>
      <c r="O736" s="26">
        <v>9.3362926562316808</v>
      </c>
      <c r="P736" s="26">
        <v>2.0839494342571494</v>
      </c>
      <c r="Q736" s="26">
        <v>1.3034269866709962</v>
      </c>
      <c r="R736" s="26">
        <v>5.9292044068306513</v>
      </c>
      <c r="S736" s="26">
        <v>5.7063849155647803</v>
      </c>
      <c r="T736" s="26">
        <v>10.507096818881838</v>
      </c>
      <c r="U736" s="26">
        <v>1.6431044676786697</v>
      </c>
      <c r="V736" s="27">
        <v>38.826532065024566</v>
      </c>
      <c r="W736" s="27">
        <v>59.212783141567137</v>
      </c>
      <c r="X736" s="26">
        <v>5.8756612445083656</v>
      </c>
      <c r="Y736" s="28">
        <v>65.091598010065667</v>
      </c>
      <c r="Z736" s="17" t="str">
        <f>SUBSTITUTE(SUBSTITUTE(SUBSTITUTE(SUBSTITUTE(IF(E736="","",VLOOKUP(E736,[1]Esquemas_NORM!$A$2:$H$126,8,FALSE)),"PROVINCIA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736" s="17" t="str">
        <f>IF($E736="","",INDEX([1]Esquemas_NORM!$H$2:$K$126,MATCH($E736,[1]Esquemas_NORM!$A$2:$A$126,0),MATCH(AA$4,[1]Esquemas_NORM!$H$1:$K$1,0)))</f>
        <v>A la fecha no ha conformado un EAT Región</v>
      </c>
      <c r="AB736" s="17" t="str">
        <f>IF($E736="","",INDEX([1]Esquemas_NORM!$H$2:$K$126,MATCH($E736,[1]Esquemas_NORM!$A$2:$A$126,0),MATCH(AB$4,[1]Esquemas_NORM!$H$1:$K$1,0)))</f>
        <v>A la fecha no ha conformado un EAT Área Metropolitana</v>
      </c>
      <c r="AC736" s="17" t="str">
        <f>IF($E736="","",INDEX([1]Esquemas_NORM!$H$2:$K$126,MATCH($E736,[1]Esquemas_NORM!$A$2:$A$126,0),MATCH(AC$4,[1]Esquemas_NORM!$H$1:$K$1,0)))</f>
        <v>A la fecha no ha conformado un EAT asociación - unión</v>
      </c>
      <c r="AD736" s="23"/>
    </row>
    <row r="737" spans="1:30" x14ac:dyDescent="0.25">
      <c r="A737" s="24">
        <v>2020</v>
      </c>
      <c r="B737" s="25" t="s">
        <v>36</v>
      </c>
      <c r="C737" s="25" t="s">
        <v>252</v>
      </c>
      <c r="D737" s="25" t="s">
        <v>257</v>
      </c>
      <c r="E737" s="25" t="s">
        <v>278</v>
      </c>
      <c r="F737" s="25" t="s">
        <v>255</v>
      </c>
      <c r="G737" s="25" t="s">
        <v>279</v>
      </c>
      <c r="H737" s="26">
        <v>53.548856880657148</v>
      </c>
      <c r="I737" s="26">
        <v>0</v>
      </c>
      <c r="J737" s="27">
        <v>53.548856880657148</v>
      </c>
      <c r="K737" s="26">
        <v>9.0503956490422865</v>
      </c>
      <c r="L737" s="26">
        <v>4.131493380470256</v>
      </c>
      <c r="M737" s="27">
        <v>13.181889029512543</v>
      </c>
      <c r="N737" s="26">
        <v>4.942505788661065</v>
      </c>
      <c r="O737" s="26">
        <v>27.685128251493325</v>
      </c>
      <c r="P737" s="26">
        <v>4.9795727820666151</v>
      </c>
      <c r="Q737" s="26">
        <v>5.2039260385708372</v>
      </c>
      <c r="R737" s="26">
        <v>17.03308007614929</v>
      </c>
      <c r="S737" s="26">
        <v>14.447395203822525</v>
      </c>
      <c r="T737" s="26">
        <v>23.423457161863851</v>
      </c>
      <c r="U737" s="26">
        <v>4.3915359476316782</v>
      </c>
      <c r="V737" s="27">
        <v>102.10660125025919</v>
      </c>
      <c r="W737" s="27">
        <v>175.35263459532356</v>
      </c>
      <c r="X737" s="26">
        <v>17.4001731475954</v>
      </c>
      <c r="Y737" s="28">
        <v>192.76214687960277</v>
      </c>
      <c r="Z737" s="17" t="str">
        <f>SUBSTITUTE(SUBSTITUTE(SUBSTITUTE(SUBSTITUTE(IF(E737="","",VLOOKUP(E737,[1]Esquemas_NORM!$A$2:$H$126,8,FALSE)),"PROVINCIA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737" s="17" t="str">
        <f>IF($E737="","",INDEX([1]Esquemas_NORM!$H$2:$K$126,MATCH($E737,[1]Esquemas_NORM!$A$2:$A$126,0),MATCH(AA$4,[1]Esquemas_NORM!$H$1:$K$1,0)))</f>
        <v>A la fecha no ha conformado un EAT Región</v>
      </c>
      <c r="AB737" s="17" t="str">
        <f>IF($E737="","",INDEX([1]Esquemas_NORM!$H$2:$K$126,MATCH($E737,[1]Esquemas_NORM!$A$2:$A$126,0),MATCH(AB$4,[1]Esquemas_NORM!$H$1:$K$1,0)))</f>
        <v>A la fecha no ha conformado un EAT Área Metropolitana</v>
      </c>
      <c r="AC737" s="17" t="str">
        <f>IF($E737="","",INDEX([1]Esquemas_NORM!$H$2:$K$126,MATCH($E737,[1]Esquemas_NORM!$A$2:$A$126,0),MATCH(AC$4,[1]Esquemas_NORM!$H$1:$K$1,0)))</f>
        <v>A la fecha no ha conformado un EAT asociación - unión</v>
      </c>
      <c r="AD737" s="23"/>
    </row>
    <row r="738" spans="1:30" x14ac:dyDescent="0.25">
      <c r="A738" s="24">
        <v>2020</v>
      </c>
      <c r="B738" s="25" t="s">
        <v>36</v>
      </c>
      <c r="C738" s="25" t="s">
        <v>252</v>
      </c>
      <c r="D738" s="25" t="s">
        <v>267</v>
      </c>
      <c r="E738" s="25" t="s">
        <v>280</v>
      </c>
      <c r="F738" s="25" t="s">
        <v>255</v>
      </c>
      <c r="G738" s="25" t="s">
        <v>281</v>
      </c>
      <c r="H738" s="26">
        <v>52.534385665810248</v>
      </c>
      <c r="I738" s="26">
        <v>0</v>
      </c>
      <c r="J738" s="27">
        <v>52.534385665810248</v>
      </c>
      <c r="K738" s="26">
        <v>3.640715236966261</v>
      </c>
      <c r="L738" s="26">
        <v>9.5864083004772169</v>
      </c>
      <c r="M738" s="27">
        <v>13.227123537443479</v>
      </c>
      <c r="N738" s="26">
        <v>20.619558570069511</v>
      </c>
      <c r="O738" s="26">
        <v>20.620730841584074</v>
      </c>
      <c r="P738" s="26">
        <v>4.8665583358503364</v>
      </c>
      <c r="Q738" s="26">
        <v>3.8856219447951132</v>
      </c>
      <c r="R738" s="26">
        <v>12.338786125359759</v>
      </c>
      <c r="S738" s="26">
        <v>14.945304904252216</v>
      </c>
      <c r="T738" s="26">
        <v>27.245505043237078</v>
      </c>
      <c r="U738" s="26">
        <v>4.8229053056031939</v>
      </c>
      <c r="V738" s="27">
        <v>109.34497107075128</v>
      </c>
      <c r="W738" s="27">
        <v>184.45226227258107</v>
      </c>
      <c r="X738" s="26">
        <v>18.303125632616581</v>
      </c>
      <c r="Y738" s="28">
        <v>202.76521168054603</v>
      </c>
      <c r="Z738" s="17" t="str">
        <f>SUBSTITUTE(SUBSTITUTE(SUBSTITUTE(SUBSTITUTE(IF(E738="","",VLOOKUP(E738,[1]Esquemas_NORM!$A$2:$H$126,8,FALSE)),"PROVINCIA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38" s="17" t="str">
        <f>IF($E738="","",INDEX([1]Esquemas_NORM!$H$2:$K$126,MATCH($E738,[1]Esquemas_NORM!$A$2:$A$126,0),MATCH(AA$4,[1]Esquemas_NORM!$H$1:$K$1,0)))</f>
        <v>A la fecha no ha conformado un EAT Región</v>
      </c>
      <c r="AB738" s="17" t="str">
        <f>IF($E738="","",INDEX([1]Esquemas_NORM!$H$2:$K$126,MATCH($E738,[1]Esquemas_NORM!$A$2:$A$126,0),MATCH(AB$4,[1]Esquemas_NORM!$H$1:$K$1,0)))</f>
        <v>A la fecha no ha conformado un EAT Área Metropolitana</v>
      </c>
      <c r="AC738" s="17" t="str">
        <f>IF($E738="","",INDEX([1]Esquemas_NORM!$H$2:$K$126,MATCH($E738,[1]Esquemas_NORM!$A$2:$A$126,0),MATCH(AC$4,[1]Esquemas_NORM!$H$1:$K$1,0)))</f>
        <v>A la fecha no ha conformado un EAT asociación - unión</v>
      </c>
      <c r="AD738" s="23"/>
    </row>
    <row r="739" spans="1:30" x14ac:dyDescent="0.25">
      <c r="A739" s="24">
        <v>2020</v>
      </c>
      <c r="B739" s="25" t="s">
        <v>36</v>
      </c>
      <c r="C739" s="25" t="s">
        <v>252</v>
      </c>
      <c r="D739" s="25" t="s">
        <v>267</v>
      </c>
      <c r="E739" s="25" t="s">
        <v>282</v>
      </c>
      <c r="F739" s="25" t="s">
        <v>255</v>
      </c>
      <c r="G739" s="25" t="s">
        <v>283</v>
      </c>
      <c r="H739" s="26">
        <v>5.1791323606475403</v>
      </c>
      <c r="I739" s="26">
        <v>2.5556100180628194</v>
      </c>
      <c r="J739" s="27">
        <v>7.7347423787103597</v>
      </c>
      <c r="K739" s="26">
        <v>16.751947941401095</v>
      </c>
      <c r="L739" s="26">
        <v>28.808795016221008</v>
      </c>
      <c r="M739" s="27">
        <v>45.560742957622104</v>
      </c>
      <c r="N739" s="26">
        <v>3.8824507691716041</v>
      </c>
      <c r="O739" s="26">
        <v>35.414074907427178</v>
      </c>
      <c r="P739" s="26">
        <v>2.994701096082891</v>
      </c>
      <c r="Q739" s="26">
        <v>2.0319710814031389</v>
      </c>
      <c r="R739" s="26">
        <v>7.8126707175906551</v>
      </c>
      <c r="S739" s="26">
        <v>10.601914985618595</v>
      </c>
      <c r="T739" s="26">
        <v>14.644323057361103</v>
      </c>
      <c r="U739" s="26">
        <v>2.8047921969555785</v>
      </c>
      <c r="V739" s="27">
        <v>80.186898811610746</v>
      </c>
      <c r="W739" s="27">
        <v>133.41442904172018</v>
      </c>
      <c r="X739" s="26">
        <v>13.238661461057283</v>
      </c>
      <c r="Y739" s="28">
        <v>146.66019604522572</v>
      </c>
      <c r="Z739" s="17" t="str">
        <f>SUBSTITUTE(SUBSTITUTE(SUBSTITUTE(SUBSTITUTE(IF(E739="","",VLOOKUP(E739,[1]Esquemas_NORM!$A$2:$H$126,8,FALSE)),"PROVINCIA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39" s="17" t="str">
        <f>IF($E739="","",INDEX([1]Esquemas_NORM!$H$2:$K$126,MATCH($E739,[1]Esquemas_NORM!$A$2:$A$126,0),MATCH(AA$4,[1]Esquemas_NORM!$H$1:$K$1,0)))</f>
        <v>A la fecha no ha conformado un EAT Región</v>
      </c>
      <c r="AB739" s="17" t="str">
        <f>IF($E739="","",INDEX([1]Esquemas_NORM!$H$2:$K$126,MATCH($E739,[1]Esquemas_NORM!$A$2:$A$126,0),MATCH(AB$4,[1]Esquemas_NORM!$H$1:$K$1,0)))</f>
        <v>A la fecha no ha conformado un EAT Área Metropolitana</v>
      </c>
      <c r="AC739" s="17" t="str">
        <f>IF($E739="","",INDEX([1]Esquemas_NORM!$H$2:$K$126,MATCH($E739,[1]Esquemas_NORM!$A$2:$A$126,0),MATCH(AC$4,[1]Esquemas_NORM!$H$1:$K$1,0)))</f>
        <v>A la fecha no ha conformado un EAT asociación - unión</v>
      </c>
      <c r="AD739" s="23"/>
    </row>
    <row r="740" spans="1:30" x14ac:dyDescent="0.25">
      <c r="A740" s="24">
        <v>2020</v>
      </c>
      <c r="B740" s="25" t="s">
        <v>36</v>
      </c>
      <c r="C740" s="25" t="s">
        <v>252</v>
      </c>
      <c r="D740" s="25" t="s">
        <v>267</v>
      </c>
      <c r="E740" s="25" t="s">
        <v>284</v>
      </c>
      <c r="F740" s="25" t="s">
        <v>255</v>
      </c>
      <c r="G740" s="25" t="s">
        <v>285</v>
      </c>
      <c r="H740" s="26">
        <v>14.686456152106246</v>
      </c>
      <c r="I740" s="26">
        <v>0.13086808385105939</v>
      </c>
      <c r="J740" s="27">
        <v>14.817324235957305</v>
      </c>
      <c r="K740" s="26">
        <v>4.0252503373599504</v>
      </c>
      <c r="L740" s="26">
        <v>10.160313946747982</v>
      </c>
      <c r="M740" s="27">
        <v>14.185564284107933</v>
      </c>
      <c r="N740" s="26">
        <v>1.2036119686670073</v>
      </c>
      <c r="O740" s="26">
        <v>7.7036493052651434</v>
      </c>
      <c r="P740" s="26">
        <v>1.9768080893528621</v>
      </c>
      <c r="Q740" s="26">
        <v>1.6394099787025302</v>
      </c>
      <c r="R740" s="26">
        <v>5.9211615605188523</v>
      </c>
      <c r="S740" s="26">
        <v>5.8861950870990407</v>
      </c>
      <c r="T740" s="26">
        <v>14.183327539870829</v>
      </c>
      <c r="U740" s="26">
        <v>1.8690062346321741</v>
      </c>
      <c r="V740" s="27">
        <v>40.383169764108438</v>
      </c>
      <c r="W740" s="27">
        <v>70.14767640093774</v>
      </c>
      <c r="X740" s="26">
        <v>6.960726413345717</v>
      </c>
      <c r="Y740" s="28">
        <v>77.11213882166939</v>
      </c>
      <c r="Z740" s="17" t="str">
        <f>SUBSTITUTE(SUBSTITUTE(SUBSTITUTE(SUBSTITUTE(IF(E740="","",VLOOKUP(E740,[1]Esquemas_NORM!$A$2:$H$126,8,FALSE)),"PROVINCIA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40" s="17" t="str">
        <f>IF($E740="","",INDEX([1]Esquemas_NORM!$H$2:$K$126,MATCH($E740,[1]Esquemas_NORM!$A$2:$A$126,0),MATCH(AA$4,[1]Esquemas_NORM!$H$1:$K$1,0)))</f>
        <v>A la fecha no ha conformado un EAT Región</v>
      </c>
      <c r="AB740" s="17" t="str">
        <f>IF($E740="","",INDEX([1]Esquemas_NORM!$H$2:$K$126,MATCH($E740,[1]Esquemas_NORM!$A$2:$A$126,0),MATCH(AB$4,[1]Esquemas_NORM!$H$1:$K$1,0)))</f>
        <v>A la fecha no ha conformado un EAT Área Metropolitana</v>
      </c>
      <c r="AC740" s="17" t="str">
        <f>IF($E740="","",INDEX([1]Esquemas_NORM!$H$2:$K$126,MATCH($E740,[1]Esquemas_NORM!$A$2:$A$126,0),MATCH(AC$4,[1]Esquemas_NORM!$H$1:$K$1,0)))</f>
        <v>A la fecha no ha conformado un EAT asociación - unión</v>
      </c>
      <c r="AD740" s="23"/>
    </row>
    <row r="741" spans="1:30" x14ac:dyDescent="0.25">
      <c r="A741" s="24">
        <v>2020</v>
      </c>
      <c r="B741" s="25" t="s">
        <v>36</v>
      </c>
      <c r="C741" s="25" t="s">
        <v>252</v>
      </c>
      <c r="D741" s="25" t="s">
        <v>267</v>
      </c>
      <c r="E741" s="25" t="s">
        <v>286</v>
      </c>
      <c r="F741" s="25" t="s">
        <v>255</v>
      </c>
      <c r="G741" s="25" t="s">
        <v>287</v>
      </c>
      <c r="H741" s="26">
        <v>18.683818181322497</v>
      </c>
      <c r="I741" s="26">
        <v>0</v>
      </c>
      <c r="J741" s="27">
        <v>18.683818181322497</v>
      </c>
      <c r="K741" s="26">
        <v>1.4271342851868887</v>
      </c>
      <c r="L741" s="26">
        <v>5.4489388491685382</v>
      </c>
      <c r="M741" s="27">
        <v>6.8760731343554271</v>
      </c>
      <c r="N741" s="26">
        <v>2.0204550087927289</v>
      </c>
      <c r="O741" s="26">
        <v>6.4731985234362419</v>
      </c>
      <c r="P741" s="26">
        <v>2.6849473412731921</v>
      </c>
      <c r="Q741" s="26">
        <v>2.1493947832524261</v>
      </c>
      <c r="R741" s="26">
        <v>5.9681815710765012</v>
      </c>
      <c r="S741" s="26">
        <v>7.6069532136609848</v>
      </c>
      <c r="T741" s="26">
        <v>20.31348609730556</v>
      </c>
      <c r="U741" s="26">
        <v>2.569401131221515</v>
      </c>
      <c r="V741" s="27">
        <v>49.786017670019156</v>
      </c>
      <c r="W741" s="27">
        <v>77.13654424962516</v>
      </c>
      <c r="X741" s="26">
        <v>7.6542290285398273</v>
      </c>
      <c r="Y741" s="28">
        <v>84.794881506887876</v>
      </c>
      <c r="Z741" s="17" t="str">
        <f>SUBSTITUTE(SUBSTITUTE(SUBSTITUTE(SUBSTITUTE(IF(E741="","",VLOOKUP(E741,[1]Esquemas_NORM!$A$2:$H$126,8,FALSE)),"PROVINCIA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41" s="17" t="str">
        <f>IF($E741="","",INDEX([1]Esquemas_NORM!$H$2:$K$126,MATCH($E741,[1]Esquemas_NORM!$A$2:$A$126,0),MATCH(AA$4,[1]Esquemas_NORM!$H$1:$K$1,0)))</f>
        <v>A la fecha no ha conformado un EAT Región</v>
      </c>
      <c r="AB741" s="17" t="str">
        <f>IF($E741="","",INDEX([1]Esquemas_NORM!$H$2:$K$126,MATCH($E741,[1]Esquemas_NORM!$A$2:$A$126,0),MATCH(AB$4,[1]Esquemas_NORM!$H$1:$K$1,0)))</f>
        <v>A la fecha no ha conformado un EAT Área Metropolitana</v>
      </c>
      <c r="AC741" s="17" t="str">
        <f>IF($E741="","",INDEX([1]Esquemas_NORM!$H$2:$K$126,MATCH($E741,[1]Esquemas_NORM!$A$2:$A$126,0),MATCH(AC$4,[1]Esquemas_NORM!$H$1:$K$1,0)))</f>
        <v>A la fecha no ha conformado un EAT asociación - unión</v>
      </c>
      <c r="AD741" s="23"/>
    </row>
    <row r="742" spans="1:30" x14ac:dyDescent="0.25">
      <c r="A742" s="24">
        <v>2020</v>
      </c>
      <c r="B742" s="25" t="s">
        <v>36</v>
      </c>
      <c r="C742" s="25" t="s">
        <v>252</v>
      </c>
      <c r="D742" s="25" t="s">
        <v>264</v>
      </c>
      <c r="E742" s="25" t="s">
        <v>288</v>
      </c>
      <c r="F742" s="25" t="s">
        <v>255</v>
      </c>
      <c r="G742" s="25" t="s">
        <v>289</v>
      </c>
      <c r="H742" s="26">
        <v>82.537720207008263</v>
      </c>
      <c r="I742" s="26">
        <v>0</v>
      </c>
      <c r="J742" s="27">
        <v>82.537720207008263</v>
      </c>
      <c r="K742" s="26">
        <v>6.5075496166920086</v>
      </c>
      <c r="L742" s="26">
        <v>8.10063197282701</v>
      </c>
      <c r="M742" s="27">
        <v>14.608181589519019</v>
      </c>
      <c r="N742" s="26">
        <v>15.001239971912137</v>
      </c>
      <c r="O742" s="26">
        <v>22.64417249848081</v>
      </c>
      <c r="P742" s="26">
        <v>4.37941995503913</v>
      </c>
      <c r="Q742" s="26">
        <v>4.5846891916895425</v>
      </c>
      <c r="R742" s="26">
        <v>9.9565369887836308</v>
      </c>
      <c r="S742" s="26">
        <v>14.277939655855134</v>
      </c>
      <c r="T742" s="26">
        <v>27.584788227290172</v>
      </c>
      <c r="U742" s="26">
        <v>4.8016855511744438</v>
      </c>
      <c r="V742" s="27">
        <v>103.23047204022501</v>
      </c>
      <c r="W742" s="27">
        <v>212.59191523828517</v>
      </c>
      <c r="X742" s="26">
        <v>21.095412358430281</v>
      </c>
      <c r="Y742" s="28">
        <v>233.69865006677043</v>
      </c>
      <c r="Z742" s="17" t="str">
        <f>SUBSTITUTE(SUBSTITUTE(SUBSTITUTE(SUBSTITUTE(IF(E742="","",VLOOKUP(E742,[1]Esquemas_NORM!$A$2:$H$126,8,FALSE)),"PROVINCIA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742" s="17" t="str">
        <f>IF($E742="","",INDEX([1]Esquemas_NORM!$H$2:$K$126,MATCH($E742,[1]Esquemas_NORM!$A$2:$A$126,0),MATCH(AA$4,[1]Esquemas_NORM!$H$1:$K$1,0)))</f>
        <v>A la fecha no ha conformado un EAT Región</v>
      </c>
      <c r="AB742" s="17" t="str">
        <f>IF($E742="","",INDEX([1]Esquemas_NORM!$H$2:$K$126,MATCH($E742,[1]Esquemas_NORM!$A$2:$A$126,0),MATCH(AB$4,[1]Esquemas_NORM!$H$1:$K$1,0)))</f>
        <v>A la fecha no ha conformado un EAT Área Metropolitana</v>
      </c>
      <c r="AC742" s="17" t="str">
        <f>IF($E742="","",INDEX([1]Esquemas_NORM!$H$2:$K$126,MATCH($E742,[1]Esquemas_NORM!$A$2:$A$126,0),MATCH(AC$4,[1]Esquemas_NORM!$H$1:$K$1,0)))</f>
        <v>A la fecha no ha conformado un EAT asociación - unión</v>
      </c>
      <c r="AD742" s="23"/>
    </row>
    <row r="743" spans="1:30" x14ac:dyDescent="0.25">
      <c r="A743" s="24">
        <v>2020</v>
      </c>
      <c r="B743" s="25" t="s">
        <v>36</v>
      </c>
      <c r="C743" s="25" t="s">
        <v>252</v>
      </c>
      <c r="D743" s="25" t="s">
        <v>267</v>
      </c>
      <c r="E743" s="25" t="s">
        <v>290</v>
      </c>
      <c r="F743" s="25" t="s">
        <v>255</v>
      </c>
      <c r="G743" s="25" t="s">
        <v>291</v>
      </c>
      <c r="H743" s="26">
        <v>46.610518704012904</v>
      </c>
      <c r="I743" s="26">
        <v>0</v>
      </c>
      <c r="J743" s="27">
        <v>46.610518704012904</v>
      </c>
      <c r="K743" s="26">
        <v>7.1950773199451481</v>
      </c>
      <c r="L743" s="26">
        <v>8.978794377373795</v>
      </c>
      <c r="M743" s="27">
        <v>16.173871697318944</v>
      </c>
      <c r="N743" s="26">
        <v>5.9338515101879636</v>
      </c>
      <c r="O743" s="26">
        <v>47.384218347430561</v>
      </c>
      <c r="P743" s="26">
        <v>8.3635585772106946</v>
      </c>
      <c r="Q743" s="26">
        <v>7.8255193814631445</v>
      </c>
      <c r="R743" s="26">
        <v>26.65958032849586</v>
      </c>
      <c r="S743" s="26">
        <v>21.33263216286117</v>
      </c>
      <c r="T743" s="26">
        <v>30.083999895620188</v>
      </c>
      <c r="U743" s="26">
        <v>7.5891281881348931</v>
      </c>
      <c r="V743" s="27">
        <v>155.1724883914045</v>
      </c>
      <c r="W743" s="27">
        <v>223.74224937660361</v>
      </c>
      <c r="X743" s="26">
        <v>22.201855641171623</v>
      </c>
      <c r="Y743" s="28">
        <v>245.95602134542983</v>
      </c>
      <c r="Z743" s="17" t="str">
        <f>SUBSTITUTE(SUBSTITUTE(SUBSTITUTE(SUBSTITUTE(IF(E743="","",VLOOKUP(E743,[1]Esquemas_NORM!$A$2:$H$126,8,FALSE)),"PROVINCIA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43" s="17" t="str">
        <f>IF($E743="","",INDEX([1]Esquemas_NORM!$H$2:$K$126,MATCH($E743,[1]Esquemas_NORM!$A$2:$A$126,0),MATCH(AA$4,[1]Esquemas_NORM!$H$1:$K$1,0)))</f>
        <v>A la fecha no ha conformado un EAT Región</v>
      </c>
      <c r="AB743" s="17" t="str">
        <f>IF($E743="","",INDEX([1]Esquemas_NORM!$H$2:$K$126,MATCH($E743,[1]Esquemas_NORM!$A$2:$A$126,0),MATCH(AB$4,[1]Esquemas_NORM!$H$1:$K$1,0)))</f>
        <v>A la fecha no ha conformado un EAT Área Metropolitana</v>
      </c>
      <c r="AC743" s="17" t="str">
        <f>IF($E743="","",INDEX([1]Esquemas_NORM!$H$2:$K$126,MATCH($E743,[1]Esquemas_NORM!$A$2:$A$126,0),MATCH(AC$4,[1]Esquemas_NORM!$H$1:$K$1,0)))</f>
        <v>A la fecha no ha conformado un EAT asociación - unión</v>
      </c>
      <c r="AD743" s="23"/>
    </row>
    <row r="744" spans="1:30" x14ac:dyDescent="0.25">
      <c r="A744" s="24">
        <v>2020</v>
      </c>
      <c r="B744" s="25" t="s">
        <v>36</v>
      </c>
      <c r="C744" s="25" t="s">
        <v>252</v>
      </c>
      <c r="D744" s="25" t="s">
        <v>267</v>
      </c>
      <c r="E744" s="25" t="s">
        <v>292</v>
      </c>
      <c r="F744" s="25" t="s">
        <v>255</v>
      </c>
      <c r="G744" s="25" t="s">
        <v>293</v>
      </c>
      <c r="H744" s="26">
        <v>99.233848636958754</v>
      </c>
      <c r="I744" s="26">
        <v>0</v>
      </c>
      <c r="J744" s="27">
        <v>99.233848636958754</v>
      </c>
      <c r="K744" s="26">
        <v>7.008913441556663</v>
      </c>
      <c r="L744" s="26">
        <v>18.916497418729527</v>
      </c>
      <c r="M744" s="27">
        <v>25.925410860286192</v>
      </c>
      <c r="N744" s="26">
        <v>5.4720142038375856</v>
      </c>
      <c r="O744" s="26">
        <v>24.369793284208122</v>
      </c>
      <c r="P744" s="26">
        <v>5.8524346460690442</v>
      </c>
      <c r="Q744" s="26">
        <v>5.7527077295489226</v>
      </c>
      <c r="R744" s="26">
        <v>14.111755408603255</v>
      </c>
      <c r="S744" s="26">
        <v>15.078635250955138</v>
      </c>
      <c r="T744" s="26">
        <v>28.425832949205912</v>
      </c>
      <c r="U744" s="26">
        <v>5.5113575775573285</v>
      </c>
      <c r="V744" s="27">
        <v>104.57453104998531</v>
      </c>
      <c r="W744" s="27">
        <v>241.08123992350022</v>
      </c>
      <c r="X744" s="26">
        <v>23.922396871810289</v>
      </c>
      <c r="Y744" s="28">
        <v>265.01647658329938</v>
      </c>
      <c r="Z744" s="17" t="str">
        <f>SUBSTITUTE(SUBSTITUTE(SUBSTITUTE(SUBSTITUTE(IF(E744="","",VLOOKUP(E744,[1]Esquemas_NORM!$A$2:$H$126,8,FALSE)),"PROVINCIA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44" s="17" t="str">
        <f>IF($E744="","",INDEX([1]Esquemas_NORM!$H$2:$K$126,MATCH($E744,[1]Esquemas_NORM!$A$2:$A$126,0),MATCH(AA$4,[1]Esquemas_NORM!$H$1:$K$1,0)))</f>
        <v>A la fecha no ha conformado un EAT Región</v>
      </c>
      <c r="AB744" s="17" t="str">
        <f>IF($E744="","",INDEX([1]Esquemas_NORM!$H$2:$K$126,MATCH($E744,[1]Esquemas_NORM!$A$2:$A$126,0),MATCH(AB$4,[1]Esquemas_NORM!$H$1:$K$1,0)))</f>
        <v>A la fecha no ha conformado un EAT Área Metropolitana</v>
      </c>
      <c r="AC744" s="17" t="str">
        <f>IF($E744="","",INDEX([1]Esquemas_NORM!$H$2:$K$126,MATCH($E744,[1]Esquemas_NORM!$A$2:$A$126,0),MATCH(AC$4,[1]Esquemas_NORM!$H$1:$K$1,0)))</f>
        <v>A la fecha no ha conformado un EAT asociación - unión</v>
      </c>
      <c r="AD744" s="23"/>
    </row>
    <row r="745" spans="1:30" x14ac:dyDescent="0.25">
      <c r="A745" s="24">
        <v>2020</v>
      </c>
      <c r="B745" s="25" t="s">
        <v>36</v>
      </c>
      <c r="C745" s="25" t="s">
        <v>252</v>
      </c>
      <c r="D745" s="25" t="s">
        <v>267</v>
      </c>
      <c r="E745" s="25" t="s">
        <v>294</v>
      </c>
      <c r="F745" s="25" t="s">
        <v>255</v>
      </c>
      <c r="G745" s="25" t="s">
        <v>295</v>
      </c>
      <c r="H745" s="26">
        <v>37.85190651554317</v>
      </c>
      <c r="I745" s="26">
        <v>1.0406681270088349</v>
      </c>
      <c r="J745" s="27">
        <v>38.892574642552006</v>
      </c>
      <c r="K745" s="26">
        <v>2.2865192378243289</v>
      </c>
      <c r="L745" s="26">
        <v>4.3244130341858984</v>
      </c>
      <c r="M745" s="27">
        <v>6.6109322720102277</v>
      </c>
      <c r="N745" s="26">
        <v>2.6063227994050102</v>
      </c>
      <c r="O745" s="26">
        <v>5.873894585074571</v>
      </c>
      <c r="P745" s="26">
        <v>2.5228091228249436</v>
      </c>
      <c r="Q745" s="26">
        <v>2.3796738571902796</v>
      </c>
      <c r="R745" s="26">
        <v>6.1008490796095023</v>
      </c>
      <c r="S745" s="26">
        <v>7.4795827367572896</v>
      </c>
      <c r="T745" s="26">
        <v>17.091659990800729</v>
      </c>
      <c r="U745" s="26">
        <v>2.2943876404130434</v>
      </c>
      <c r="V745" s="27">
        <v>46.34917981207537</v>
      </c>
      <c r="W745" s="27">
        <v>96.72664899932515</v>
      </c>
      <c r="X745" s="26">
        <v>9.5981474384980352</v>
      </c>
      <c r="Y745" s="28">
        <v>106.32994801936661</v>
      </c>
      <c r="Z745" s="17" t="str">
        <f>SUBSTITUTE(SUBSTITUTE(SUBSTITUTE(SUBSTITUTE(IF(E745="","",VLOOKUP(E745,[1]Esquemas_NORM!$A$2:$H$126,8,FALSE)),"PROVINCIA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45" s="17" t="str">
        <f>IF($E745="","",INDEX([1]Esquemas_NORM!$H$2:$K$126,MATCH($E745,[1]Esquemas_NORM!$A$2:$A$126,0),MATCH(AA$4,[1]Esquemas_NORM!$H$1:$K$1,0)))</f>
        <v>A la fecha no ha conformado un EAT Región</v>
      </c>
      <c r="AB745" s="17" t="str">
        <f>IF($E745="","",INDEX([1]Esquemas_NORM!$H$2:$K$126,MATCH($E745,[1]Esquemas_NORM!$A$2:$A$126,0),MATCH(AB$4,[1]Esquemas_NORM!$H$1:$K$1,0)))</f>
        <v>A la fecha no ha conformado un EAT Área Metropolitana</v>
      </c>
      <c r="AC745" s="17" t="str">
        <f>IF($E745="","",INDEX([1]Esquemas_NORM!$H$2:$K$126,MATCH($E745,[1]Esquemas_NORM!$A$2:$A$126,0),MATCH(AC$4,[1]Esquemas_NORM!$H$1:$K$1,0)))</f>
        <v>A la fecha no ha conformado un EAT asociación - unión</v>
      </c>
      <c r="AD745" s="23"/>
    </row>
    <row r="746" spans="1:30" x14ac:dyDescent="0.25">
      <c r="A746" s="24">
        <v>2020</v>
      </c>
      <c r="B746" s="25" t="s">
        <v>36</v>
      </c>
      <c r="C746" s="25" t="s">
        <v>252</v>
      </c>
      <c r="D746" s="25" t="s">
        <v>253</v>
      </c>
      <c r="E746" s="25" t="s">
        <v>296</v>
      </c>
      <c r="F746" s="25" t="s">
        <v>255</v>
      </c>
      <c r="G746" s="25" t="s">
        <v>297</v>
      </c>
      <c r="H746" s="26">
        <v>11.582726429456175</v>
      </c>
      <c r="I746" s="26">
        <v>4.4444053250023803</v>
      </c>
      <c r="J746" s="27">
        <v>16.027131754458555</v>
      </c>
      <c r="K746" s="26">
        <v>2.8850558962617603</v>
      </c>
      <c r="L746" s="26">
        <v>3.2541343965006284</v>
      </c>
      <c r="M746" s="27">
        <v>6.1391902927623887</v>
      </c>
      <c r="N746" s="26">
        <v>3.3247825990176327</v>
      </c>
      <c r="O746" s="26">
        <v>12.186982973112199</v>
      </c>
      <c r="P746" s="26">
        <v>3.1642099039796325</v>
      </c>
      <c r="Q746" s="26">
        <v>2.2913748204350179</v>
      </c>
      <c r="R746" s="26">
        <v>8.6194224582589971</v>
      </c>
      <c r="S746" s="26">
        <v>10.767208567237846</v>
      </c>
      <c r="T746" s="26">
        <v>18.121745827142071</v>
      </c>
      <c r="U746" s="26">
        <v>3.5047883918243774</v>
      </c>
      <c r="V746" s="27">
        <v>61.980515541007769</v>
      </c>
      <c r="W746" s="27">
        <v>87.58589485050986</v>
      </c>
      <c r="X746" s="26">
        <v>8.6911139898298231</v>
      </c>
      <c r="Y746" s="28">
        <v>96.281673592857061</v>
      </c>
      <c r="Z746" s="17" t="str">
        <f>SUBSTITUTE(SUBSTITUTE(SUBSTITUTE(SUBSTITUTE(IF(E746="","",VLOOKUP(E746,[1]Esquemas_NORM!$A$2:$H$126,8,FALSE)),"PROVINCIA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746" s="17" t="str">
        <f>IF($E746="","",INDEX([1]Esquemas_NORM!$H$2:$K$126,MATCH($E746,[1]Esquemas_NORM!$A$2:$A$126,0),MATCH(AA$4,[1]Esquemas_NORM!$H$1:$K$1,0)))</f>
        <v>A la fecha no ha conformado un EAT Región</v>
      </c>
      <c r="AB746" s="17" t="str">
        <f>IF($E746="","",INDEX([1]Esquemas_NORM!$H$2:$K$126,MATCH($E746,[1]Esquemas_NORM!$A$2:$A$126,0),MATCH(AB$4,[1]Esquemas_NORM!$H$1:$K$1,0)))</f>
        <v>A la fecha no ha conformado un EAT Área Metropolitana</v>
      </c>
      <c r="AC746" s="17" t="str">
        <f>IF($E746="","",INDEX([1]Esquemas_NORM!$H$2:$K$126,MATCH($E746,[1]Esquemas_NORM!$A$2:$A$126,0),MATCH(AC$4,[1]Esquemas_NORM!$H$1:$K$1,0)))</f>
        <v>A la fecha no ha conformado un EAT asociación - unión</v>
      </c>
      <c r="AD746" s="23"/>
    </row>
    <row r="747" spans="1:30" x14ac:dyDescent="0.25">
      <c r="A747" s="24">
        <v>2020</v>
      </c>
      <c r="B747" s="25" t="s">
        <v>36</v>
      </c>
      <c r="C747" s="25" t="s">
        <v>252</v>
      </c>
      <c r="D747" s="25" t="s">
        <v>264</v>
      </c>
      <c r="E747" s="25" t="s">
        <v>298</v>
      </c>
      <c r="F747" s="25" t="s">
        <v>255</v>
      </c>
      <c r="G747" s="25" t="s">
        <v>299</v>
      </c>
      <c r="H747" s="26">
        <v>372.3016208154848</v>
      </c>
      <c r="I747" s="26">
        <v>9.5007012167258562</v>
      </c>
      <c r="J747" s="27">
        <v>381.80232203221067</v>
      </c>
      <c r="K747" s="26">
        <v>26.736122222253982</v>
      </c>
      <c r="L747" s="26">
        <v>21.339634789006968</v>
      </c>
      <c r="M747" s="27">
        <v>48.075757011260947</v>
      </c>
      <c r="N747" s="26">
        <v>6.7155633085269786</v>
      </c>
      <c r="O747" s="26">
        <v>39.522358338355744</v>
      </c>
      <c r="P747" s="26">
        <v>10.072352165369846</v>
      </c>
      <c r="Q747" s="26">
        <v>11.279972148474377</v>
      </c>
      <c r="R747" s="26">
        <v>22.535914879168185</v>
      </c>
      <c r="S747" s="26">
        <v>27.309121331267143</v>
      </c>
      <c r="T747" s="26">
        <v>58.452392916747996</v>
      </c>
      <c r="U747" s="26">
        <v>8.3153379545794301</v>
      </c>
      <c r="V747" s="27">
        <v>184.20301304248972</v>
      </c>
      <c r="W747" s="27">
        <v>663.17015217810354</v>
      </c>
      <c r="X747" s="26">
        <v>65.806114067525769</v>
      </c>
      <c r="Y747" s="28">
        <v>729.01158614093504</v>
      </c>
      <c r="Z747" s="17" t="str">
        <f>SUBSTITUTE(SUBSTITUTE(SUBSTITUTE(SUBSTITUTE(IF(E747="","",VLOOKUP(E747,[1]Esquemas_NORM!$A$2:$H$126,8,FALSE)),"PROVINCIA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747" s="17" t="str">
        <f>IF($E747="","",INDEX([1]Esquemas_NORM!$H$2:$K$126,MATCH($E747,[1]Esquemas_NORM!$A$2:$A$126,0),MATCH(AA$4,[1]Esquemas_NORM!$H$1:$K$1,0)))</f>
        <v>A la fecha no ha conformado un EAT Región</v>
      </c>
      <c r="AB747" s="17" t="str">
        <f>IF($E747="","",INDEX([1]Esquemas_NORM!$H$2:$K$126,MATCH($E747,[1]Esquemas_NORM!$A$2:$A$126,0),MATCH(AB$4,[1]Esquemas_NORM!$H$1:$K$1,0)))</f>
        <v>A la fecha no ha conformado un EAT Área Metropolitana</v>
      </c>
      <c r="AC747" s="17" t="str">
        <f>IF($E747="","",INDEX([1]Esquemas_NORM!$H$2:$K$126,MATCH($E747,[1]Esquemas_NORM!$A$2:$A$126,0),MATCH(AC$4,[1]Esquemas_NORM!$H$1:$K$1,0)))</f>
        <v>A la fecha no ha conformado un EAT asociación - unión</v>
      </c>
      <c r="AD747" s="23"/>
    </row>
    <row r="748" spans="1:30" x14ac:dyDescent="0.25">
      <c r="A748" s="24">
        <v>2020</v>
      </c>
      <c r="B748" s="25" t="s">
        <v>36</v>
      </c>
      <c r="C748" s="25" t="s">
        <v>252</v>
      </c>
      <c r="D748" s="25" t="s">
        <v>267</v>
      </c>
      <c r="E748" s="25" t="s">
        <v>300</v>
      </c>
      <c r="F748" s="25" t="s">
        <v>255</v>
      </c>
      <c r="G748" s="25" t="s">
        <v>301</v>
      </c>
      <c r="H748" s="26">
        <v>109.30933422238853</v>
      </c>
      <c r="I748" s="26">
        <v>2.1623961729470915</v>
      </c>
      <c r="J748" s="27">
        <v>111.47173039533563</v>
      </c>
      <c r="K748" s="26">
        <v>1.1196379815600799</v>
      </c>
      <c r="L748" s="26">
        <v>11.190190524222087</v>
      </c>
      <c r="M748" s="27">
        <v>12.309828505782168</v>
      </c>
      <c r="N748" s="26">
        <v>1.8226240939760407</v>
      </c>
      <c r="O748" s="26">
        <v>8.1208853628299877</v>
      </c>
      <c r="P748" s="26">
        <v>2.5969378641098766</v>
      </c>
      <c r="Q748" s="26">
        <v>1.8254216209516161</v>
      </c>
      <c r="R748" s="26">
        <v>7.7609424994748721</v>
      </c>
      <c r="S748" s="26">
        <v>6.9170683319132333</v>
      </c>
      <c r="T748" s="26">
        <v>13.837068919906466</v>
      </c>
      <c r="U748" s="26">
        <v>2.636812370369062</v>
      </c>
      <c r="V748" s="27">
        <v>45.517761063531154</v>
      </c>
      <c r="W748" s="27">
        <v>183.49764233189501</v>
      </c>
      <c r="X748" s="26">
        <v>18.208399070368888</v>
      </c>
      <c r="Y748" s="28">
        <v>201.71581433534092</v>
      </c>
      <c r="Z748" s="17" t="str">
        <f>SUBSTITUTE(SUBSTITUTE(SUBSTITUTE(SUBSTITUTE(IF(E748="","",VLOOKUP(E748,[1]Esquemas_NORM!$A$2:$H$126,8,FALSE)),"PROVINCIA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48" s="17" t="str">
        <f>IF($E748="","",INDEX([1]Esquemas_NORM!$H$2:$K$126,MATCH($E748,[1]Esquemas_NORM!$A$2:$A$126,0),MATCH(AA$4,[1]Esquemas_NORM!$H$1:$K$1,0)))</f>
        <v>A la fecha no ha conformado un EAT Región</v>
      </c>
      <c r="AB748" s="17" t="str">
        <f>IF($E748="","",INDEX([1]Esquemas_NORM!$H$2:$K$126,MATCH($E748,[1]Esquemas_NORM!$A$2:$A$126,0),MATCH(AB$4,[1]Esquemas_NORM!$H$1:$K$1,0)))</f>
        <v>A la fecha no ha conformado un EAT Área Metropolitana</v>
      </c>
      <c r="AC748" s="17" t="str">
        <f>IF($E748="","",INDEX([1]Esquemas_NORM!$H$2:$K$126,MATCH($E748,[1]Esquemas_NORM!$A$2:$A$126,0),MATCH(AC$4,[1]Esquemas_NORM!$H$1:$K$1,0)))</f>
        <v>A la fecha no ha conformado un EAT asociación - unión</v>
      </c>
      <c r="AD748" s="23"/>
    </row>
    <row r="749" spans="1:30" x14ac:dyDescent="0.25">
      <c r="A749" s="24">
        <v>2020</v>
      </c>
      <c r="B749" s="25" t="s">
        <v>36</v>
      </c>
      <c r="C749" s="25" t="s">
        <v>252</v>
      </c>
      <c r="D749" s="25" t="s">
        <v>253</v>
      </c>
      <c r="E749" s="25" t="s">
        <v>302</v>
      </c>
      <c r="F749" s="25" t="s">
        <v>255</v>
      </c>
      <c r="G749" s="25" t="s">
        <v>303</v>
      </c>
      <c r="H749" s="26">
        <v>34.665070605510977</v>
      </c>
      <c r="I749" s="26">
        <v>4.3357288284302866</v>
      </c>
      <c r="J749" s="27">
        <v>39.00079943394126</v>
      </c>
      <c r="K749" s="26">
        <v>4.5653192549083128</v>
      </c>
      <c r="L749" s="26">
        <v>7.3022607242265289</v>
      </c>
      <c r="M749" s="27">
        <v>11.867579979134842</v>
      </c>
      <c r="N749" s="26">
        <v>5.4436835019612948</v>
      </c>
      <c r="O749" s="26">
        <v>25.191417874278347</v>
      </c>
      <c r="P749" s="26">
        <v>5.1482875863922866</v>
      </c>
      <c r="Q749" s="26">
        <v>3.5704735609535732</v>
      </c>
      <c r="R749" s="26">
        <v>14.221616761265164</v>
      </c>
      <c r="S749" s="26">
        <v>15.84405251772211</v>
      </c>
      <c r="T749" s="26">
        <v>27.497123569720699</v>
      </c>
      <c r="U749" s="26">
        <v>4.9378209093589902</v>
      </c>
      <c r="V749" s="27">
        <v>101.85447628165247</v>
      </c>
      <c r="W749" s="27">
        <v>159.21824795899846</v>
      </c>
      <c r="X749" s="26">
        <v>15.799164290494149</v>
      </c>
      <c r="Y749" s="28">
        <v>175.02589208205254</v>
      </c>
      <c r="Z749" s="17" t="str">
        <f>SUBSTITUTE(SUBSTITUTE(SUBSTITUTE(SUBSTITUTE(IF(E749="","",VLOOKUP(E749,[1]Esquemas_NORM!$A$2:$H$126,8,FALSE)),"PROVINCIA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749" s="17" t="str">
        <f>IF($E749="","",INDEX([1]Esquemas_NORM!$H$2:$K$126,MATCH($E749,[1]Esquemas_NORM!$A$2:$A$126,0),MATCH(AA$4,[1]Esquemas_NORM!$H$1:$K$1,0)))</f>
        <v>A la fecha no ha conformado un EAT Región</v>
      </c>
      <c r="AB749" s="17" t="str">
        <f>IF($E749="","",INDEX([1]Esquemas_NORM!$H$2:$K$126,MATCH($E749,[1]Esquemas_NORM!$A$2:$A$126,0),MATCH(AB$4,[1]Esquemas_NORM!$H$1:$K$1,0)))</f>
        <v>A la fecha no ha conformado un EAT Área Metropolitana</v>
      </c>
      <c r="AC749" s="17" t="str">
        <f>IF($E749="","",INDEX([1]Esquemas_NORM!$H$2:$K$126,MATCH($E749,[1]Esquemas_NORM!$A$2:$A$126,0),MATCH(AC$4,[1]Esquemas_NORM!$H$1:$K$1,0)))</f>
        <v>A la fecha no ha conformado un EAT asociación - unión</v>
      </c>
      <c r="AD749" s="23"/>
    </row>
    <row r="750" spans="1:30" x14ac:dyDescent="0.25">
      <c r="A750" s="24">
        <v>2020</v>
      </c>
      <c r="B750" s="25" t="s">
        <v>36</v>
      </c>
      <c r="C750" s="25" t="s">
        <v>304</v>
      </c>
      <c r="D750" s="25" t="s">
        <v>305</v>
      </c>
      <c r="E750" s="25" t="s">
        <v>306</v>
      </c>
      <c r="F750" s="25" t="s">
        <v>307</v>
      </c>
      <c r="G750" s="25" t="s">
        <v>308</v>
      </c>
      <c r="H750" s="26">
        <v>539.41674669111785</v>
      </c>
      <c r="I750" s="26">
        <v>2.925534606237123</v>
      </c>
      <c r="J750" s="27">
        <v>542.34228129735493</v>
      </c>
      <c r="K750" s="26">
        <v>73.231035682904761</v>
      </c>
      <c r="L750" s="26">
        <v>113.98162656784218</v>
      </c>
      <c r="M750" s="27">
        <v>187.21266225074694</v>
      </c>
      <c r="N750" s="26">
        <v>58.48873978484464</v>
      </c>
      <c r="O750" s="26">
        <v>364.01417200489499</v>
      </c>
      <c r="P750" s="26">
        <v>61.732676210254859</v>
      </c>
      <c r="Q750" s="26">
        <v>75.670386013347922</v>
      </c>
      <c r="R750" s="26">
        <v>145.07004601612081</v>
      </c>
      <c r="S750" s="26">
        <v>174.7113379346973</v>
      </c>
      <c r="T750" s="26">
        <v>294.80797866627989</v>
      </c>
      <c r="U750" s="26">
        <v>45.798863475665854</v>
      </c>
      <c r="V750" s="27">
        <v>1220.2942001061065</v>
      </c>
      <c r="W750" s="27">
        <v>2018.3806965471367</v>
      </c>
      <c r="X750" s="26">
        <v>200.2831247943914</v>
      </c>
      <c r="Y750" s="28">
        <v>2218.7713186326228</v>
      </c>
      <c r="Z750" s="17" t="str">
        <f>SUBSTITUTE(SUBSTITUTE(SUBSTITUTE(SUBSTITUTE(IF(E750="","",VLOOKUP(E750,[1]Esquemas_NORM!$A$2:$H$126,8,FALSE)),"PROVINCIA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0" s="17" t="str">
        <f>IF($E750="","",INDEX([1]Esquemas_NORM!$H$2:$K$126,MATCH($E750,[1]Esquemas_NORM!$A$2:$A$126,0),MATCH(AA$4,[1]Esquemas_NORM!$H$1:$K$1,0)))</f>
        <v>Región de Planeación y Gestión de Urabá - RPG (Acuerdo de Voluntades)</v>
      </c>
      <c r="AB750" s="17" t="str">
        <f>IF($E750="","",INDEX([1]Esquemas_NORM!$H$2:$K$126,MATCH($E750,[1]Esquemas_NORM!$A$2:$A$126,0),MATCH(AB$4,[1]Esquemas_NORM!$H$1:$K$1,0)))</f>
        <v>A la fecha no ha conformado un EAT Área Metropolitana</v>
      </c>
      <c r="AC750" s="17" t="str">
        <f>IF($E750="","",INDEX([1]Esquemas_NORM!$H$2:$K$126,MATCH($E750,[1]Esquemas_NORM!$A$2:$A$126,0),MATCH(AC$4,[1]Esquemas_NORM!$H$1:$K$1,0)))</f>
        <v>ASOCIACIÓN DE MUNICIPIOS DEL URABÁ ANTIOQUEÑO - ASOMURA</v>
      </c>
      <c r="AD750" s="23"/>
    </row>
    <row r="751" spans="1:30" x14ac:dyDescent="0.25">
      <c r="A751" s="24">
        <v>2020</v>
      </c>
      <c r="B751" s="25" t="s">
        <v>36</v>
      </c>
      <c r="C751" s="25" t="s">
        <v>304</v>
      </c>
      <c r="D751" s="25" t="s">
        <v>309</v>
      </c>
      <c r="E751" s="25" t="s">
        <v>310</v>
      </c>
      <c r="F751" s="25" t="s">
        <v>307</v>
      </c>
      <c r="G751" s="25" t="s">
        <v>311</v>
      </c>
      <c r="H751" s="26">
        <v>37.353951867014075</v>
      </c>
      <c r="I751" s="26">
        <v>0</v>
      </c>
      <c r="J751" s="27">
        <v>37.353951867014075</v>
      </c>
      <c r="K751" s="26">
        <v>2.3588349069501526</v>
      </c>
      <c r="L751" s="26">
        <v>13.136076264458151</v>
      </c>
      <c r="M751" s="27">
        <v>15.494911171408303</v>
      </c>
      <c r="N751" s="26">
        <v>4.0536800699810742</v>
      </c>
      <c r="O751" s="26">
        <v>49.921305087522143</v>
      </c>
      <c r="P751" s="26">
        <v>7.8020594675547246</v>
      </c>
      <c r="Q751" s="26">
        <v>6.691450900552419</v>
      </c>
      <c r="R751" s="26">
        <v>14.592405758527647</v>
      </c>
      <c r="S751" s="26">
        <v>22.790817724183128</v>
      </c>
      <c r="T751" s="26">
        <v>54.825669082077653</v>
      </c>
      <c r="U751" s="26">
        <v>5.5141841065915509</v>
      </c>
      <c r="V751" s="27">
        <v>166.19157219699034</v>
      </c>
      <c r="W751" s="27">
        <v>224.22454692721129</v>
      </c>
      <c r="X751" s="26">
        <v>22.249713837931889</v>
      </c>
      <c r="Y751" s="28">
        <v>246.48620277956766</v>
      </c>
      <c r="Z751" s="17" t="str">
        <f>SUBSTITUTE(SUBSTITUTE(SUBSTITUTE(SUBSTITUTE(IF(E751="","",VLOOKUP(E751,[1]Esquemas_NORM!$A$2:$H$126,8,FALSE)),"PROVINCIA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1" s="17" t="str">
        <f>IF($E751="","",INDEX([1]Esquemas_NORM!$H$2:$K$126,MATCH($E751,[1]Esquemas_NORM!$A$2:$A$126,0),MATCH(AA$4,[1]Esquemas_NORM!$H$1:$K$1,0)))</f>
        <v>Región de Planeación y Gestión de Urabá - RPG (Acuerdo de Voluntades)</v>
      </c>
      <c r="AB751" s="17" t="str">
        <f>IF($E751="","",INDEX([1]Esquemas_NORM!$H$2:$K$126,MATCH($E751,[1]Esquemas_NORM!$A$2:$A$126,0),MATCH(AB$4,[1]Esquemas_NORM!$H$1:$K$1,0)))</f>
        <v>A la fecha no ha conformado un EAT Área Metropolitana</v>
      </c>
      <c r="AC751" s="17" t="str">
        <f>IF($E751="","",INDEX([1]Esquemas_NORM!$H$2:$K$126,MATCH($E751,[1]Esquemas_NORM!$A$2:$A$126,0),MATCH(AC$4,[1]Esquemas_NORM!$H$1:$K$1,0)))</f>
        <v>ASOCIACIÓN DE MUNICIPIOS DEL URABÁ ANTIOQUEÑO - ASOMURA /ASOCIACIÓN DE MUNICIPIOS DEL URABÁ NORTE-ASOURANOR</v>
      </c>
      <c r="AD751" s="23"/>
    </row>
    <row r="752" spans="1:30" x14ac:dyDescent="0.25">
      <c r="A752" s="24">
        <v>2020</v>
      </c>
      <c r="B752" s="25" t="s">
        <v>36</v>
      </c>
      <c r="C752" s="25" t="s">
        <v>304</v>
      </c>
      <c r="D752" s="25" t="s">
        <v>305</v>
      </c>
      <c r="E752" s="25" t="s">
        <v>312</v>
      </c>
      <c r="F752" s="25" t="s">
        <v>307</v>
      </c>
      <c r="G752" s="25" t="s">
        <v>313</v>
      </c>
      <c r="H752" s="26">
        <v>504.36271044972159</v>
      </c>
      <c r="I752" s="26">
        <v>0.69599220361667402</v>
      </c>
      <c r="J752" s="27">
        <v>505.05870265333829</v>
      </c>
      <c r="K752" s="26">
        <v>39.749740542884879</v>
      </c>
      <c r="L752" s="26">
        <v>27.404054646517601</v>
      </c>
      <c r="M752" s="27">
        <v>67.153795189402473</v>
      </c>
      <c r="N752" s="26">
        <v>19.658574498664326</v>
      </c>
      <c r="O752" s="26">
        <v>107.78287256302568</v>
      </c>
      <c r="P752" s="26">
        <v>19.716637008204984</v>
      </c>
      <c r="Q752" s="26">
        <v>16.941648529793465</v>
      </c>
      <c r="R752" s="26">
        <v>37.953324441016939</v>
      </c>
      <c r="S752" s="26">
        <v>50.434370895836963</v>
      </c>
      <c r="T752" s="26">
        <v>75.333509467183902</v>
      </c>
      <c r="U752" s="26">
        <v>13.63194545309341</v>
      </c>
      <c r="V752" s="27">
        <v>341.45288285681966</v>
      </c>
      <c r="W752" s="27">
        <v>978.40113829001427</v>
      </c>
      <c r="X752" s="26">
        <v>97.086361167862023</v>
      </c>
      <c r="Y752" s="28">
        <v>1075.5396082954921</v>
      </c>
      <c r="Z752" s="17" t="str">
        <f>SUBSTITUTE(SUBSTITUTE(SUBSTITUTE(SUBSTITUTE(IF(E752="","",VLOOKUP(E752,[1]Esquemas_NORM!$A$2:$H$126,8,FALSE)),"PROVINCIA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2" s="17" t="str">
        <f>IF($E752="","",INDEX([1]Esquemas_NORM!$H$2:$K$126,MATCH($E752,[1]Esquemas_NORM!$A$2:$A$126,0),MATCH(AA$4,[1]Esquemas_NORM!$H$1:$K$1,0)))</f>
        <v>Región de Planeación y Gestión de Urabá - RPG (Acuerdo de Voluntades)</v>
      </c>
      <c r="AB752" s="17" t="str">
        <f>IF($E752="","",INDEX([1]Esquemas_NORM!$H$2:$K$126,MATCH($E752,[1]Esquemas_NORM!$A$2:$A$126,0),MATCH(AB$4,[1]Esquemas_NORM!$H$1:$K$1,0)))</f>
        <v>A la fecha no ha conformado un EAT Área Metropolitana</v>
      </c>
      <c r="AC752" s="17" t="str">
        <f>IF($E752="","",INDEX([1]Esquemas_NORM!$H$2:$K$126,MATCH($E752,[1]Esquemas_NORM!$A$2:$A$126,0),MATCH(AC$4,[1]Esquemas_NORM!$H$1:$K$1,0)))</f>
        <v>ASOCIACIÓN DE MUNICIPIOS DEL URABÁ ANTIOQUEÑO - ASOMURA / ASOCIACIÓN DE MUNICIPIOS DEL CHOCÓ Y URABÁ - ASUMUCUR</v>
      </c>
      <c r="AD752" s="23"/>
    </row>
    <row r="753" spans="1:30" x14ac:dyDescent="0.25">
      <c r="A753" s="24">
        <v>2020</v>
      </c>
      <c r="B753" s="25" t="s">
        <v>36</v>
      </c>
      <c r="C753" s="25" t="s">
        <v>304</v>
      </c>
      <c r="D753" s="25" t="s">
        <v>305</v>
      </c>
      <c r="E753" s="25" t="s">
        <v>314</v>
      </c>
      <c r="F753" s="25" t="s">
        <v>307</v>
      </c>
      <c r="G753" s="25" t="s">
        <v>315</v>
      </c>
      <c r="H753" s="26">
        <v>250.71721303580208</v>
      </c>
      <c r="I753" s="26">
        <v>1.2708383726571297</v>
      </c>
      <c r="J753" s="27">
        <v>251.9880514084592</v>
      </c>
      <c r="K753" s="26">
        <v>21.846113066179402</v>
      </c>
      <c r="L753" s="26">
        <v>30.563210230550137</v>
      </c>
      <c r="M753" s="27">
        <v>52.409323296729539</v>
      </c>
      <c r="N753" s="26">
        <v>22.415325343375891</v>
      </c>
      <c r="O753" s="26">
        <v>100.05195717998214</v>
      </c>
      <c r="P753" s="26">
        <v>26.271945736592304</v>
      </c>
      <c r="Q753" s="26">
        <v>26.423166238402029</v>
      </c>
      <c r="R753" s="26">
        <v>47.576757026365357</v>
      </c>
      <c r="S753" s="26">
        <v>59.161732685691028</v>
      </c>
      <c r="T753" s="26">
        <v>117.40874871885347</v>
      </c>
      <c r="U753" s="26">
        <v>21.094821297226503</v>
      </c>
      <c r="V753" s="27">
        <v>420.40445422648872</v>
      </c>
      <c r="W753" s="27">
        <v>756.55714427659802</v>
      </c>
      <c r="X753" s="26">
        <v>75.072868661732315</v>
      </c>
      <c r="Y753" s="28">
        <v>831.67030654780945</v>
      </c>
      <c r="Z753" s="17" t="str">
        <f>SUBSTITUTE(SUBSTITUTE(SUBSTITUTE(SUBSTITUTE(IF(E753="","",VLOOKUP(E753,[1]Esquemas_NORM!$A$2:$H$126,8,FALSE)),"PROVINCIA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3" s="17" t="str">
        <f>IF($E753="","",INDEX([1]Esquemas_NORM!$H$2:$K$126,MATCH($E753,[1]Esquemas_NORM!$A$2:$A$126,0),MATCH(AA$4,[1]Esquemas_NORM!$H$1:$K$1,0)))</f>
        <v>Región de Planeación y Gestión de Urabá - RPG (Acuerdo de Voluntades)</v>
      </c>
      <c r="AB753" s="17" t="str">
        <f>IF($E753="","",INDEX([1]Esquemas_NORM!$H$2:$K$126,MATCH($E753,[1]Esquemas_NORM!$A$2:$A$126,0),MATCH(AB$4,[1]Esquemas_NORM!$H$1:$K$1,0)))</f>
        <v>A la fecha no ha conformado un EAT Área Metropolitana</v>
      </c>
      <c r="AC753" s="17" t="str">
        <f>IF($E753="","",INDEX([1]Esquemas_NORM!$H$2:$K$126,MATCH($E753,[1]Esquemas_NORM!$A$2:$A$126,0),MATCH(AC$4,[1]Esquemas_NORM!$H$1:$K$1,0)))</f>
        <v>ASOCIACIÓN DE MUNICIPIOS DEL URABÁ ANTIOQUEÑO - ASOMURA</v>
      </c>
      <c r="AD753" s="23"/>
    </row>
    <row r="754" spans="1:30" x14ac:dyDescent="0.25">
      <c r="A754" s="24">
        <v>2020</v>
      </c>
      <c r="B754" s="25" t="s">
        <v>36</v>
      </c>
      <c r="C754" s="25" t="s">
        <v>304</v>
      </c>
      <c r="D754" s="25" t="s">
        <v>316</v>
      </c>
      <c r="E754" s="25" t="s">
        <v>317</v>
      </c>
      <c r="F754" s="25" t="s">
        <v>307</v>
      </c>
      <c r="G754" s="25" t="s">
        <v>318</v>
      </c>
      <c r="H754" s="26">
        <v>1.1262806892019737</v>
      </c>
      <c r="I754" s="26">
        <v>0</v>
      </c>
      <c r="J754" s="27">
        <v>1.1262806892019737</v>
      </c>
      <c r="K754" s="26">
        <v>0.27231964331462472</v>
      </c>
      <c r="L754" s="26">
        <v>2.1981018988431451</v>
      </c>
      <c r="M754" s="27">
        <v>2.4704215421577698</v>
      </c>
      <c r="N754" s="26">
        <v>0.39297954213819308</v>
      </c>
      <c r="O754" s="26">
        <v>7.3156461064731273</v>
      </c>
      <c r="P754" s="26">
        <v>1.4913629919507811</v>
      </c>
      <c r="Q754" s="26">
        <v>0.74162479630887579</v>
      </c>
      <c r="R754" s="26">
        <v>2.3533995721351273</v>
      </c>
      <c r="S754" s="26">
        <v>5.0557880609064636</v>
      </c>
      <c r="T754" s="26">
        <v>15.311380362649409</v>
      </c>
      <c r="U754" s="26">
        <v>1.1310343422577691</v>
      </c>
      <c r="V754" s="27">
        <v>33.79321577481975</v>
      </c>
      <c r="W754" s="27">
        <v>37.455053912292506</v>
      </c>
      <c r="X754" s="26">
        <v>3.7166503077077797</v>
      </c>
      <c r="Y754" s="28">
        <v>41.173699045278035</v>
      </c>
      <c r="Z754" s="17" t="str">
        <f>SUBSTITUTE(SUBSTITUTE(SUBSTITUTE(SUBSTITUTE(IF(E754="","",VLOOKUP(E754,[1]Esquemas_NORM!$A$2:$H$126,8,FALSE)),"PROVINCIA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4" s="17" t="str">
        <f>IF($E754="","",INDEX([1]Esquemas_NORM!$H$2:$K$126,MATCH($E754,[1]Esquemas_NORM!$A$2:$A$126,0),MATCH(AA$4,[1]Esquemas_NORM!$H$1:$K$1,0)))</f>
        <v>Región de Planeación y Gestión de Urabá - RPG (Acuerdo de Voluntades)</v>
      </c>
      <c r="AB754" s="17" t="str">
        <f>IF($E754="","",INDEX([1]Esquemas_NORM!$H$2:$K$126,MATCH($E754,[1]Esquemas_NORM!$A$2:$A$126,0),MATCH(AB$4,[1]Esquemas_NORM!$H$1:$K$1,0)))</f>
        <v>A la fecha no ha conformado un EAT Área Metropolitana</v>
      </c>
      <c r="AC754" s="17" t="str">
        <f>IF($E754="","",INDEX([1]Esquemas_NORM!$H$2:$K$126,MATCH($E754,[1]Esquemas_NORM!$A$2:$A$126,0),MATCH(AC$4,[1]Esquemas_NORM!$H$1:$K$1,0)))</f>
        <v>ASOCIACION DE MUNICIPIOS DE LA CUENCA DEL ATRATO Y DARIEN ASOATRATO / ASOCIACIÓN DE MUNICIPIOS DEL CHOCÓ Y URABÁ - ASUMUCUR</v>
      </c>
      <c r="AD754" s="23"/>
    </row>
    <row r="755" spans="1:30" x14ac:dyDescent="0.25">
      <c r="A755" s="24">
        <v>2020</v>
      </c>
      <c r="B755" s="25" t="s">
        <v>36</v>
      </c>
      <c r="C755" s="25" t="s">
        <v>304</v>
      </c>
      <c r="D755" s="25" t="s">
        <v>305</v>
      </c>
      <c r="E755" s="25" t="s">
        <v>319</v>
      </c>
      <c r="F755" s="25" t="s">
        <v>307</v>
      </c>
      <c r="G755" s="25" t="s">
        <v>320</v>
      </c>
      <c r="H755" s="26">
        <v>35.856651492846822</v>
      </c>
      <c r="I755" s="26">
        <v>16.253096997547324</v>
      </c>
      <c r="J755" s="27">
        <v>52.109748490394146</v>
      </c>
      <c r="K755" s="26">
        <v>1.7774677230758709</v>
      </c>
      <c r="L755" s="26">
        <v>8.2792035518949412</v>
      </c>
      <c r="M755" s="27">
        <v>10.056671274970812</v>
      </c>
      <c r="N755" s="26">
        <v>3.812683381337048</v>
      </c>
      <c r="O755" s="26">
        <v>25.322050621904157</v>
      </c>
      <c r="P755" s="26">
        <v>3.6633658626969532</v>
      </c>
      <c r="Q755" s="26">
        <v>3.302330120573524</v>
      </c>
      <c r="R755" s="26">
        <v>7.6281542486341909</v>
      </c>
      <c r="S755" s="26">
        <v>14.882879246490083</v>
      </c>
      <c r="T755" s="26">
        <v>34.263099499354958</v>
      </c>
      <c r="U755" s="26">
        <v>2.5513263859157269</v>
      </c>
      <c r="V755" s="27">
        <v>95.425889366906645</v>
      </c>
      <c r="W755" s="27">
        <v>170.44880050531802</v>
      </c>
      <c r="X755" s="26">
        <v>16.913567614395394</v>
      </c>
      <c r="Y755" s="28">
        <v>187.37144608223926</v>
      </c>
      <c r="Z755" s="17" t="str">
        <f>SUBSTITUTE(SUBSTITUTE(SUBSTITUTE(SUBSTITUTE(IF(E755="","",VLOOKUP(E755,[1]Esquemas_NORM!$A$2:$H$126,8,FALSE)),"PROVINCIA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5" s="17" t="str">
        <f>IF($E755="","",INDEX([1]Esquemas_NORM!$H$2:$K$126,MATCH($E755,[1]Esquemas_NORM!$A$2:$A$126,0),MATCH(AA$4,[1]Esquemas_NORM!$H$1:$K$1,0)))</f>
        <v>Región de Planeación y Gestión de Urabá - RPG (Acuerdo de Voluntades)</v>
      </c>
      <c r="AB755" s="17" t="str">
        <f>IF($E755="","",INDEX([1]Esquemas_NORM!$H$2:$K$126,MATCH($E755,[1]Esquemas_NORM!$A$2:$A$126,0),MATCH(AB$4,[1]Esquemas_NORM!$H$1:$K$1,0)))</f>
        <v>A la fecha no ha conformado un EAT Área Metropolitana</v>
      </c>
      <c r="AC755" s="17" t="str">
        <f>IF($E755="","",INDEX([1]Esquemas_NORM!$H$2:$K$126,MATCH($E755,[1]Esquemas_NORM!$A$2:$A$126,0),MATCH(AC$4,[1]Esquemas_NORM!$H$1:$K$1,0)))</f>
        <v>ASOCIACIÓN DE MUNICIPIOS DEL URABÁ ANTIOQUEÑO - ASOMURA / ASOCIACIÓN DE MUNICIPIOS DEL CHOCÓ Y URABÁ - ASUMUCUR</v>
      </c>
      <c r="AD755" s="23"/>
    </row>
    <row r="756" spans="1:30" x14ac:dyDescent="0.25">
      <c r="A756" s="24">
        <v>2020</v>
      </c>
      <c r="B756" s="25" t="s">
        <v>36</v>
      </c>
      <c r="C756" s="25" t="s">
        <v>304</v>
      </c>
      <c r="D756" s="25" t="s">
        <v>309</v>
      </c>
      <c r="E756" s="25" t="s">
        <v>321</v>
      </c>
      <c r="F756" s="25" t="s">
        <v>307</v>
      </c>
      <c r="G756" s="25" t="s">
        <v>322</v>
      </c>
      <c r="H756" s="26">
        <v>95.982649646970856</v>
      </c>
      <c r="I756" s="26">
        <v>0</v>
      </c>
      <c r="J756" s="27">
        <v>95.982649646970856</v>
      </c>
      <c r="K756" s="26">
        <v>5.5283878311314432</v>
      </c>
      <c r="L756" s="26">
        <v>23.014587093411969</v>
      </c>
      <c r="M756" s="27">
        <v>28.542974924543412</v>
      </c>
      <c r="N756" s="26">
        <v>8.2701666572887689</v>
      </c>
      <c r="O756" s="26">
        <v>78.323071523411201</v>
      </c>
      <c r="P756" s="26">
        <v>12.190631279739996</v>
      </c>
      <c r="Q756" s="26">
        <v>11.619932059588104</v>
      </c>
      <c r="R756" s="26">
        <v>25.829805474318825</v>
      </c>
      <c r="S756" s="26">
        <v>37.25105120769198</v>
      </c>
      <c r="T756" s="26">
        <v>94.763968232441655</v>
      </c>
      <c r="U756" s="26">
        <v>8.7960566713386683</v>
      </c>
      <c r="V756" s="27">
        <v>277.04468310581916</v>
      </c>
      <c r="W756" s="27">
        <v>414.25877727505048</v>
      </c>
      <c r="X756" s="26">
        <v>41.106735973090522</v>
      </c>
      <c r="Y756" s="28">
        <v>455.38757632892947</v>
      </c>
      <c r="Z756" s="17" t="str">
        <f>SUBSTITUTE(SUBSTITUTE(SUBSTITUTE(SUBSTITUTE(IF(E756="","",VLOOKUP(E756,[1]Esquemas_NORM!$A$2:$H$126,8,FALSE)),"PROVINCIA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6" s="17" t="str">
        <f>IF($E756="","",INDEX([1]Esquemas_NORM!$H$2:$K$126,MATCH($E756,[1]Esquemas_NORM!$A$2:$A$126,0),MATCH(AA$4,[1]Esquemas_NORM!$H$1:$K$1,0)))</f>
        <v>Región de Planeación y Gestión de Urabá - RPG (Acuerdo de Voluntades)</v>
      </c>
      <c r="AB756" s="17" t="str">
        <f>IF($E756="","",INDEX([1]Esquemas_NORM!$H$2:$K$126,MATCH($E756,[1]Esquemas_NORM!$A$2:$A$126,0),MATCH(AB$4,[1]Esquemas_NORM!$H$1:$K$1,0)))</f>
        <v>A la fecha no ha conformado un EAT Área Metropolitana</v>
      </c>
      <c r="AC756" s="17" t="str">
        <f>IF($E756="","",INDEX([1]Esquemas_NORM!$H$2:$K$126,MATCH($E756,[1]Esquemas_NORM!$A$2:$A$126,0),MATCH(AC$4,[1]Esquemas_NORM!$H$1:$K$1,0)))</f>
        <v>ASOCIACIÓN DE MUNICIPIOS DEL URABÁ NORTE-ASOURANOR</v>
      </c>
      <c r="AD756" s="23"/>
    </row>
    <row r="757" spans="1:30" x14ac:dyDescent="0.25">
      <c r="A757" s="24">
        <v>2020</v>
      </c>
      <c r="B757" s="25" t="s">
        <v>36</v>
      </c>
      <c r="C757" s="25" t="s">
        <v>304</v>
      </c>
      <c r="D757" s="25" t="s">
        <v>309</v>
      </c>
      <c r="E757" s="25" t="s">
        <v>323</v>
      </c>
      <c r="F757" s="25" t="s">
        <v>307</v>
      </c>
      <c r="G757" s="25" t="s">
        <v>324</v>
      </c>
      <c r="H757" s="26">
        <v>49.934467580245389</v>
      </c>
      <c r="I757" s="26">
        <v>0</v>
      </c>
      <c r="J757" s="27">
        <v>49.934467580245389</v>
      </c>
      <c r="K757" s="26">
        <v>2.440972000954631</v>
      </c>
      <c r="L757" s="26">
        <v>9.7476660613378385</v>
      </c>
      <c r="M757" s="27">
        <v>12.188638062292469</v>
      </c>
      <c r="N757" s="26">
        <v>3.9401989437092948</v>
      </c>
      <c r="O757" s="26">
        <v>26.998648707400616</v>
      </c>
      <c r="P757" s="26">
        <v>6.0083582943483638</v>
      </c>
      <c r="Q757" s="26">
        <v>4.8016414009655737</v>
      </c>
      <c r="R757" s="26">
        <v>6.6735670983221711</v>
      </c>
      <c r="S757" s="26">
        <v>15.343247306640468</v>
      </c>
      <c r="T757" s="26">
        <v>44.666086832943002</v>
      </c>
      <c r="U757" s="26">
        <v>3.8341269275366745</v>
      </c>
      <c r="V757" s="27">
        <v>112.26587551186616</v>
      </c>
      <c r="W757" s="27">
        <v>180.84264863384692</v>
      </c>
      <c r="X757" s="26">
        <v>17.944945087139129</v>
      </c>
      <c r="Y757" s="28">
        <v>198.79722525128946</v>
      </c>
      <c r="Z757" s="17" t="str">
        <f>SUBSTITUTE(SUBSTITUTE(SUBSTITUTE(SUBSTITUTE(IF(E757="","",VLOOKUP(E757,[1]Esquemas_NORM!$A$2:$H$126,8,FALSE)),"PROVINCIA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7" s="17" t="str">
        <f>IF($E757="","",INDEX([1]Esquemas_NORM!$H$2:$K$126,MATCH($E757,[1]Esquemas_NORM!$A$2:$A$126,0),MATCH(AA$4,[1]Esquemas_NORM!$H$1:$K$1,0)))</f>
        <v>Región de Planeación y Gestión de Urabá - RPG (Acuerdo de Voluntades)</v>
      </c>
      <c r="AB757" s="17" t="str">
        <f>IF($E757="","",INDEX([1]Esquemas_NORM!$H$2:$K$126,MATCH($E757,[1]Esquemas_NORM!$A$2:$A$126,0),MATCH(AB$4,[1]Esquemas_NORM!$H$1:$K$1,0)))</f>
        <v>A la fecha no ha conformado un EAT Área Metropolitana</v>
      </c>
      <c r="AC757" s="17" t="str">
        <f>IF($E757="","",INDEX([1]Esquemas_NORM!$H$2:$K$126,MATCH($E757,[1]Esquemas_NORM!$A$2:$A$126,0),MATCH(AC$4,[1]Esquemas_NORM!$H$1:$K$1,0)))</f>
        <v>ASOCIACIÓN DE MUNICIPIOS DEL URABÁ ANTIOQUEÑO - ASOMURA / ASOCIACIÓN DE MUNICIPIOS DEL CHOCÓ Y URABÁ - ASUMUCUR</v>
      </c>
      <c r="AD757" s="23"/>
    </row>
    <row r="758" spans="1:30" x14ac:dyDescent="0.25">
      <c r="A758" s="24">
        <v>2020</v>
      </c>
      <c r="B758" s="25" t="s">
        <v>36</v>
      </c>
      <c r="C758" s="25" t="s">
        <v>304</v>
      </c>
      <c r="D758" s="25" t="s">
        <v>309</v>
      </c>
      <c r="E758" s="25" t="s">
        <v>325</v>
      </c>
      <c r="F758" s="25" t="s">
        <v>307</v>
      </c>
      <c r="G758" s="25" t="s">
        <v>326</v>
      </c>
      <c r="H758" s="26">
        <v>34.377206973310358</v>
      </c>
      <c r="I758" s="26">
        <v>0</v>
      </c>
      <c r="J758" s="27">
        <v>34.377206973310358</v>
      </c>
      <c r="K758" s="26">
        <v>2.1908325599441758</v>
      </c>
      <c r="L758" s="26">
        <v>12.508975498353353</v>
      </c>
      <c r="M758" s="27">
        <v>14.699808058297528</v>
      </c>
      <c r="N758" s="26">
        <v>6.4907602334742869</v>
      </c>
      <c r="O758" s="26">
        <v>48.326885272877256</v>
      </c>
      <c r="P758" s="26">
        <v>8.8461228336391784</v>
      </c>
      <c r="Q758" s="26">
        <v>5.9553743358603528</v>
      </c>
      <c r="R758" s="26">
        <v>10.486524964029693</v>
      </c>
      <c r="S758" s="26">
        <v>23.732638635901932</v>
      </c>
      <c r="T758" s="26">
        <v>55.572323583795765</v>
      </c>
      <c r="U758" s="26">
        <v>4.1013331612897321</v>
      </c>
      <c r="V758" s="27">
        <v>163.51196302086822</v>
      </c>
      <c r="W758" s="27">
        <v>218.08391912448531</v>
      </c>
      <c r="X758" s="26">
        <v>21.640381749772626</v>
      </c>
      <c r="Y758" s="28">
        <v>239.7359158439105</v>
      </c>
      <c r="Z758" s="17" t="str">
        <f>SUBSTITUTE(SUBSTITUTE(SUBSTITUTE(SUBSTITUTE(IF(E758="","",VLOOKUP(E758,[1]Esquemas_NORM!$A$2:$H$126,8,FALSE)),"PROVINCIA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8" s="17" t="str">
        <f>IF($E758="","",INDEX([1]Esquemas_NORM!$H$2:$K$126,MATCH($E758,[1]Esquemas_NORM!$A$2:$A$126,0),MATCH(AA$4,[1]Esquemas_NORM!$H$1:$K$1,0)))</f>
        <v>Región de Planeación y Gestión de Urabá - RPG (Acuerdo de Voluntades)</v>
      </c>
      <c r="AB758" s="17" t="str">
        <f>IF($E758="","",INDEX([1]Esquemas_NORM!$H$2:$K$126,MATCH($E758,[1]Esquemas_NORM!$A$2:$A$126,0),MATCH(AB$4,[1]Esquemas_NORM!$H$1:$K$1,0)))</f>
        <v>A la fecha no ha conformado un EAT Área Metropolitana</v>
      </c>
      <c r="AC758" s="17" t="str">
        <f>IF($E758="","",INDEX([1]Esquemas_NORM!$H$2:$K$126,MATCH($E758,[1]Esquemas_NORM!$A$2:$A$126,0),MATCH(AC$4,[1]Esquemas_NORM!$H$1:$K$1,0)))</f>
        <v>ASOCIACIÓN DE MUNICIPIOS DEL URABÁ NORTE-ASOURANOR</v>
      </c>
      <c r="AD758" s="23"/>
    </row>
    <row r="759" spans="1:30" x14ac:dyDescent="0.25">
      <c r="A759" s="24">
        <v>2020</v>
      </c>
      <c r="B759" s="25" t="s">
        <v>36</v>
      </c>
      <c r="C759" s="25" t="s">
        <v>304</v>
      </c>
      <c r="D759" s="25" t="s">
        <v>305</v>
      </c>
      <c r="E759" s="25" t="s">
        <v>327</v>
      </c>
      <c r="F759" s="25" t="s">
        <v>307</v>
      </c>
      <c r="G759" s="25" t="s">
        <v>328</v>
      </c>
      <c r="H759" s="26">
        <v>597.90617655799747</v>
      </c>
      <c r="I759" s="26">
        <v>0.729168457018464</v>
      </c>
      <c r="J759" s="27">
        <v>598.6353450150159</v>
      </c>
      <c r="K759" s="26">
        <v>26.704201385223904</v>
      </c>
      <c r="L759" s="26">
        <v>101.22587829718475</v>
      </c>
      <c r="M759" s="27">
        <v>127.93007968240866</v>
      </c>
      <c r="N759" s="26">
        <v>35.61097084574147</v>
      </c>
      <c r="O759" s="26">
        <v>294.22561083611436</v>
      </c>
      <c r="P759" s="26">
        <v>46.410525058611128</v>
      </c>
      <c r="Q759" s="26">
        <v>42.60141465592416</v>
      </c>
      <c r="R759" s="26">
        <v>81.299497927708757</v>
      </c>
      <c r="S759" s="26">
        <v>148.79393375384782</v>
      </c>
      <c r="T759" s="26">
        <v>379.97719717271326</v>
      </c>
      <c r="U759" s="26">
        <v>29.521971312925647</v>
      </c>
      <c r="V759" s="27">
        <v>1058.4411215635866</v>
      </c>
      <c r="W759" s="27">
        <v>1863.6105929830017</v>
      </c>
      <c r="X759" s="26">
        <v>184.92534812740385</v>
      </c>
      <c r="Y759" s="28">
        <v>2048.6351954734409</v>
      </c>
      <c r="Z759" s="17" t="str">
        <f>SUBSTITUTE(SUBSTITUTE(SUBSTITUTE(SUBSTITUTE(IF(E759="","",VLOOKUP(E759,[1]Esquemas_NORM!$A$2:$H$126,8,FALSE)),"PROVINCIA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59" s="17" t="str">
        <f>IF($E759="","",INDEX([1]Esquemas_NORM!$H$2:$K$126,MATCH($E759,[1]Esquemas_NORM!$A$2:$A$126,0),MATCH(AA$4,[1]Esquemas_NORM!$H$1:$K$1,0)))</f>
        <v>Región de Planeación y Gestión de Urabá - RPG (Acuerdo de Voluntades)</v>
      </c>
      <c r="AB759" s="17" t="str">
        <f>IF($E759="","",INDEX([1]Esquemas_NORM!$H$2:$K$126,MATCH($E759,[1]Esquemas_NORM!$A$2:$A$126,0),MATCH(AB$4,[1]Esquemas_NORM!$H$1:$K$1,0)))</f>
        <v>A la fecha no ha conformado un EAT Área Metropolitana</v>
      </c>
      <c r="AC759" s="17" t="str">
        <f>IF($E759="","",INDEX([1]Esquemas_NORM!$H$2:$K$126,MATCH($E759,[1]Esquemas_NORM!$A$2:$A$126,0),MATCH(AC$4,[1]Esquemas_NORM!$H$1:$K$1,0)))</f>
        <v>ASOCIACIÓN DE MUNICIPIOS DEL URABÁ ANTIOQUEÑO - ASOMURA</v>
      </c>
      <c r="AD759" s="23"/>
    </row>
    <row r="760" spans="1:30" ht="15.75" thickBot="1" x14ac:dyDescent="0.3">
      <c r="A760" s="29">
        <v>2020</v>
      </c>
      <c r="B760" s="30" t="s">
        <v>36</v>
      </c>
      <c r="C760" s="30" t="s">
        <v>304</v>
      </c>
      <c r="D760" s="30" t="s">
        <v>316</v>
      </c>
      <c r="E760" s="30" t="s">
        <v>329</v>
      </c>
      <c r="F760" s="30" t="s">
        <v>307</v>
      </c>
      <c r="G760" s="30" t="s">
        <v>330</v>
      </c>
      <c r="H760" s="32">
        <v>8.3757800058160718</v>
      </c>
      <c r="I760" s="32">
        <v>0</v>
      </c>
      <c r="J760" s="33">
        <v>8.3757800058160718</v>
      </c>
      <c r="K760" s="32">
        <v>0.58392060027737425</v>
      </c>
      <c r="L760" s="32">
        <v>3.8124563456752982</v>
      </c>
      <c r="M760" s="33">
        <v>4.3963769459526727</v>
      </c>
      <c r="N760" s="32">
        <v>1.6050535840827769</v>
      </c>
      <c r="O760" s="32">
        <v>13.951616477154291</v>
      </c>
      <c r="P760" s="32">
        <v>1.8143820677811404</v>
      </c>
      <c r="Q760" s="32">
        <v>1.2143212098505209</v>
      </c>
      <c r="R760" s="32">
        <v>3.566754954403307</v>
      </c>
      <c r="S760" s="32">
        <v>7.9332412213745238</v>
      </c>
      <c r="T760" s="32">
        <v>20.664113384237581</v>
      </c>
      <c r="U760" s="32">
        <v>1.8193420334390606</v>
      </c>
      <c r="V760" s="33">
        <v>52.568824932323203</v>
      </c>
      <c r="W760" s="33">
        <v>66.627546877804122</v>
      </c>
      <c r="X760" s="32">
        <v>6.6114253415600173</v>
      </c>
      <c r="Y760" s="35">
        <v>73.24252074755519</v>
      </c>
      <c r="Z760" s="17" t="str">
        <f>SUBSTITUTE(SUBSTITUTE(SUBSTITUTE(SUBSTITUTE(IF(E760="","",VLOOKUP(E760,[1]Esquemas_NORM!$A$2:$H$126,8,FALSE)),"PROVINCIA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60" s="17" t="str">
        <f>IF($E760="","",INDEX([1]Esquemas_NORM!$H$2:$K$126,MATCH($E760,[1]Esquemas_NORM!$A$2:$A$126,0),MATCH(AA$4,[1]Esquemas_NORM!$H$1:$K$1,0)))</f>
        <v>Región de Planeación y Gestión de Urabá - RPG (Acuerdo de Voluntades)</v>
      </c>
      <c r="AB760" s="17" t="str">
        <f>IF($E760="","",INDEX([1]Esquemas_NORM!$H$2:$K$126,MATCH($E760,[1]Esquemas_NORM!$A$2:$A$126,0),MATCH(AB$4,[1]Esquemas_NORM!$H$1:$K$1,0)))</f>
        <v>A la fecha no ha conformado un EAT Área Metropolitana</v>
      </c>
      <c r="AC760" s="17" t="str">
        <f>IF($E760="","",INDEX([1]Esquemas_NORM!$H$2:$K$126,MATCH($E760,[1]Esquemas_NORM!$A$2:$A$126,0),MATCH(AC$4,[1]Esquemas_NORM!$H$1:$K$1,0)))</f>
        <v>ASOCIACION DE MUNICIPIOS DE LA CUENCA DEL ATRATO Y DARIEN ASOATRATO</v>
      </c>
      <c r="AD760" s="23"/>
    </row>
    <row r="761" spans="1:30" ht="15.75" thickBot="1" x14ac:dyDescent="0.3">
      <c r="A761" s="42">
        <v>2021</v>
      </c>
      <c r="B761" s="43" t="s">
        <v>36</v>
      </c>
      <c r="C761" s="43"/>
      <c r="D761" s="43"/>
      <c r="E761" s="43"/>
      <c r="F761" s="43"/>
      <c r="G761" s="43" t="s">
        <v>37</v>
      </c>
      <c r="H761" s="44">
        <v>7437.4770971549169</v>
      </c>
      <c r="I761" s="44">
        <v>2982.7292052197072</v>
      </c>
      <c r="J761" s="44">
        <v>10420.206302374623</v>
      </c>
      <c r="K761" s="44">
        <v>21082.283720710657</v>
      </c>
      <c r="L761" s="44">
        <v>8067.1578268152807</v>
      </c>
      <c r="M761" s="44">
        <v>29149.441547525937</v>
      </c>
      <c r="N761" s="44">
        <v>5630.4886379008094</v>
      </c>
      <c r="O761" s="44">
        <v>22711.011490850025</v>
      </c>
      <c r="P761" s="44">
        <v>3955.0208860869934</v>
      </c>
      <c r="Q761" s="44">
        <v>7173.1441198978382</v>
      </c>
      <c r="R761" s="44">
        <v>12196.953853472543</v>
      </c>
      <c r="S761" s="44">
        <v>12203.007181740288</v>
      </c>
      <c r="T761" s="44">
        <v>16394.822541954316</v>
      </c>
      <c r="U761" s="44">
        <v>3870.7186332416454</v>
      </c>
      <c r="V761" s="44">
        <v>84135.167345144451</v>
      </c>
      <c r="W761" s="44">
        <v>124256.3547391278</v>
      </c>
      <c r="X761" s="44">
        <v>12789.427248791688</v>
      </c>
      <c r="Y761" s="45">
        <v>137020.32961372682</v>
      </c>
      <c r="Z761" s="17" t="str">
        <f>SUBSTITUTE(SUBSTITUTE(SUBSTITUTE(SUBSTITUTE(IF(E761="","",VLOOKUP(E761,[1]Esquemas_NORM!$A$2:$H$126,8,FALSE)),"PROVINCIA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761" s="17" t="str">
        <f>IF($E761="","",INDEX([1]Esquemas_NORM!$H$2:$K$126,MATCH($E761,[1]Esquemas_NORM!$A$2:$A$126,0),MATCH(AA$4,[1]Esquemas_NORM!$H$1:$K$1,0)))</f>
        <v/>
      </c>
      <c r="AB761" s="17" t="str">
        <f>IF($E761="","",INDEX([1]Esquemas_NORM!$H$2:$K$126,MATCH($E761,[1]Esquemas_NORM!$A$2:$A$126,0),MATCH(AB$4,[1]Esquemas_NORM!$H$1:$K$1,0)))</f>
        <v/>
      </c>
      <c r="AC761" s="17" t="str">
        <f>IF($E761="","",INDEX([1]Esquemas_NORM!$H$2:$K$126,MATCH($E761,[1]Esquemas_NORM!$A$2:$A$126,0),MATCH(AC$4,[1]Esquemas_NORM!$H$1:$K$1,0)))</f>
        <v/>
      </c>
      <c r="AD761" s="23"/>
    </row>
    <row r="762" spans="1:30" x14ac:dyDescent="0.25">
      <c r="A762" s="46">
        <v>2021</v>
      </c>
      <c r="B762" s="47" t="s">
        <v>36</v>
      </c>
      <c r="C762" s="47" t="s">
        <v>38</v>
      </c>
      <c r="D762" s="47" t="s">
        <v>39</v>
      </c>
      <c r="E762" s="47" t="s">
        <v>40</v>
      </c>
      <c r="F762" s="47" t="s">
        <v>41</v>
      </c>
      <c r="G762" s="47" t="s">
        <v>42</v>
      </c>
      <c r="H762" s="48">
        <v>97.538526851237975</v>
      </c>
      <c r="I762" s="48">
        <v>11.645343421375859</v>
      </c>
      <c r="J762" s="49">
        <v>109.18387027261383</v>
      </c>
      <c r="K762" s="48">
        <v>7756.1591428880693</v>
      </c>
      <c r="L762" s="48">
        <v>3295.9629693497709</v>
      </c>
      <c r="M762" s="49">
        <v>11052.122112237841</v>
      </c>
      <c r="N762" s="48">
        <v>3122.0022064536352</v>
      </c>
      <c r="O762" s="48">
        <v>10619.6137745876</v>
      </c>
      <c r="P762" s="48">
        <v>1758.4979104217448</v>
      </c>
      <c r="Q762" s="48">
        <v>5142.9130587795962</v>
      </c>
      <c r="R762" s="48">
        <v>5464.6633054930799</v>
      </c>
      <c r="S762" s="48">
        <v>5775.4294277955341</v>
      </c>
      <c r="T762" s="48">
        <v>7663.469775603925</v>
      </c>
      <c r="U762" s="48">
        <v>1687.4334052682125</v>
      </c>
      <c r="V762" s="49">
        <v>41234.022864403327</v>
      </c>
      <c r="W762" s="49">
        <v>51175.53673431879</v>
      </c>
      <c r="X762" s="48">
        <v>5267.382946776067</v>
      </c>
      <c r="Y762" s="50">
        <v>56432.437006681888</v>
      </c>
      <c r="Z762" s="17" t="str">
        <f>SUBSTITUTE(SUBSTITUTE(SUBSTITUTE(SUBSTITUTE(IF(E762="","",VLOOKUP(E762,[1]Esquemas_NORM!$A$2:$H$126,8,FALSE)),"PROVINCIA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62" s="17" t="str">
        <f>IF($E762="","",INDEX([1]Esquemas_NORM!$H$2:$K$126,MATCH($E762,[1]Esquemas_NORM!$A$2:$A$126,0),MATCH(AA$4,[1]Esquemas_NORM!$H$1:$K$1,0)))</f>
        <v>A la fecha no ha conformado un EAT Región</v>
      </c>
      <c r="AB762" s="17" t="str">
        <f>IF($E762="","",INDEX([1]Esquemas_NORM!$H$2:$K$126,MATCH($E762,[1]Esquemas_NORM!$A$2:$A$126,0),MATCH(AB$4,[1]Esquemas_NORM!$H$1:$K$1,0)))</f>
        <v>Área Metropolitana del Valle de Aburrá</v>
      </c>
      <c r="AC762" s="17" t="str">
        <f>IF($E762="","",INDEX([1]Esquemas_NORM!$H$2:$K$126,MATCH($E762,[1]Esquemas_NORM!$A$2:$A$126,0),MATCH(AC$4,[1]Esquemas_NORM!$H$1:$K$1,0)))</f>
        <v>A la fecha no ha conformado un EAT asociación - unión</v>
      </c>
      <c r="AD762" s="23"/>
    </row>
    <row r="763" spans="1:30" x14ac:dyDescent="0.25">
      <c r="A763" s="51">
        <v>2021</v>
      </c>
      <c r="B763" s="52" t="s">
        <v>36</v>
      </c>
      <c r="C763" s="52" t="s">
        <v>38</v>
      </c>
      <c r="D763" s="52" t="s">
        <v>43</v>
      </c>
      <c r="E763" s="52" t="s">
        <v>44</v>
      </c>
      <c r="F763" s="52" t="s">
        <v>41</v>
      </c>
      <c r="G763" s="52" t="s">
        <v>45</v>
      </c>
      <c r="H763" s="53">
        <v>100.09294159995277</v>
      </c>
      <c r="I763" s="53">
        <v>2.1336786836826809</v>
      </c>
      <c r="J763" s="54">
        <v>102.22662028363544</v>
      </c>
      <c r="K763" s="53">
        <v>244.8766823007216</v>
      </c>
      <c r="L763" s="53">
        <v>213.75426975444714</v>
      </c>
      <c r="M763" s="54">
        <v>458.63095205516873</v>
      </c>
      <c r="N763" s="53">
        <v>75.21312859324442</v>
      </c>
      <c r="O763" s="53">
        <v>155.755276320646</v>
      </c>
      <c r="P763" s="53">
        <v>14.715031901197758</v>
      </c>
      <c r="Q763" s="53">
        <v>9.7841051621659823</v>
      </c>
      <c r="R763" s="53">
        <v>50.476910292172924</v>
      </c>
      <c r="S763" s="53">
        <v>55.479891737316066</v>
      </c>
      <c r="T763" s="53">
        <v>41.644965831729785</v>
      </c>
      <c r="U763" s="53">
        <v>18.597971354920368</v>
      </c>
      <c r="V763" s="54">
        <v>421.66728119339331</v>
      </c>
      <c r="W763" s="54">
        <v>980.26454642217652</v>
      </c>
      <c r="X763" s="53">
        <v>100.89642600058372</v>
      </c>
      <c r="Y763" s="55">
        <v>1080.9601773801583</v>
      </c>
      <c r="Z763" s="17" t="str">
        <f>SUBSTITUTE(SUBSTITUTE(SUBSTITUTE(SUBSTITUTE(IF(E763="","",VLOOKUP(E763,[1]Esquemas_NORM!$A$2:$H$126,8,FALSE)),"PROVINCIA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63" s="17" t="str">
        <f>IF($E763="","",INDEX([1]Esquemas_NORM!$H$2:$K$126,MATCH($E763,[1]Esquemas_NORM!$A$2:$A$126,0),MATCH(AA$4,[1]Esquemas_NORM!$H$1:$K$1,0)))</f>
        <v>A la fecha no ha conformado un EAT Región</v>
      </c>
      <c r="AB763" s="17" t="str">
        <f>IF($E763="","",INDEX([1]Esquemas_NORM!$H$2:$K$126,MATCH($E763,[1]Esquemas_NORM!$A$2:$A$126,0),MATCH(AB$4,[1]Esquemas_NORM!$H$1:$K$1,0)))</f>
        <v>Área Metropolitana del Valle de Aburrá</v>
      </c>
      <c r="AC763" s="17" t="str">
        <f>IF($E763="","",INDEX([1]Esquemas_NORM!$H$2:$K$126,MATCH($E763,[1]Esquemas_NORM!$A$2:$A$126,0),MATCH(AC$4,[1]Esquemas_NORM!$H$1:$K$1,0)))</f>
        <v>A la fecha no ha conformado un EAT asociación - unión</v>
      </c>
      <c r="AD763" s="23"/>
    </row>
    <row r="764" spans="1:30" x14ac:dyDescent="0.25">
      <c r="A764" s="51">
        <v>2021</v>
      </c>
      <c r="B764" s="52" t="s">
        <v>36</v>
      </c>
      <c r="C764" s="52" t="s">
        <v>38</v>
      </c>
      <c r="D764" s="52" t="s">
        <v>43</v>
      </c>
      <c r="E764" s="52" t="s">
        <v>46</v>
      </c>
      <c r="F764" s="52" t="s">
        <v>41</v>
      </c>
      <c r="G764" s="52" t="s">
        <v>47</v>
      </c>
      <c r="H764" s="53">
        <v>32.587572565224121</v>
      </c>
      <c r="I764" s="53">
        <v>2.8968226120290348</v>
      </c>
      <c r="J764" s="54">
        <v>35.484395177253155</v>
      </c>
      <c r="K764" s="53">
        <v>653.42798305401789</v>
      </c>
      <c r="L764" s="53">
        <v>380.14910799657486</v>
      </c>
      <c r="M764" s="54">
        <v>1033.5770910505928</v>
      </c>
      <c r="N764" s="53">
        <v>94.855040403618688</v>
      </c>
      <c r="O764" s="53">
        <v>1323.4260507133745</v>
      </c>
      <c r="P764" s="53">
        <v>265.13805941168704</v>
      </c>
      <c r="Q764" s="53">
        <v>184.25219349302662</v>
      </c>
      <c r="R764" s="53">
        <v>777.6310773405711</v>
      </c>
      <c r="S764" s="53">
        <v>617.67612361300644</v>
      </c>
      <c r="T764" s="53">
        <v>864.97213238717768</v>
      </c>
      <c r="U764" s="53">
        <v>261.26420739680145</v>
      </c>
      <c r="V764" s="54">
        <v>4389.2148847592634</v>
      </c>
      <c r="W764" s="54">
        <v>5301.1706423058449</v>
      </c>
      <c r="X764" s="53">
        <v>545.63757648889748</v>
      </c>
      <c r="Y764" s="55">
        <v>5845.7223396931831</v>
      </c>
      <c r="Z764" s="17" t="str">
        <f>SUBSTITUTE(SUBSTITUTE(SUBSTITUTE(SUBSTITUTE(IF(E764="","",VLOOKUP(E764,[1]Esquemas_NORM!$A$2:$H$126,8,FALSE)),"PROVINCIA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64" s="17" t="str">
        <f>IF($E764="","",INDEX([1]Esquemas_NORM!$H$2:$K$126,MATCH($E764,[1]Esquemas_NORM!$A$2:$A$126,0),MATCH(AA$4,[1]Esquemas_NORM!$H$1:$K$1,0)))</f>
        <v>A la fecha no ha conformado un EAT Región</v>
      </c>
      <c r="AB764" s="17" t="str">
        <f>IF($E764="","",INDEX([1]Esquemas_NORM!$H$2:$K$126,MATCH($E764,[1]Esquemas_NORM!$A$2:$A$126,0),MATCH(AB$4,[1]Esquemas_NORM!$H$1:$K$1,0)))</f>
        <v>Área Metropolitana del Valle de Aburrá</v>
      </c>
      <c r="AC764" s="17" t="str">
        <f>IF($E764="","",INDEX([1]Esquemas_NORM!$H$2:$K$126,MATCH($E764,[1]Esquemas_NORM!$A$2:$A$126,0),MATCH(AC$4,[1]Esquemas_NORM!$H$1:$K$1,0)))</f>
        <v>A la fecha no ha conformado un EAT asociación - unión</v>
      </c>
      <c r="AD764" s="23"/>
    </row>
    <row r="765" spans="1:30" x14ac:dyDescent="0.25">
      <c r="A765" s="51">
        <v>2021</v>
      </c>
      <c r="B765" s="52" t="s">
        <v>36</v>
      </c>
      <c r="C765" s="52" t="s">
        <v>38</v>
      </c>
      <c r="D765" s="52" t="s">
        <v>48</v>
      </c>
      <c r="E765" s="52" t="s">
        <v>49</v>
      </c>
      <c r="F765" s="52" t="s">
        <v>41</v>
      </c>
      <c r="G765" s="52" t="s">
        <v>50</v>
      </c>
      <c r="H765" s="53">
        <v>47.934330659549296</v>
      </c>
      <c r="I765" s="53">
        <v>0.10798657713908826</v>
      </c>
      <c r="J765" s="54">
        <v>48.042317236688383</v>
      </c>
      <c r="K765" s="53">
        <v>226.52237134675096</v>
      </c>
      <c r="L765" s="53">
        <v>80.900133041709338</v>
      </c>
      <c r="M765" s="54">
        <v>307.42250438846031</v>
      </c>
      <c r="N765" s="53">
        <v>17.630407770472488</v>
      </c>
      <c r="O765" s="53">
        <v>181.68162565973557</v>
      </c>
      <c r="P765" s="53">
        <v>44.659959116449748</v>
      </c>
      <c r="Q765" s="53">
        <v>34.491146411939496</v>
      </c>
      <c r="R765" s="53">
        <v>118.39717530010635</v>
      </c>
      <c r="S765" s="53">
        <v>106.88621284019476</v>
      </c>
      <c r="T765" s="53">
        <v>159.13194038469251</v>
      </c>
      <c r="U765" s="53">
        <v>42.717294621371082</v>
      </c>
      <c r="V765" s="54">
        <v>705.59576210496198</v>
      </c>
      <c r="W765" s="54">
        <v>1031.5897069442474</v>
      </c>
      <c r="X765" s="53">
        <v>106.17920938745118</v>
      </c>
      <c r="Y765" s="55">
        <v>1137.5576079661057</v>
      </c>
      <c r="Z765" s="17" t="str">
        <f>SUBSTITUTE(SUBSTITUTE(SUBSTITUTE(SUBSTITUTE(IF(E765="","",VLOOKUP(E765,[1]Esquemas_NORM!$A$2:$H$126,8,FALSE)),"PROVINCIA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65" s="17" t="str">
        <f>IF($E765="","",INDEX([1]Esquemas_NORM!$H$2:$K$126,MATCH($E765,[1]Esquemas_NORM!$A$2:$A$126,0),MATCH(AA$4,[1]Esquemas_NORM!$H$1:$K$1,0)))</f>
        <v>A la fecha no ha conformado un EAT Región</v>
      </c>
      <c r="AB765" s="17" t="str">
        <f>IF($E765="","",INDEX([1]Esquemas_NORM!$H$2:$K$126,MATCH($E765,[1]Esquemas_NORM!$A$2:$A$126,0),MATCH(AB$4,[1]Esquemas_NORM!$H$1:$K$1,0)))</f>
        <v>Área Metropolitana del Valle de Aburrá</v>
      </c>
      <c r="AC765" s="17" t="str">
        <f>IF($E765="","",INDEX([1]Esquemas_NORM!$H$2:$K$126,MATCH($E765,[1]Esquemas_NORM!$A$2:$A$126,0),MATCH(AC$4,[1]Esquemas_NORM!$H$1:$K$1,0)))</f>
        <v>A la fecha no ha conformado un EAT asociación - unión</v>
      </c>
      <c r="AD765" s="23"/>
    </row>
    <row r="766" spans="1:30" x14ac:dyDescent="0.25">
      <c r="A766" s="51">
        <v>2021</v>
      </c>
      <c r="B766" s="52" t="s">
        <v>36</v>
      </c>
      <c r="C766" s="52" t="s">
        <v>38</v>
      </c>
      <c r="D766" s="52" t="s">
        <v>43</v>
      </c>
      <c r="E766" s="52" t="s">
        <v>51</v>
      </c>
      <c r="F766" s="52" t="s">
        <v>41</v>
      </c>
      <c r="G766" s="52" t="s">
        <v>52</v>
      </c>
      <c r="H766" s="53">
        <v>10.285766707511664</v>
      </c>
      <c r="I766" s="53">
        <v>0.37822067859401359</v>
      </c>
      <c r="J766" s="54">
        <v>10.663987386105678</v>
      </c>
      <c r="K766" s="53">
        <v>447.55987520671641</v>
      </c>
      <c r="L766" s="53">
        <v>231.91954226407708</v>
      </c>
      <c r="M766" s="54">
        <v>679.47941747079346</v>
      </c>
      <c r="N766" s="53">
        <v>21.841522444886493</v>
      </c>
      <c r="O766" s="53">
        <v>214.72698003375635</v>
      </c>
      <c r="P766" s="53">
        <v>48.351278614035976</v>
      </c>
      <c r="Q766" s="53">
        <v>30.473635099780758</v>
      </c>
      <c r="R766" s="53">
        <v>131.6852485595341</v>
      </c>
      <c r="S766" s="53">
        <v>106.14532176412712</v>
      </c>
      <c r="T766" s="53">
        <v>116.95841152258207</v>
      </c>
      <c r="U766" s="53">
        <v>41.944677133085754</v>
      </c>
      <c r="V766" s="54">
        <v>712.12707517178865</v>
      </c>
      <c r="W766" s="54">
        <v>1329.3861148823255</v>
      </c>
      <c r="X766" s="53">
        <v>136.8307241713083</v>
      </c>
      <c r="Y766" s="55">
        <v>1465.9445307848653</v>
      </c>
      <c r="Z766" s="17" t="str">
        <f>SUBSTITUTE(SUBSTITUTE(SUBSTITUTE(SUBSTITUTE(IF(E766="","",VLOOKUP(E766,[1]Esquemas_NORM!$A$2:$H$126,8,FALSE)),"PROVINCIA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66" s="17" t="str">
        <f>IF($E766="","",INDEX([1]Esquemas_NORM!$H$2:$K$126,MATCH($E766,[1]Esquemas_NORM!$A$2:$A$126,0),MATCH(AA$4,[1]Esquemas_NORM!$H$1:$K$1,0)))</f>
        <v>A la fecha no ha conformado un EAT Región</v>
      </c>
      <c r="AB766" s="17" t="str">
        <f>IF($E766="","",INDEX([1]Esquemas_NORM!$H$2:$K$126,MATCH($E766,[1]Esquemas_NORM!$A$2:$A$126,0),MATCH(AB$4,[1]Esquemas_NORM!$H$1:$K$1,0)))</f>
        <v>Área Metropolitana del Valle de Aburrá</v>
      </c>
      <c r="AC766" s="17" t="str">
        <f>IF($E766="","",INDEX([1]Esquemas_NORM!$H$2:$K$126,MATCH($E766,[1]Esquemas_NORM!$A$2:$A$126,0),MATCH(AC$4,[1]Esquemas_NORM!$H$1:$K$1,0)))</f>
        <v>A la fecha no ha conformado un EAT asociación - unión</v>
      </c>
      <c r="AD766" s="23"/>
    </row>
    <row r="767" spans="1:30" x14ac:dyDescent="0.25">
      <c r="A767" s="51">
        <v>2021</v>
      </c>
      <c r="B767" s="52" t="s">
        <v>36</v>
      </c>
      <c r="C767" s="52" t="s">
        <v>38</v>
      </c>
      <c r="D767" s="52" t="s">
        <v>48</v>
      </c>
      <c r="E767" s="52" t="s">
        <v>53</v>
      </c>
      <c r="F767" s="52" t="s">
        <v>41</v>
      </c>
      <c r="G767" s="52" t="s">
        <v>54</v>
      </c>
      <c r="H767" s="53">
        <v>9.9752994110376676</v>
      </c>
      <c r="I767" s="53">
        <v>0</v>
      </c>
      <c r="J767" s="54">
        <v>9.9752994110376676</v>
      </c>
      <c r="K767" s="53">
        <v>1772.9489506755622</v>
      </c>
      <c r="L767" s="53">
        <v>317.39607116210431</v>
      </c>
      <c r="M767" s="54">
        <v>2090.3450218376665</v>
      </c>
      <c r="N767" s="53">
        <v>175.23474808258723</v>
      </c>
      <c r="O767" s="53">
        <v>1519.3539062213797</v>
      </c>
      <c r="P767" s="53">
        <v>316.60442364799661</v>
      </c>
      <c r="Q767" s="53">
        <v>469.03149629667843</v>
      </c>
      <c r="R767" s="53">
        <v>1231.1794915211062</v>
      </c>
      <c r="S767" s="53">
        <v>837.89265271078125</v>
      </c>
      <c r="T767" s="53">
        <v>981.18248346332132</v>
      </c>
      <c r="U767" s="53">
        <v>355.61183564905554</v>
      </c>
      <c r="V767" s="54">
        <v>5886.0910375929061</v>
      </c>
      <c r="W767" s="54">
        <v>7677.9514546079017</v>
      </c>
      <c r="X767" s="53">
        <v>790.27428218559726</v>
      </c>
      <c r="Y767" s="55">
        <v>8466.6530036011736</v>
      </c>
      <c r="Z767" s="17" t="str">
        <f>SUBSTITUTE(SUBSTITUTE(SUBSTITUTE(SUBSTITUTE(IF(E767="","",VLOOKUP(E767,[1]Esquemas_NORM!$A$2:$H$126,8,FALSE)),"PROVINCIA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67" s="17" t="str">
        <f>IF($E767="","",INDEX([1]Esquemas_NORM!$H$2:$K$126,MATCH($E767,[1]Esquemas_NORM!$A$2:$A$126,0),MATCH(AA$4,[1]Esquemas_NORM!$H$1:$K$1,0)))</f>
        <v>A la fecha no ha conformado un EAT Región</v>
      </c>
      <c r="AB767" s="17" t="str">
        <f>IF($E767="","",INDEX([1]Esquemas_NORM!$H$2:$K$126,MATCH($E767,[1]Esquemas_NORM!$A$2:$A$126,0),MATCH(AB$4,[1]Esquemas_NORM!$H$1:$K$1,0)))</f>
        <v>Área Metropolitana del Valle de Aburrá</v>
      </c>
      <c r="AC767" s="17" t="str">
        <f>IF($E767="","",INDEX([1]Esquemas_NORM!$H$2:$K$126,MATCH($E767,[1]Esquemas_NORM!$A$2:$A$126,0),MATCH(AC$4,[1]Esquemas_NORM!$H$1:$K$1,0)))</f>
        <v>A la fecha no ha conformado un EAT asociación - unión</v>
      </c>
      <c r="AD767" s="23"/>
    </row>
    <row r="768" spans="1:30" x14ac:dyDescent="0.25">
      <c r="A768" s="51">
        <v>2021</v>
      </c>
      <c r="B768" s="52" t="s">
        <v>36</v>
      </c>
      <c r="C768" s="52" t="s">
        <v>38</v>
      </c>
      <c r="D768" s="52" t="s">
        <v>43</v>
      </c>
      <c r="E768" s="52" t="s">
        <v>55</v>
      </c>
      <c r="F768" s="52" t="s">
        <v>41</v>
      </c>
      <c r="G768" s="52" t="s">
        <v>56</v>
      </c>
      <c r="H768" s="53">
        <v>66.654902435654222</v>
      </c>
      <c r="I768" s="53">
        <v>40.628967014773792</v>
      </c>
      <c r="J768" s="54">
        <v>107.28386945042801</v>
      </c>
      <c r="K768" s="53">
        <v>1062.7591908973845</v>
      </c>
      <c r="L768" s="53">
        <v>517.20043934506896</v>
      </c>
      <c r="M768" s="54">
        <v>1579.9596302424534</v>
      </c>
      <c r="N768" s="53">
        <v>65.107065726900984</v>
      </c>
      <c r="O768" s="53">
        <v>274.44008486393534</v>
      </c>
      <c r="P768" s="53">
        <v>31.942991949482845</v>
      </c>
      <c r="Q768" s="53">
        <v>25.761604618484068</v>
      </c>
      <c r="R768" s="53">
        <v>101.81745308415184</v>
      </c>
      <c r="S768" s="53">
        <v>104.17636559744808</v>
      </c>
      <c r="T768" s="53">
        <v>92.555750277609931</v>
      </c>
      <c r="U768" s="53">
        <v>31.758880940911386</v>
      </c>
      <c r="V768" s="54">
        <v>727.56019705892447</v>
      </c>
      <c r="W768" s="54">
        <v>2314.3722707707752</v>
      </c>
      <c r="X768" s="53">
        <v>238.21313481942937</v>
      </c>
      <c r="Y768" s="55">
        <v>2552.1113351156569</v>
      </c>
      <c r="Z768" s="17" t="str">
        <f>SUBSTITUTE(SUBSTITUTE(SUBSTITUTE(SUBSTITUTE(IF(E768="","",VLOOKUP(E768,[1]Esquemas_NORM!$A$2:$H$126,8,FALSE)),"PROVINCIA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68" s="17" t="str">
        <f>IF($E768="","",INDEX([1]Esquemas_NORM!$H$2:$K$126,MATCH($E768,[1]Esquemas_NORM!$A$2:$A$126,0),MATCH(AA$4,[1]Esquemas_NORM!$H$1:$K$1,0)))</f>
        <v>A la fecha no ha conformado un EAT Región</v>
      </c>
      <c r="AB768" s="17" t="str">
        <f>IF($E768="","",INDEX([1]Esquemas_NORM!$H$2:$K$126,MATCH($E768,[1]Esquemas_NORM!$A$2:$A$126,0),MATCH(AB$4,[1]Esquemas_NORM!$H$1:$K$1,0)))</f>
        <v>Área Metropolitana del Valle de Aburrá</v>
      </c>
      <c r="AC768" s="17" t="str">
        <f>IF($E768="","",INDEX([1]Esquemas_NORM!$H$2:$K$126,MATCH($E768,[1]Esquemas_NORM!$A$2:$A$126,0),MATCH(AC$4,[1]Esquemas_NORM!$H$1:$K$1,0)))</f>
        <v>A la fecha no ha conformado un EAT asociación - unión</v>
      </c>
      <c r="AD768" s="23"/>
    </row>
    <row r="769" spans="1:30" x14ac:dyDescent="0.25">
      <c r="A769" s="51">
        <v>2021</v>
      </c>
      <c r="B769" s="52" t="s">
        <v>36</v>
      </c>
      <c r="C769" s="52" t="s">
        <v>38</v>
      </c>
      <c r="D769" s="52" t="s">
        <v>48</v>
      </c>
      <c r="E769" s="52" t="s">
        <v>57</v>
      </c>
      <c r="F769" s="52" t="s">
        <v>41</v>
      </c>
      <c r="G769" s="52" t="s">
        <v>58</v>
      </c>
      <c r="H769" s="53">
        <v>0.44263928629974547</v>
      </c>
      <c r="I769" s="53">
        <v>0.28130729602230364</v>
      </c>
      <c r="J769" s="54">
        <v>0.72394658232204911</v>
      </c>
      <c r="K769" s="53">
        <v>2519.5959194894449</v>
      </c>
      <c r="L769" s="53">
        <v>496.2514648105053</v>
      </c>
      <c r="M769" s="54">
        <v>3015.8473842999501</v>
      </c>
      <c r="N769" s="53">
        <v>143.98961767650465</v>
      </c>
      <c r="O769" s="53">
        <v>1479.5191318762691</v>
      </c>
      <c r="P769" s="53">
        <v>243.3847812725989</v>
      </c>
      <c r="Q769" s="53">
        <v>243.18986770699843</v>
      </c>
      <c r="R769" s="53">
        <v>746.26874624889649</v>
      </c>
      <c r="S769" s="53">
        <v>668.79034727230123</v>
      </c>
      <c r="T769" s="53">
        <v>689.31625809002276</v>
      </c>
      <c r="U769" s="53">
        <v>220.9082706198796</v>
      </c>
      <c r="V769" s="54">
        <v>4435.3670207634714</v>
      </c>
      <c r="W769" s="54">
        <v>7141.1969677918632</v>
      </c>
      <c r="X769" s="53">
        <v>735.02734955177687</v>
      </c>
      <c r="Y769" s="55">
        <v>7874.7615316552192</v>
      </c>
      <c r="Z769" s="17" t="str">
        <f>SUBSTITUTE(SUBSTITUTE(SUBSTITUTE(SUBSTITUTE(IF(E769="","",VLOOKUP(E769,[1]Esquemas_NORM!$A$2:$H$126,8,FALSE)),"PROVINCIA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69" s="17" t="str">
        <f>IF($E769="","",INDEX([1]Esquemas_NORM!$H$2:$K$126,MATCH($E769,[1]Esquemas_NORM!$A$2:$A$126,0),MATCH(AA$4,[1]Esquemas_NORM!$H$1:$K$1,0)))</f>
        <v>A la fecha no ha conformado un EAT Región</v>
      </c>
      <c r="AB769" s="17" t="str">
        <f>IF($E769="","",INDEX([1]Esquemas_NORM!$H$2:$K$126,MATCH($E769,[1]Esquemas_NORM!$A$2:$A$126,0),MATCH(AB$4,[1]Esquemas_NORM!$H$1:$K$1,0)))</f>
        <v>Área Metropolitana del Valle de Aburrá</v>
      </c>
      <c r="AC769" s="17" t="str">
        <f>IF($E769="","",INDEX([1]Esquemas_NORM!$H$2:$K$126,MATCH($E769,[1]Esquemas_NORM!$A$2:$A$126,0),MATCH(AC$4,[1]Esquemas_NORM!$H$1:$K$1,0)))</f>
        <v>A la fecha no ha conformado un EAT asociación - unión</v>
      </c>
      <c r="AD769" s="23"/>
    </row>
    <row r="770" spans="1:30" x14ac:dyDescent="0.25">
      <c r="A770" s="51">
        <v>2021</v>
      </c>
      <c r="B770" s="52" t="s">
        <v>36</v>
      </c>
      <c r="C770" s="52" t="s">
        <v>38</v>
      </c>
      <c r="D770" s="52" t="s">
        <v>48</v>
      </c>
      <c r="E770" s="52" t="s">
        <v>59</v>
      </c>
      <c r="F770" s="52" t="s">
        <v>41</v>
      </c>
      <c r="G770" s="52" t="s">
        <v>60</v>
      </c>
      <c r="H770" s="53">
        <v>4.9011712958262503</v>
      </c>
      <c r="I770" s="53">
        <v>5.9297116203059428E-6</v>
      </c>
      <c r="J770" s="54">
        <v>4.9011772255378707</v>
      </c>
      <c r="K770" s="53">
        <v>849.81994973640087</v>
      </c>
      <c r="L770" s="53">
        <v>130.68717291333988</v>
      </c>
      <c r="M770" s="54">
        <v>980.50712264974072</v>
      </c>
      <c r="N770" s="53">
        <v>45.729141623059945</v>
      </c>
      <c r="O770" s="53">
        <v>276.83036295053364</v>
      </c>
      <c r="P770" s="53">
        <v>66.042459107115519</v>
      </c>
      <c r="Q770" s="53">
        <v>34.646999382576283</v>
      </c>
      <c r="R770" s="53">
        <v>191.57901715879905</v>
      </c>
      <c r="S770" s="53">
        <v>147.3257224507642</v>
      </c>
      <c r="T770" s="53">
        <v>125.18011953660292</v>
      </c>
      <c r="U770" s="53">
        <v>53.482479158593897</v>
      </c>
      <c r="V770" s="54">
        <v>940.8163013680454</v>
      </c>
      <c r="W770" s="54">
        <v>1829.4895989176521</v>
      </c>
      <c r="X770" s="53">
        <v>188.30525148514408</v>
      </c>
      <c r="Y770" s="55">
        <v>2017.420102133776</v>
      </c>
      <c r="Z770" s="17" t="str">
        <f>SUBSTITUTE(SUBSTITUTE(SUBSTITUTE(SUBSTITUTE(IF(E770="","",VLOOKUP(E770,[1]Esquemas_NORM!$A$2:$H$126,8,FALSE)),"PROVINCIA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0" s="17" t="str">
        <f>IF($E770="","",INDEX([1]Esquemas_NORM!$H$2:$K$126,MATCH($E770,[1]Esquemas_NORM!$A$2:$A$126,0),MATCH(AA$4,[1]Esquemas_NORM!$H$1:$K$1,0)))</f>
        <v>A la fecha no ha conformado un EAT Región</v>
      </c>
      <c r="AB770" s="17" t="str">
        <f>IF($E770="","",INDEX([1]Esquemas_NORM!$H$2:$K$126,MATCH($E770,[1]Esquemas_NORM!$A$2:$A$126,0),MATCH(AB$4,[1]Esquemas_NORM!$H$1:$K$1,0)))</f>
        <v>Área Metropolitana del Valle de Aburrá</v>
      </c>
      <c r="AC770" s="17" t="str">
        <f>IF($E770="","",INDEX([1]Esquemas_NORM!$H$2:$K$126,MATCH($E770,[1]Esquemas_NORM!$A$2:$A$126,0),MATCH(AC$4,[1]Esquemas_NORM!$H$1:$K$1,0)))</f>
        <v>A la fecha no ha conformado un EAT asociación - unión</v>
      </c>
      <c r="AD770" s="23"/>
    </row>
    <row r="771" spans="1:30" x14ac:dyDescent="0.25">
      <c r="A771" s="51">
        <v>2021</v>
      </c>
      <c r="B771" s="52" t="s">
        <v>36</v>
      </c>
      <c r="C771" s="52" t="s">
        <v>38</v>
      </c>
      <c r="D771" s="52" t="s">
        <v>48</v>
      </c>
      <c r="E771" s="52" t="s">
        <v>61</v>
      </c>
      <c r="F771" s="52" t="s">
        <v>41</v>
      </c>
      <c r="G771" s="52" t="s">
        <v>62</v>
      </c>
      <c r="H771" s="53">
        <v>5.3182916555778394</v>
      </c>
      <c r="I771" s="53">
        <v>0</v>
      </c>
      <c r="J771" s="54">
        <v>5.3182916555778394</v>
      </c>
      <c r="K771" s="53">
        <v>923.16989750901632</v>
      </c>
      <c r="L771" s="53">
        <v>103.23243508368486</v>
      </c>
      <c r="M771" s="54">
        <v>1026.4023325927012</v>
      </c>
      <c r="N771" s="53">
        <v>55.742810686829372</v>
      </c>
      <c r="O771" s="53">
        <v>539.04305274439776</v>
      </c>
      <c r="P771" s="53">
        <v>97.66532892368582</v>
      </c>
      <c r="Q771" s="53">
        <v>83.934406580451707</v>
      </c>
      <c r="R771" s="53">
        <v>326.78604949318901</v>
      </c>
      <c r="S771" s="53">
        <v>272.23930423964129</v>
      </c>
      <c r="T771" s="53">
        <v>377.11753492856201</v>
      </c>
      <c r="U771" s="53">
        <v>86.588336000739204</v>
      </c>
      <c r="V771" s="54">
        <v>1839.1168235974962</v>
      </c>
      <c r="W771" s="54">
        <v>2757.7005678866703</v>
      </c>
      <c r="X771" s="53">
        <v>283.84391978169373</v>
      </c>
      <c r="Y771" s="55">
        <v>3040.9796068869141</v>
      </c>
      <c r="Z771" s="17" t="str">
        <f>SUBSTITUTE(SUBSTITUTE(SUBSTITUTE(SUBSTITUTE(IF(E771="","",VLOOKUP(E771,[1]Esquemas_NORM!$A$2:$H$126,8,FALSE)),"PROVINCIA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1" s="17" t="str">
        <f>IF($E771="","",INDEX([1]Esquemas_NORM!$H$2:$K$126,MATCH($E771,[1]Esquemas_NORM!$A$2:$A$126,0),MATCH(AA$4,[1]Esquemas_NORM!$H$1:$K$1,0)))</f>
        <v>A la fecha no ha conformado un EAT Región</v>
      </c>
      <c r="AB771" s="17" t="str">
        <f>IF($E771="","",INDEX([1]Esquemas_NORM!$H$2:$K$126,MATCH($E771,[1]Esquemas_NORM!$A$2:$A$126,0),MATCH(AB$4,[1]Esquemas_NORM!$H$1:$K$1,0)))</f>
        <v>Área Metropolitana del Valle de Aburrá</v>
      </c>
      <c r="AC771" s="17" t="str">
        <f>IF($E771="","",INDEX([1]Esquemas_NORM!$H$2:$K$126,MATCH($E771,[1]Esquemas_NORM!$A$2:$A$126,0),MATCH(AC$4,[1]Esquemas_NORM!$H$1:$K$1,0)))</f>
        <v>A la fecha no ha conformado un EAT asociación - unión</v>
      </c>
      <c r="AD771" s="23"/>
    </row>
    <row r="772" spans="1:30" x14ac:dyDescent="0.25">
      <c r="A772" s="51">
        <v>2021</v>
      </c>
      <c r="B772" s="52" t="s">
        <v>36</v>
      </c>
      <c r="C772" s="52" t="s">
        <v>63</v>
      </c>
      <c r="D772" s="52" t="s">
        <v>64</v>
      </c>
      <c r="E772" s="52" t="s">
        <v>65</v>
      </c>
      <c r="F772" s="52" t="s">
        <v>66</v>
      </c>
      <c r="G772" s="52" t="s">
        <v>67</v>
      </c>
      <c r="H772" s="53">
        <v>39.346192362909129</v>
      </c>
      <c r="I772" s="53">
        <v>13.500749831323448</v>
      </c>
      <c r="J772" s="54">
        <v>52.846942194232575</v>
      </c>
      <c r="K772" s="53">
        <v>9.2434211730522602</v>
      </c>
      <c r="L772" s="53">
        <v>13.598627268104645</v>
      </c>
      <c r="M772" s="54">
        <v>22.842048441156905</v>
      </c>
      <c r="N772" s="53">
        <v>11.684512576857607</v>
      </c>
      <c r="O772" s="53">
        <v>71.54080292760726</v>
      </c>
      <c r="P772" s="53">
        <v>12.10559794747738</v>
      </c>
      <c r="Q772" s="53">
        <v>7.0383044606178906</v>
      </c>
      <c r="R772" s="53">
        <v>24.444431084414397</v>
      </c>
      <c r="S772" s="53">
        <v>34.926285511736523</v>
      </c>
      <c r="T772" s="53">
        <v>68.755130618563456</v>
      </c>
      <c r="U772" s="53">
        <v>13.309203975747375</v>
      </c>
      <c r="V772" s="54">
        <v>243.80426910302191</v>
      </c>
      <c r="W772" s="54">
        <v>334.84525760819605</v>
      </c>
      <c r="X772" s="53">
        <v>34.464869589761591</v>
      </c>
      <c r="Y772" s="55">
        <v>369.24153829712287</v>
      </c>
      <c r="Z772" s="17" t="str">
        <f>SUBSTITUTE(SUBSTITUTE(SUBSTITUTE(SUBSTITUTE(IF(E772="","",VLOOKUP(E772,[1]Esquemas_NORM!$A$2:$H$126,8,FALSE)),"PROVINCIA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2" s="17" t="str">
        <f>IF($E772="","",INDEX([1]Esquemas_NORM!$H$2:$K$126,MATCH($E772,[1]Esquemas_NORM!$A$2:$A$126,0),MATCH(AA$4,[1]Esquemas_NORM!$H$1:$K$1,0)))</f>
        <v>Región de Planeación y Gestión del Bajo Cauca</v>
      </c>
      <c r="AB772" s="17" t="str">
        <f>IF($E772="","",INDEX([1]Esquemas_NORM!$H$2:$K$126,MATCH($E772,[1]Esquemas_NORM!$A$2:$A$126,0),MATCH(AB$4,[1]Esquemas_NORM!$H$1:$K$1,0)))</f>
        <v>A la fecha no ha conformado un EAT Área Metropolitana</v>
      </c>
      <c r="AC772" s="17" t="str">
        <f>IF($E772="","",INDEX([1]Esquemas_NORM!$H$2:$K$126,MATCH($E772,[1]Esquemas_NORM!$A$2:$A$126,0),MATCH(AC$4,[1]Esquemas_NORM!$H$1:$K$1,0)))</f>
        <v>A la fecha no ha conformado un EAT asociación - unión</v>
      </c>
      <c r="AD772" s="23"/>
    </row>
    <row r="773" spans="1:30" x14ac:dyDescent="0.25">
      <c r="A773" s="51">
        <v>2021</v>
      </c>
      <c r="B773" s="52" t="s">
        <v>36</v>
      </c>
      <c r="C773" s="52" t="s">
        <v>63</v>
      </c>
      <c r="D773" s="52" t="s">
        <v>64</v>
      </c>
      <c r="E773" s="52" t="s">
        <v>68</v>
      </c>
      <c r="F773" s="52" t="s">
        <v>66</v>
      </c>
      <c r="G773" s="52" t="s">
        <v>69</v>
      </c>
      <c r="H773" s="53">
        <v>29.457966074921753</v>
      </c>
      <c r="I773" s="53">
        <v>553.9750125558121</v>
      </c>
      <c r="J773" s="54">
        <v>583.43297863073383</v>
      </c>
      <c r="K773" s="53">
        <v>19.047769047703941</v>
      </c>
      <c r="L773" s="53">
        <v>48.748259554584791</v>
      </c>
      <c r="M773" s="54">
        <v>67.796028602288729</v>
      </c>
      <c r="N773" s="53">
        <v>26.769724088291149</v>
      </c>
      <c r="O773" s="53">
        <v>279.50135156189447</v>
      </c>
      <c r="P773" s="53">
        <v>30.839998537240586</v>
      </c>
      <c r="Q773" s="53">
        <v>26.017010015277304</v>
      </c>
      <c r="R773" s="53">
        <v>62.893022030016972</v>
      </c>
      <c r="S773" s="53">
        <v>139.11945436568473</v>
      </c>
      <c r="T773" s="53">
        <v>193.35764197513379</v>
      </c>
      <c r="U773" s="53">
        <v>29.078888357088395</v>
      </c>
      <c r="V773" s="54">
        <v>787.57709093062749</v>
      </c>
      <c r="W773" s="54">
        <v>1771.4368600268738</v>
      </c>
      <c r="X773" s="53">
        <v>182.33001358095305</v>
      </c>
      <c r="Y773" s="55">
        <v>1953.4040167228552</v>
      </c>
      <c r="Z773" s="17" t="str">
        <f>SUBSTITUTE(SUBSTITUTE(SUBSTITUTE(SUBSTITUTE(IF(E773="","",VLOOKUP(E773,[1]Esquemas_NORM!$A$2:$H$126,8,FALSE)),"PROVINCIA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3" s="17" t="str">
        <f>IF($E773="","",INDEX([1]Esquemas_NORM!$H$2:$K$126,MATCH($E773,[1]Esquemas_NORM!$A$2:$A$126,0),MATCH(AA$4,[1]Esquemas_NORM!$H$1:$K$1,0)))</f>
        <v>Región de Planeación y Gestión del Bajo Cauca</v>
      </c>
      <c r="AB773" s="17" t="str">
        <f>IF($E773="","",INDEX([1]Esquemas_NORM!$H$2:$K$126,MATCH($E773,[1]Esquemas_NORM!$A$2:$A$126,0),MATCH(AB$4,[1]Esquemas_NORM!$H$1:$K$1,0)))</f>
        <v>A la fecha no ha conformado un EAT Área Metropolitana</v>
      </c>
      <c r="AC773" s="17" t="str">
        <f>IF($E773="","",INDEX([1]Esquemas_NORM!$H$2:$K$126,MATCH($E773,[1]Esquemas_NORM!$A$2:$A$126,0),MATCH(AC$4,[1]Esquemas_NORM!$H$1:$K$1,0)))</f>
        <v>A la fecha no ha conformado un EAT asociación - unión</v>
      </c>
      <c r="AD773" s="23"/>
    </row>
    <row r="774" spans="1:30" x14ac:dyDescent="0.25">
      <c r="A774" s="51">
        <v>2021</v>
      </c>
      <c r="B774" s="52" t="s">
        <v>36</v>
      </c>
      <c r="C774" s="52" t="s">
        <v>63</v>
      </c>
      <c r="D774" s="52" t="s">
        <v>64</v>
      </c>
      <c r="E774" s="52" t="s">
        <v>70</v>
      </c>
      <c r="F774" s="52" t="s">
        <v>66</v>
      </c>
      <c r="G774" s="52" t="s">
        <v>71</v>
      </c>
      <c r="H774" s="53">
        <v>14.94859126861536</v>
      </c>
      <c r="I774" s="53">
        <v>325.56622982705954</v>
      </c>
      <c r="J774" s="54">
        <v>340.5148210956749</v>
      </c>
      <c r="K774" s="53">
        <v>14.356324099599387</v>
      </c>
      <c r="L774" s="53">
        <v>16.227421965419133</v>
      </c>
      <c r="M774" s="54">
        <v>30.58374606501852</v>
      </c>
      <c r="N774" s="53">
        <v>12.699405839987548</v>
      </c>
      <c r="O774" s="53">
        <v>113.33338154598314</v>
      </c>
      <c r="P774" s="53">
        <v>14.927693098352785</v>
      </c>
      <c r="Q774" s="53">
        <v>10.66950449111776</v>
      </c>
      <c r="R774" s="53">
        <v>38.09308721523891</v>
      </c>
      <c r="S774" s="53">
        <v>67.28854939057662</v>
      </c>
      <c r="T774" s="53">
        <v>79.436287339738243</v>
      </c>
      <c r="U774" s="53">
        <v>19.615908454610292</v>
      </c>
      <c r="V774" s="54">
        <v>356.06381737560531</v>
      </c>
      <c r="W774" s="54">
        <v>920.92032845331357</v>
      </c>
      <c r="X774" s="53">
        <v>94.788259058403185</v>
      </c>
      <c r="Y774" s="55">
        <v>1015.5199483966408</v>
      </c>
      <c r="Z774" s="17" t="str">
        <f>SUBSTITUTE(SUBSTITUTE(SUBSTITUTE(SUBSTITUTE(IF(E774="","",VLOOKUP(E774,[1]Esquemas_NORM!$A$2:$H$126,8,FALSE)),"PROVINCIA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4" s="17" t="str">
        <f>IF($E774="","",INDEX([1]Esquemas_NORM!$H$2:$K$126,MATCH($E774,[1]Esquemas_NORM!$A$2:$A$126,0),MATCH(AA$4,[1]Esquemas_NORM!$H$1:$K$1,0)))</f>
        <v>Región de Planeación y Gestión del Bajo Cauca</v>
      </c>
      <c r="AB774" s="17" t="str">
        <f>IF($E774="","",INDEX([1]Esquemas_NORM!$H$2:$K$126,MATCH($E774,[1]Esquemas_NORM!$A$2:$A$126,0),MATCH(AB$4,[1]Esquemas_NORM!$H$1:$K$1,0)))</f>
        <v>A la fecha no ha conformado un EAT Área Metropolitana</v>
      </c>
      <c r="AC774" s="17" t="str">
        <f>IF($E774="","",INDEX([1]Esquemas_NORM!$H$2:$K$126,MATCH($E774,[1]Esquemas_NORM!$A$2:$A$126,0),MATCH(AC$4,[1]Esquemas_NORM!$H$1:$K$1,0)))</f>
        <v>A la fecha no ha conformado un EAT asociación - unión</v>
      </c>
      <c r="AD774" s="23"/>
    </row>
    <row r="775" spans="1:30" x14ac:dyDescent="0.25">
      <c r="A775" s="51">
        <v>2021</v>
      </c>
      <c r="B775" s="52" t="s">
        <v>36</v>
      </c>
      <c r="C775" s="52" t="s">
        <v>63</v>
      </c>
      <c r="D775" s="52" t="s">
        <v>64</v>
      </c>
      <c r="E775" s="52" t="s">
        <v>72</v>
      </c>
      <c r="F775" s="52" t="s">
        <v>66</v>
      </c>
      <c r="G775" s="52" t="s">
        <v>73</v>
      </c>
      <c r="H775" s="53">
        <v>21.08137575722921</v>
      </c>
      <c r="I775" s="53">
        <v>26.921761978406579</v>
      </c>
      <c r="J775" s="54">
        <v>48.003137735635789</v>
      </c>
      <c r="K775" s="53">
        <v>4.7947946230678173</v>
      </c>
      <c r="L775" s="53">
        <v>11.001798534240688</v>
      </c>
      <c r="M775" s="54">
        <v>15.796593157308505</v>
      </c>
      <c r="N775" s="53">
        <v>7.7387711938165591</v>
      </c>
      <c r="O775" s="53">
        <v>49.854567543199721</v>
      </c>
      <c r="P775" s="53">
        <v>7.0005457960518447</v>
      </c>
      <c r="Q775" s="53">
        <v>5.2018098001234279</v>
      </c>
      <c r="R775" s="53">
        <v>16.801335531262637</v>
      </c>
      <c r="S775" s="53">
        <v>24.432000967670092</v>
      </c>
      <c r="T775" s="53">
        <v>46.845039772577394</v>
      </c>
      <c r="U775" s="53">
        <v>8.7396524918317979</v>
      </c>
      <c r="V775" s="54">
        <v>166.61372309653348</v>
      </c>
      <c r="W775" s="54">
        <v>249.94795787141706</v>
      </c>
      <c r="X775" s="53">
        <v>25.726581388054662</v>
      </c>
      <c r="Y775" s="55">
        <v>275.62334051824251</v>
      </c>
      <c r="Z775" s="17" t="str">
        <f>SUBSTITUTE(SUBSTITUTE(SUBSTITUTE(SUBSTITUTE(IF(E775="","",VLOOKUP(E775,[1]Esquemas_NORM!$A$2:$H$126,8,FALSE)),"PROVINCIA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5" s="17" t="str">
        <f>IF($E775="","",INDEX([1]Esquemas_NORM!$H$2:$K$126,MATCH($E775,[1]Esquemas_NORM!$A$2:$A$126,0),MATCH(AA$4,[1]Esquemas_NORM!$H$1:$K$1,0)))</f>
        <v>Región de Planeación y Gestión del Bajo Cauca</v>
      </c>
      <c r="AB775" s="17" t="str">
        <f>IF($E775="","",INDEX([1]Esquemas_NORM!$H$2:$K$126,MATCH($E775,[1]Esquemas_NORM!$A$2:$A$126,0),MATCH(AB$4,[1]Esquemas_NORM!$H$1:$K$1,0)))</f>
        <v>A la fecha no ha conformado un EAT Área Metropolitana</v>
      </c>
      <c r="AC775" s="17" t="str">
        <f>IF($E775="","",INDEX([1]Esquemas_NORM!$H$2:$K$126,MATCH($E775,[1]Esquemas_NORM!$A$2:$A$126,0),MATCH(AC$4,[1]Esquemas_NORM!$H$1:$K$1,0)))</f>
        <v>A la fecha no ha conformado un EAT asociación - unión</v>
      </c>
      <c r="AD775" s="23"/>
    </row>
    <row r="776" spans="1:30" x14ac:dyDescent="0.25">
      <c r="A776" s="51">
        <v>2021</v>
      </c>
      <c r="B776" s="52" t="s">
        <v>36</v>
      </c>
      <c r="C776" s="52" t="s">
        <v>63</v>
      </c>
      <c r="D776" s="52" t="s">
        <v>64</v>
      </c>
      <c r="E776" s="52" t="s">
        <v>74</v>
      </c>
      <c r="F776" s="52" t="s">
        <v>66</v>
      </c>
      <c r="G776" s="52" t="s">
        <v>75</v>
      </c>
      <c r="H776" s="53">
        <v>18.291348179413372</v>
      </c>
      <c r="I776" s="53">
        <v>20.126634554301663</v>
      </c>
      <c r="J776" s="54">
        <v>38.417982733715036</v>
      </c>
      <c r="K776" s="53">
        <v>7.6232223492327034</v>
      </c>
      <c r="L776" s="53">
        <v>10.924725946063628</v>
      </c>
      <c r="M776" s="54">
        <v>18.547948295296329</v>
      </c>
      <c r="N776" s="53">
        <v>5.0294741401222938</v>
      </c>
      <c r="O776" s="53">
        <v>61.597596565170001</v>
      </c>
      <c r="P776" s="53">
        <v>13.155243789164883</v>
      </c>
      <c r="Q776" s="53">
        <v>8.5858912228976436</v>
      </c>
      <c r="R776" s="53">
        <v>24.068951023573089</v>
      </c>
      <c r="S776" s="53">
        <v>30.350684867035838</v>
      </c>
      <c r="T776" s="53">
        <v>51.563808123664614</v>
      </c>
      <c r="U776" s="53">
        <v>10.805297928001249</v>
      </c>
      <c r="V776" s="54">
        <v>205.15694765962959</v>
      </c>
      <c r="W776" s="54">
        <v>274.82250931787542</v>
      </c>
      <c r="X776" s="53">
        <v>28.286863047204179</v>
      </c>
      <c r="Y776" s="55">
        <v>303.05307838029</v>
      </c>
      <c r="Z776" s="17" t="str">
        <f>SUBSTITUTE(SUBSTITUTE(SUBSTITUTE(SUBSTITUTE(IF(E776="","",VLOOKUP(E776,[1]Esquemas_NORM!$A$2:$H$126,8,FALSE)),"PROVINCIA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6" s="17" t="str">
        <f>IF($E776="","",INDEX([1]Esquemas_NORM!$H$2:$K$126,MATCH($E776,[1]Esquemas_NORM!$A$2:$A$126,0),MATCH(AA$4,[1]Esquemas_NORM!$H$1:$K$1,0)))</f>
        <v>Región de Planeación y Gestión del Bajo Cauca</v>
      </c>
      <c r="AB776" s="17" t="str">
        <f>IF($E776="","",INDEX([1]Esquemas_NORM!$H$2:$K$126,MATCH($E776,[1]Esquemas_NORM!$A$2:$A$126,0),MATCH(AB$4,[1]Esquemas_NORM!$H$1:$K$1,0)))</f>
        <v>A la fecha no ha conformado un EAT Área Metropolitana</v>
      </c>
      <c r="AC776" s="17" t="str">
        <f>IF($E776="","",INDEX([1]Esquemas_NORM!$H$2:$K$126,MATCH($E776,[1]Esquemas_NORM!$A$2:$A$126,0),MATCH(AC$4,[1]Esquemas_NORM!$H$1:$K$1,0)))</f>
        <v>A la fecha no ha conformado un EAT asociación - unión</v>
      </c>
      <c r="AD776" s="23"/>
    </row>
    <row r="777" spans="1:30" x14ac:dyDescent="0.25">
      <c r="A777" s="51">
        <v>2021</v>
      </c>
      <c r="B777" s="52" t="s">
        <v>36</v>
      </c>
      <c r="C777" s="52" t="s">
        <v>63</v>
      </c>
      <c r="D777" s="52" t="s">
        <v>64</v>
      </c>
      <c r="E777" s="52" t="s">
        <v>76</v>
      </c>
      <c r="F777" s="52" t="s">
        <v>66</v>
      </c>
      <c r="G777" s="52" t="s">
        <v>77</v>
      </c>
      <c r="H777" s="53">
        <v>27.867670540829803</v>
      </c>
      <c r="I777" s="53">
        <v>44.630444981274181</v>
      </c>
      <c r="J777" s="54">
        <v>72.498115522103987</v>
      </c>
      <c r="K777" s="53">
        <v>6.5993378055986467</v>
      </c>
      <c r="L777" s="53">
        <v>9.6421450608786365</v>
      </c>
      <c r="M777" s="54">
        <v>16.241482866477284</v>
      </c>
      <c r="N777" s="53">
        <v>14.360303381696275</v>
      </c>
      <c r="O777" s="53">
        <v>45.21546145487752</v>
      </c>
      <c r="P777" s="53">
        <v>5.5848387364786793</v>
      </c>
      <c r="Q777" s="53">
        <v>3.7689472245188815</v>
      </c>
      <c r="R777" s="53">
        <v>12.804597335971229</v>
      </c>
      <c r="S777" s="53">
        <v>25.172172694126779</v>
      </c>
      <c r="T777" s="53">
        <v>59.91709361085519</v>
      </c>
      <c r="U777" s="53">
        <v>5.3297547441850952</v>
      </c>
      <c r="V777" s="54">
        <v>172.15316918270963</v>
      </c>
      <c r="W777" s="54">
        <v>294.45741070454039</v>
      </c>
      <c r="X777" s="53">
        <v>30.307839305100156</v>
      </c>
      <c r="Y777" s="55">
        <v>324.70493405866409</v>
      </c>
      <c r="Z777" s="17" t="str">
        <f>SUBSTITUTE(SUBSTITUTE(SUBSTITUTE(SUBSTITUTE(IF(E777="","",VLOOKUP(E777,[1]Esquemas_NORM!$A$2:$H$126,8,FALSE)),"PROVINCIA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7" s="17" t="str">
        <f>IF($E777="","",INDEX([1]Esquemas_NORM!$H$2:$K$126,MATCH($E777,[1]Esquemas_NORM!$A$2:$A$126,0),MATCH(AA$4,[1]Esquemas_NORM!$H$1:$K$1,0)))</f>
        <v>Región de Planeación y Gestión del Bajo Cauca</v>
      </c>
      <c r="AB777" s="17" t="str">
        <f>IF($E777="","",INDEX([1]Esquemas_NORM!$H$2:$K$126,MATCH($E777,[1]Esquemas_NORM!$A$2:$A$126,0),MATCH(AB$4,[1]Esquemas_NORM!$H$1:$K$1,0)))</f>
        <v>A la fecha no ha conformado un EAT Área Metropolitana</v>
      </c>
      <c r="AC777" s="17" t="str">
        <f>IF($E777="","",INDEX([1]Esquemas_NORM!$H$2:$K$126,MATCH($E777,[1]Esquemas_NORM!$A$2:$A$126,0),MATCH(AC$4,[1]Esquemas_NORM!$H$1:$K$1,0)))</f>
        <v>A la fecha no ha conformado un EAT asociación - unión</v>
      </c>
      <c r="AD777" s="23"/>
    </row>
    <row r="778" spans="1:30" x14ac:dyDescent="0.25">
      <c r="A778" s="51">
        <v>2021</v>
      </c>
      <c r="B778" s="52" t="s">
        <v>36</v>
      </c>
      <c r="C778" s="52" t="s">
        <v>78</v>
      </c>
      <c r="D778" s="52" t="s">
        <v>79</v>
      </c>
      <c r="E778" s="52" t="s">
        <v>80</v>
      </c>
      <c r="F778" s="52" t="s">
        <v>81</v>
      </c>
      <c r="G778" s="52" t="s">
        <v>82</v>
      </c>
      <c r="H778" s="53">
        <v>7.1341985880719365</v>
      </c>
      <c r="I778" s="53">
        <v>0.4676653079341353</v>
      </c>
      <c r="J778" s="54">
        <v>7.6018638960060718</v>
      </c>
      <c r="K778" s="53">
        <v>2.066702204264776</v>
      </c>
      <c r="L778" s="53">
        <v>1.5193555729007067</v>
      </c>
      <c r="M778" s="54">
        <v>3.5860577771654825</v>
      </c>
      <c r="N778" s="53">
        <v>0.52764011166528868</v>
      </c>
      <c r="O778" s="53">
        <v>8.1587041320533853</v>
      </c>
      <c r="P778" s="53">
        <v>1.7103542037144293</v>
      </c>
      <c r="Q778" s="53">
        <v>1.3513875933316928</v>
      </c>
      <c r="R778" s="53">
        <v>6.3693606369263076</v>
      </c>
      <c r="S778" s="53">
        <v>5.7440706123360572</v>
      </c>
      <c r="T778" s="53">
        <v>10.711239813735228</v>
      </c>
      <c r="U778" s="53">
        <v>2.3152291298104917</v>
      </c>
      <c r="V778" s="54">
        <v>36.887986233572875</v>
      </c>
      <c r="W778" s="54">
        <v>48.998861980746511</v>
      </c>
      <c r="X778" s="53">
        <v>5.0433427078400639</v>
      </c>
      <c r="Y778" s="55">
        <v>54.032167879018424</v>
      </c>
      <c r="Z778" s="17" t="str">
        <f>SUBSTITUTE(SUBSTITUTE(SUBSTITUTE(SUBSTITUTE(IF(E778="","",VLOOKUP(E778,[1]Esquemas_NORM!$A$2:$H$126,8,FALSE)),"PROVINCIA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8" s="17" t="str">
        <f>IF($E778="","",INDEX([1]Esquemas_NORM!$H$2:$K$126,MATCH($E778,[1]Esquemas_NORM!$A$2:$A$126,0),MATCH(AA$4,[1]Esquemas_NORM!$H$1:$K$1,0)))</f>
        <v>A la fecha no ha conformado un EAT Región</v>
      </c>
      <c r="AB778" s="17" t="str">
        <f>IF($E778="","",INDEX([1]Esquemas_NORM!$H$2:$K$126,MATCH($E778,[1]Esquemas_NORM!$A$2:$A$126,0),MATCH(AB$4,[1]Esquemas_NORM!$H$1:$K$1,0)))</f>
        <v>A la fecha no ha conformado un EAT Área Metropolitana</v>
      </c>
      <c r="AC778" s="17" t="str">
        <f>IF($E778="","",INDEX([1]Esquemas_NORM!$H$2:$K$126,MATCH($E778,[1]Esquemas_NORM!$A$2:$A$126,0),MATCH(AC$4,[1]Esquemas_NORM!$H$1:$K$1,0)))</f>
        <v>ASOCIACIÓN DE MUNICIPIOS DEL MAGDALENA MEDIO ANTIOQUEÑO - AMMA</v>
      </c>
      <c r="AD778" s="23"/>
    </row>
    <row r="779" spans="1:30" x14ac:dyDescent="0.25">
      <c r="A779" s="51">
        <v>2021</v>
      </c>
      <c r="B779" s="52" t="s">
        <v>36</v>
      </c>
      <c r="C779" s="52" t="s">
        <v>78</v>
      </c>
      <c r="D779" s="52" t="s">
        <v>79</v>
      </c>
      <c r="E779" s="52" t="s">
        <v>83</v>
      </c>
      <c r="F779" s="52" t="s">
        <v>81</v>
      </c>
      <c r="G779" s="52" t="s">
        <v>84</v>
      </c>
      <c r="H779" s="53">
        <v>23.973183967739697</v>
      </c>
      <c r="I779" s="53">
        <v>4.4631656482714313</v>
      </c>
      <c r="J779" s="54">
        <v>28.436349616011128</v>
      </c>
      <c r="K779" s="53">
        <v>3.559952386759456</v>
      </c>
      <c r="L779" s="53">
        <v>3.4237979080243615</v>
      </c>
      <c r="M779" s="54">
        <v>6.9837502947838175</v>
      </c>
      <c r="N779" s="53">
        <v>0.90063299719537471</v>
      </c>
      <c r="O779" s="53">
        <v>14.414989876190662</v>
      </c>
      <c r="P779" s="53">
        <v>2.1366750475873544</v>
      </c>
      <c r="Q779" s="53">
        <v>1.9124193803502716</v>
      </c>
      <c r="R779" s="53">
        <v>8.6822725864150616</v>
      </c>
      <c r="S779" s="53">
        <v>9.8011146707263546</v>
      </c>
      <c r="T779" s="53">
        <v>21.456933089282312</v>
      </c>
      <c r="U779" s="53">
        <v>3.9245039258717278</v>
      </c>
      <c r="V779" s="54">
        <v>63.229541573619123</v>
      </c>
      <c r="W779" s="54">
        <v>105.67269676987705</v>
      </c>
      <c r="X779" s="53">
        <v>10.876653112509358</v>
      </c>
      <c r="Y779" s="55">
        <v>116.52770414019643</v>
      </c>
      <c r="Z779" s="17" t="str">
        <f>SUBSTITUTE(SUBSTITUTE(SUBSTITUTE(SUBSTITUTE(IF(E779="","",VLOOKUP(E779,[1]Esquemas_NORM!$A$2:$H$126,8,FALSE)),"PROVINCIA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79" s="17" t="str">
        <f>IF($E779="","",INDEX([1]Esquemas_NORM!$H$2:$K$126,MATCH($E779,[1]Esquemas_NORM!$A$2:$A$126,0),MATCH(AA$4,[1]Esquemas_NORM!$H$1:$K$1,0)))</f>
        <v>A la fecha no ha conformado un EAT Región</v>
      </c>
      <c r="AB779" s="17" t="str">
        <f>IF($E779="","",INDEX([1]Esquemas_NORM!$H$2:$K$126,MATCH($E779,[1]Esquemas_NORM!$A$2:$A$126,0),MATCH(AB$4,[1]Esquemas_NORM!$H$1:$K$1,0)))</f>
        <v>A la fecha no ha conformado un EAT Área Metropolitana</v>
      </c>
      <c r="AC779" s="17" t="str">
        <f>IF($E779="","",INDEX([1]Esquemas_NORM!$H$2:$K$126,MATCH($E779,[1]Esquemas_NORM!$A$2:$A$126,0),MATCH(AC$4,[1]Esquemas_NORM!$H$1:$K$1,0)))</f>
        <v>ASOCIACIÓN DE MUNICIPIOS DEL MAGDALENA MEDIO ANTIOQUEÑO - AMMA</v>
      </c>
      <c r="AD779" s="23"/>
    </row>
    <row r="780" spans="1:30" x14ac:dyDescent="0.25">
      <c r="A780" s="51">
        <v>2021</v>
      </c>
      <c r="B780" s="52" t="s">
        <v>36</v>
      </c>
      <c r="C780" s="52" t="s">
        <v>78</v>
      </c>
      <c r="D780" s="52" t="s">
        <v>85</v>
      </c>
      <c r="E780" s="52" t="s">
        <v>86</v>
      </c>
      <c r="F780" s="52" t="s">
        <v>81</v>
      </c>
      <c r="G780" s="52" t="s">
        <v>87</v>
      </c>
      <c r="H780" s="53">
        <v>22.884764455036049</v>
      </c>
      <c r="I780" s="53">
        <v>31.839950299982977</v>
      </c>
      <c r="J780" s="54">
        <v>54.724714755019022</v>
      </c>
      <c r="K780" s="53">
        <v>31.665748346953382</v>
      </c>
      <c r="L780" s="53">
        <v>25.06588943452314</v>
      </c>
      <c r="M780" s="54">
        <v>56.731637781476522</v>
      </c>
      <c r="N780" s="53">
        <v>18.046334911038688</v>
      </c>
      <c r="O780" s="53">
        <v>153.9888156213151</v>
      </c>
      <c r="P780" s="53">
        <v>28.622814928851529</v>
      </c>
      <c r="Q780" s="53">
        <v>24.753910252012652</v>
      </c>
      <c r="R780" s="53">
        <v>56.53583623349013</v>
      </c>
      <c r="S780" s="53">
        <v>67.025874411490904</v>
      </c>
      <c r="T780" s="53">
        <v>79.361897628095875</v>
      </c>
      <c r="U780" s="53">
        <v>22.958204844060838</v>
      </c>
      <c r="V780" s="54">
        <v>451.29368883035573</v>
      </c>
      <c r="W780" s="54">
        <v>580.53825306672081</v>
      </c>
      <c r="X780" s="53">
        <v>59.753497262363886</v>
      </c>
      <c r="Y780" s="55">
        <v>640.1728342633337</v>
      </c>
      <c r="Z780" s="17" t="str">
        <f>SUBSTITUTE(SUBSTITUTE(SUBSTITUTE(SUBSTITUTE(IF(E780="","",VLOOKUP(E780,[1]Esquemas_NORM!$A$2:$H$126,8,FALSE)),"PROVINCIA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80" s="17" t="str">
        <f>IF($E780="","",INDEX([1]Esquemas_NORM!$H$2:$K$126,MATCH($E780,[1]Esquemas_NORM!$A$2:$A$126,0),MATCH(AA$4,[1]Esquemas_NORM!$H$1:$K$1,0)))</f>
        <v>A la fecha no ha conformado un EAT Región</v>
      </c>
      <c r="AB780" s="17" t="str">
        <f>IF($E780="","",INDEX([1]Esquemas_NORM!$H$2:$K$126,MATCH($E780,[1]Esquemas_NORM!$A$2:$A$126,0),MATCH(AB$4,[1]Esquemas_NORM!$H$1:$K$1,0)))</f>
        <v>A la fecha no ha conformado un EAT Área Metropolitana</v>
      </c>
      <c r="AC780" s="17" t="str">
        <f>IF($E780="","",INDEX([1]Esquemas_NORM!$H$2:$K$126,MATCH($E780,[1]Esquemas_NORM!$A$2:$A$126,0),MATCH(AC$4,[1]Esquemas_NORM!$H$1:$K$1,0)))</f>
        <v>ASOCIACIÓN DE MUNICIPIOS DEL MAGDALENA MEDIO ANTIOQUEÑO - AMMA</v>
      </c>
      <c r="AD780" s="23"/>
    </row>
    <row r="781" spans="1:30" x14ac:dyDescent="0.25">
      <c r="A781" s="51">
        <v>2021</v>
      </c>
      <c r="B781" s="52" t="s">
        <v>36</v>
      </c>
      <c r="C781" s="52" t="s">
        <v>78</v>
      </c>
      <c r="D781" s="52" t="s">
        <v>85</v>
      </c>
      <c r="E781" s="52" t="s">
        <v>88</v>
      </c>
      <c r="F781" s="52" t="s">
        <v>81</v>
      </c>
      <c r="G781" s="52" t="s">
        <v>89</v>
      </c>
      <c r="H781" s="53">
        <v>10.263342818741416</v>
      </c>
      <c r="I781" s="53">
        <v>59.106644257280628</v>
      </c>
      <c r="J781" s="54">
        <v>69.369987076022042</v>
      </c>
      <c r="K781" s="53">
        <v>27.846717937800307</v>
      </c>
      <c r="L781" s="53">
        <v>20.970616122244039</v>
      </c>
      <c r="M781" s="54">
        <v>48.817334060044345</v>
      </c>
      <c r="N781" s="53">
        <v>109.457360091563</v>
      </c>
      <c r="O781" s="53">
        <v>30.894778582301456</v>
      </c>
      <c r="P781" s="53">
        <v>6.4445634537513934</v>
      </c>
      <c r="Q781" s="53">
        <v>4.4628635371020362</v>
      </c>
      <c r="R781" s="53">
        <v>19.661579359604229</v>
      </c>
      <c r="S781" s="53">
        <v>34.322924985131714</v>
      </c>
      <c r="T781" s="53">
        <v>36.552122292679691</v>
      </c>
      <c r="U781" s="53">
        <v>10.191760679790606</v>
      </c>
      <c r="V781" s="54">
        <v>251.98795298192411</v>
      </c>
      <c r="W781" s="54">
        <v>424.62824714745909</v>
      </c>
      <c r="X781" s="53">
        <v>43.706030859121228</v>
      </c>
      <c r="Y781" s="55">
        <v>468.24729817314085</v>
      </c>
      <c r="Z781" s="17" t="str">
        <f>SUBSTITUTE(SUBSTITUTE(SUBSTITUTE(SUBSTITUTE(IF(E781="","",VLOOKUP(E781,[1]Esquemas_NORM!$A$2:$H$126,8,FALSE)),"PROVINCIA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81" s="17" t="str">
        <f>IF($E781="","",INDEX([1]Esquemas_NORM!$H$2:$K$126,MATCH($E781,[1]Esquemas_NORM!$A$2:$A$126,0),MATCH(AA$4,[1]Esquemas_NORM!$H$1:$K$1,0)))</f>
        <v>A la fecha no ha conformado un EAT Región</v>
      </c>
      <c r="AB781" s="17" t="str">
        <f>IF($E781="","",INDEX([1]Esquemas_NORM!$H$2:$K$126,MATCH($E781,[1]Esquemas_NORM!$A$2:$A$126,0),MATCH(AB$4,[1]Esquemas_NORM!$H$1:$K$1,0)))</f>
        <v>A la fecha no ha conformado un EAT Área Metropolitana</v>
      </c>
      <c r="AC781" s="17" t="str">
        <f>IF($E781="","",INDEX([1]Esquemas_NORM!$H$2:$K$126,MATCH($E781,[1]Esquemas_NORM!$A$2:$A$126,0),MATCH(AC$4,[1]Esquemas_NORM!$H$1:$K$1,0)))</f>
        <v>ASOCIACIÓN DE MUNICIPIOS DEL MAGDALENA MEDIO ANTIOQUEÑO - AMMA</v>
      </c>
      <c r="AD781" s="23"/>
    </row>
    <row r="782" spans="1:30" x14ac:dyDescent="0.25">
      <c r="A782" s="51">
        <v>2021</v>
      </c>
      <c r="B782" s="52" t="s">
        <v>36</v>
      </c>
      <c r="C782" s="52" t="s">
        <v>78</v>
      </c>
      <c r="D782" s="52" t="s">
        <v>85</v>
      </c>
      <c r="E782" s="52" t="s">
        <v>90</v>
      </c>
      <c r="F782" s="52" t="s">
        <v>81</v>
      </c>
      <c r="G782" s="52" t="s">
        <v>91</v>
      </c>
      <c r="H782" s="53">
        <v>7.8190753171400935</v>
      </c>
      <c r="I782" s="53">
        <v>3.8661243954492739</v>
      </c>
      <c r="J782" s="54">
        <v>11.685199712589368</v>
      </c>
      <c r="K782" s="53">
        <v>11.563782879593832</v>
      </c>
      <c r="L782" s="53">
        <v>16.276843574589044</v>
      </c>
      <c r="M782" s="54">
        <v>27.840626454182875</v>
      </c>
      <c r="N782" s="53">
        <v>4.3051840623494213</v>
      </c>
      <c r="O782" s="53">
        <v>63.761988472221368</v>
      </c>
      <c r="P782" s="53">
        <v>4.4254570412030079</v>
      </c>
      <c r="Q782" s="53">
        <v>2.9416346848220081</v>
      </c>
      <c r="R782" s="53">
        <v>15.115755548628552</v>
      </c>
      <c r="S782" s="53">
        <v>20.089144454082096</v>
      </c>
      <c r="T782" s="53">
        <v>25.936265208679139</v>
      </c>
      <c r="U782" s="53">
        <v>5.8350661420887482</v>
      </c>
      <c r="V782" s="54">
        <v>142.41049561407434</v>
      </c>
      <c r="W782" s="54">
        <v>184.78550506073873</v>
      </c>
      <c r="X782" s="53">
        <v>19.019556613963935</v>
      </c>
      <c r="Y782" s="55">
        <v>203.76721065428555</v>
      </c>
      <c r="Z782" s="17" t="str">
        <f>SUBSTITUTE(SUBSTITUTE(SUBSTITUTE(SUBSTITUTE(IF(E782="","",VLOOKUP(E782,[1]Esquemas_NORM!$A$2:$H$126,8,FALSE)),"PROVINCIA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82" s="17" t="str">
        <f>IF($E782="","",INDEX([1]Esquemas_NORM!$H$2:$K$126,MATCH($E782,[1]Esquemas_NORM!$A$2:$A$126,0),MATCH(AA$4,[1]Esquemas_NORM!$H$1:$K$1,0)))</f>
        <v>A la fecha no ha conformado un EAT Región</v>
      </c>
      <c r="AB782" s="17" t="str">
        <f>IF($E782="","",INDEX([1]Esquemas_NORM!$H$2:$K$126,MATCH($E782,[1]Esquemas_NORM!$A$2:$A$126,0),MATCH(AB$4,[1]Esquemas_NORM!$H$1:$K$1,0)))</f>
        <v>A la fecha no ha conformado un EAT Área Metropolitana</v>
      </c>
      <c r="AC782" s="17" t="str">
        <f>IF($E782="","",INDEX([1]Esquemas_NORM!$H$2:$K$126,MATCH($E782,[1]Esquemas_NORM!$A$2:$A$126,0),MATCH(AC$4,[1]Esquemas_NORM!$H$1:$K$1,0)))</f>
        <v>ASOCIACIÓN DE MUNICIPIOS DEL MAGDALENA MEDIO ANTIOQUEÑO - AMMA</v>
      </c>
      <c r="AD782" s="23"/>
    </row>
    <row r="783" spans="1:30" x14ac:dyDescent="0.25">
      <c r="A783" s="51">
        <v>2021</v>
      </c>
      <c r="B783" s="52" t="s">
        <v>36</v>
      </c>
      <c r="C783" s="52" t="s">
        <v>78</v>
      </c>
      <c r="D783" s="52" t="s">
        <v>85</v>
      </c>
      <c r="E783" s="52" t="s">
        <v>92</v>
      </c>
      <c r="F783" s="52" t="s">
        <v>81</v>
      </c>
      <c r="G783" s="52" t="s">
        <v>93</v>
      </c>
      <c r="H783" s="53">
        <v>59.493801896912856</v>
      </c>
      <c r="I783" s="53">
        <v>342.00556048554125</v>
      </c>
      <c r="J783" s="54">
        <v>401.49936238245414</v>
      </c>
      <c r="K783" s="53">
        <v>7.1301273779030172</v>
      </c>
      <c r="L783" s="53">
        <v>10.999160338625677</v>
      </c>
      <c r="M783" s="54">
        <v>18.129287716528694</v>
      </c>
      <c r="N783" s="53">
        <v>9.3402275190384803</v>
      </c>
      <c r="O783" s="53">
        <v>30.31786571949759</v>
      </c>
      <c r="P783" s="53">
        <v>6.6374290980958985</v>
      </c>
      <c r="Q783" s="53">
        <v>3.5585458690213514</v>
      </c>
      <c r="R783" s="53">
        <v>21.574161399450258</v>
      </c>
      <c r="S783" s="53">
        <v>56.252410875289996</v>
      </c>
      <c r="T783" s="53">
        <v>36.625826485061104</v>
      </c>
      <c r="U783" s="53">
        <v>8.9828168106431239</v>
      </c>
      <c r="V783" s="54">
        <v>173.28928377609782</v>
      </c>
      <c r="W783" s="54">
        <v>808.35883244746014</v>
      </c>
      <c r="X783" s="53">
        <v>83.202557327458223</v>
      </c>
      <c r="Y783" s="55">
        <v>891.39580748717367</v>
      </c>
      <c r="Z783" s="17" t="str">
        <f>SUBSTITUTE(SUBSTITUTE(SUBSTITUTE(SUBSTITUTE(IF(E783="","",VLOOKUP(E783,[1]Esquemas_NORM!$A$2:$H$126,8,FALSE)),"PROVINCIA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83" s="17" t="str">
        <f>IF($E783="","",INDEX([1]Esquemas_NORM!$H$2:$K$126,MATCH($E783,[1]Esquemas_NORM!$A$2:$A$126,0),MATCH(AA$4,[1]Esquemas_NORM!$H$1:$K$1,0)))</f>
        <v>A la fecha no ha conformado un EAT Región</v>
      </c>
      <c r="AB783" s="17" t="str">
        <f>IF($E783="","",INDEX([1]Esquemas_NORM!$H$2:$K$126,MATCH($E783,[1]Esquemas_NORM!$A$2:$A$126,0),MATCH(AB$4,[1]Esquemas_NORM!$H$1:$K$1,0)))</f>
        <v>A la fecha no ha conformado un EAT Área Metropolitana</v>
      </c>
      <c r="AC783" s="17" t="str">
        <f>IF($E783="","",INDEX([1]Esquemas_NORM!$H$2:$K$126,MATCH($E783,[1]Esquemas_NORM!$A$2:$A$126,0),MATCH(AC$4,[1]Esquemas_NORM!$H$1:$K$1,0)))</f>
        <v>ASOCIACIÓN DE MUNICIPIOS DEL MAGDALENA MEDIO ANTIOQUEÑO - AMMA</v>
      </c>
      <c r="AD783" s="23"/>
    </row>
    <row r="784" spans="1:30" x14ac:dyDescent="0.25">
      <c r="A784" s="51">
        <v>2021</v>
      </c>
      <c r="B784" s="52" t="s">
        <v>36</v>
      </c>
      <c r="C784" s="52" t="s">
        <v>94</v>
      </c>
      <c r="D784" s="52" t="s">
        <v>95</v>
      </c>
      <c r="E784" s="52" t="s">
        <v>96</v>
      </c>
      <c r="F784" s="52" t="s">
        <v>97</v>
      </c>
      <c r="G784" s="52" t="s">
        <v>98</v>
      </c>
      <c r="H784" s="53">
        <v>36.207808771293244</v>
      </c>
      <c r="I784" s="53">
        <v>13.823416201138192</v>
      </c>
      <c r="J784" s="54">
        <v>50.031224972431438</v>
      </c>
      <c r="K784" s="53">
        <v>25.031229658771061</v>
      </c>
      <c r="L784" s="53">
        <v>25.250781096754967</v>
      </c>
      <c r="M784" s="54">
        <v>50.282010755526031</v>
      </c>
      <c r="N784" s="53">
        <v>313.0956612128636</v>
      </c>
      <c r="O784" s="53">
        <v>72.641697879268776</v>
      </c>
      <c r="P784" s="53">
        <v>10.386462281438563</v>
      </c>
      <c r="Q784" s="53">
        <v>8.5653006403455834</v>
      </c>
      <c r="R784" s="53">
        <v>36.841521829134187</v>
      </c>
      <c r="S784" s="53">
        <v>60.026590866579291</v>
      </c>
      <c r="T784" s="53">
        <v>57.226952326285435</v>
      </c>
      <c r="U784" s="53">
        <v>16.136950156030579</v>
      </c>
      <c r="V784" s="54">
        <v>574.92113719194606</v>
      </c>
      <c r="W784" s="54">
        <v>754.69666677689486</v>
      </c>
      <c r="X784" s="53">
        <v>77.679231254709819</v>
      </c>
      <c r="Y784" s="55">
        <v>832.22130777338361</v>
      </c>
      <c r="Z784" s="17" t="str">
        <f>SUBSTITUTE(SUBSTITUTE(SUBSTITUTE(SUBSTITUTE(IF(E784="","",VLOOKUP(E784,[1]Esquemas_NORM!$A$2:$H$126,8,FALSE)),"PROVINCIA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784" s="17" t="str">
        <f>IF($E784="","",INDEX([1]Esquemas_NORM!$H$2:$K$126,MATCH($E784,[1]Esquemas_NORM!$A$2:$A$126,0),MATCH(AA$4,[1]Esquemas_NORM!$H$1:$K$1,0)))</f>
        <v>A la fecha no ha conformado un EAT Región</v>
      </c>
      <c r="AB784" s="17" t="str">
        <f>IF($E784="","",INDEX([1]Esquemas_NORM!$H$2:$K$126,MATCH($E784,[1]Esquemas_NORM!$A$2:$A$126,0),MATCH(AB$4,[1]Esquemas_NORM!$H$1:$K$1,0)))</f>
        <v>A la fecha no ha conformado un EAT Área Metropolitana</v>
      </c>
      <c r="AC784" s="17" t="str">
        <f>IF($E784="","",INDEX([1]Esquemas_NORM!$H$2:$K$126,MATCH($E784,[1]Esquemas_NORM!$A$2:$A$126,0),MATCH(AC$4,[1]Esquemas_NORM!$H$1:$K$1,0)))</f>
        <v>A la fecha no ha conformado un EAT asociación - unión</v>
      </c>
      <c r="AD784" s="23"/>
    </row>
    <row r="785" spans="1:30" x14ac:dyDescent="0.25">
      <c r="A785" s="51">
        <v>2021</v>
      </c>
      <c r="B785" s="52" t="s">
        <v>36</v>
      </c>
      <c r="C785" s="52" t="s">
        <v>94</v>
      </c>
      <c r="D785" s="52" t="s">
        <v>99</v>
      </c>
      <c r="E785" s="52" t="s">
        <v>100</v>
      </c>
      <c r="F785" s="52" t="s">
        <v>97</v>
      </c>
      <c r="G785" s="52" t="s">
        <v>101</v>
      </c>
      <c r="H785" s="53">
        <v>30.09853673657901</v>
      </c>
      <c r="I785" s="53">
        <v>11.076407705170846</v>
      </c>
      <c r="J785" s="54">
        <v>41.174944441749858</v>
      </c>
      <c r="K785" s="53">
        <v>4.774775431512178</v>
      </c>
      <c r="L785" s="53">
        <v>6.365355008719999</v>
      </c>
      <c r="M785" s="54">
        <v>11.140130440232177</v>
      </c>
      <c r="N785" s="53">
        <v>60.980777597730693</v>
      </c>
      <c r="O785" s="53">
        <v>10.372503807073924</v>
      </c>
      <c r="P785" s="53">
        <v>1.6092042985821844</v>
      </c>
      <c r="Q785" s="53">
        <v>1.1677493391754807</v>
      </c>
      <c r="R785" s="53">
        <v>5.0854436897197495</v>
      </c>
      <c r="S785" s="53">
        <v>10.505581831102571</v>
      </c>
      <c r="T785" s="53">
        <v>11.095079132117661</v>
      </c>
      <c r="U785" s="53">
        <v>2.2497829241175222</v>
      </c>
      <c r="V785" s="54">
        <v>103.0661226196198</v>
      </c>
      <c r="W785" s="54">
        <v>181.9282113534554</v>
      </c>
      <c r="X785" s="53">
        <v>18.725461796240598</v>
      </c>
      <c r="Y785" s="55">
        <v>200.6164074104806</v>
      </c>
      <c r="Z785" s="17" t="str">
        <f>SUBSTITUTE(SUBSTITUTE(SUBSTITUTE(SUBSTITUTE(IF(E785="","",VLOOKUP(E785,[1]Esquemas_NORM!$A$2:$H$126,8,FALSE)),"PROVINCIA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785" s="17" t="str">
        <f>IF($E785="","",INDEX([1]Esquemas_NORM!$H$2:$K$126,MATCH($E785,[1]Esquemas_NORM!$A$2:$A$126,0),MATCH(AA$4,[1]Esquemas_NORM!$H$1:$K$1,0)))</f>
        <v>A la fecha no ha conformado un EAT Región</v>
      </c>
      <c r="AB785" s="17" t="str">
        <f>IF($E785="","",INDEX([1]Esquemas_NORM!$H$2:$K$126,MATCH($E785,[1]Esquemas_NORM!$A$2:$A$126,0),MATCH(AB$4,[1]Esquemas_NORM!$H$1:$K$1,0)))</f>
        <v>A la fecha no ha conformado un EAT Área Metropolitana</v>
      </c>
      <c r="AC785" s="17" t="str">
        <f>IF($E785="","",INDEX([1]Esquemas_NORM!$H$2:$K$126,MATCH($E785,[1]Esquemas_NORM!$A$2:$A$126,0),MATCH(AC$4,[1]Esquemas_NORM!$H$1:$K$1,0)))</f>
        <v>A la fecha no ha conformado un EAT asociación - unión</v>
      </c>
      <c r="AD785" s="23"/>
    </row>
    <row r="786" spans="1:30" x14ac:dyDescent="0.25">
      <c r="A786" s="51">
        <v>2021</v>
      </c>
      <c r="B786" s="52" t="s">
        <v>36</v>
      </c>
      <c r="C786" s="52" t="s">
        <v>94</v>
      </c>
      <c r="D786" s="52" t="s">
        <v>79</v>
      </c>
      <c r="E786" s="52" t="s">
        <v>102</v>
      </c>
      <c r="F786" s="52" t="s">
        <v>97</v>
      </c>
      <c r="G786" s="52" t="s">
        <v>103</v>
      </c>
      <c r="H786" s="53">
        <v>4.0746109801441239</v>
      </c>
      <c r="I786" s="53">
        <v>0.21697434681649547</v>
      </c>
      <c r="J786" s="54">
        <v>4.291585326960619</v>
      </c>
      <c r="K786" s="53">
        <v>4.9967265981669398</v>
      </c>
      <c r="L786" s="53">
        <v>2.6380303678790917</v>
      </c>
      <c r="M786" s="54">
        <v>7.6347569660460319</v>
      </c>
      <c r="N786" s="53">
        <v>5.2054493634999481</v>
      </c>
      <c r="O786" s="53">
        <v>23.707038297750401</v>
      </c>
      <c r="P786" s="53">
        <v>5.4742829748179584</v>
      </c>
      <c r="Q786" s="53">
        <v>3.5288421969427226</v>
      </c>
      <c r="R786" s="53">
        <v>13.50967687987804</v>
      </c>
      <c r="S786" s="53">
        <v>13.519651887530847</v>
      </c>
      <c r="T786" s="53">
        <v>20.472780946237137</v>
      </c>
      <c r="U786" s="53">
        <v>5.4926242303036181</v>
      </c>
      <c r="V786" s="54">
        <v>90.910346776960665</v>
      </c>
      <c r="W786" s="54">
        <v>102.56791771846436</v>
      </c>
      <c r="X786" s="53">
        <v>10.557085184692614</v>
      </c>
      <c r="Y786" s="55">
        <v>113.10399313647412</v>
      </c>
      <c r="Z786" s="17" t="str">
        <f>SUBSTITUTE(SUBSTITUTE(SUBSTITUTE(SUBSTITUTE(IF(E786="","",VLOOKUP(E786,[1]Esquemas_NORM!$A$2:$H$126,8,FALSE)),"PROVINCIA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86" s="17" t="str">
        <f>IF($E786="","",INDEX([1]Esquemas_NORM!$H$2:$K$126,MATCH($E786,[1]Esquemas_NORM!$A$2:$A$126,0),MATCH(AA$4,[1]Esquemas_NORM!$H$1:$K$1,0)))</f>
        <v>A la fecha no ha conformado un EAT Región</v>
      </c>
      <c r="AB786" s="17" t="str">
        <f>IF($E786="","",INDEX([1]Esquemas_NORM!$H$2:$K$126,MATCH($E786,[1]Esquemas_NORM!$A$2:$A$126,0),MATCH(AB$4,[1]Esquemas_NORM!$H$1:$K$1,0)))</f>
        <v>A la fecha no ha conformado un EAT Área Metropolitana</v>
      </c>
      <c r="AC786" s="17" t="str">
        <f>IF($E786="","",INDEX([1]Esquemas_NORM!$H$2:$K$126,MATCH($E786,[1]Esquemas_NORM!$A$2:$A$126,0),MATCH(AC$4,[1]Esquemas_NORM!$H$1:$K$1,0)))</f>
        <v>A la fecha no ha conformado un EAT asociación - unión</v>
      </c>
      <c r="AD786" s="23"/>
    </row>
    <row r="787" spans="1:30" x14ac:dyDescent="0.25">
      <c r="A787" s="51">
        <v>2021</v>
      </c>
      <c r="B787" s="52" t="s">
        <v>36</v>
      </c>
      <c r="C787" s="52" t="s">
        <v>94</v>
      </c>
      <c r="D787" s="52" t="s">
        <v>104</v>
      </c>
      <c r="E787" s="52" t="s">
        <v>105</v>
      </c>
      <c r="F787" s="52" t="s">
        <v>97</v>
      </c>
      <c r="G787" s="52" t="s">
        <v>106</v>
      </c>
      <c r="H787" s="53">
        <v>53.651442320290919</v>
      </c>
      <c r="I787" s="53">
        <v>566.54273133623974</v>
      </c>
      <c r="J787" s="54">
        <v>620.19417365653067</v>
      </c>
      <c r="K787" s="53">
        <v>16.042354311112536</v>
      </c>
      <c r="L787" s="53">
        <v>3.6214718230026981</v>
      </c>
      <c r="M787" s="54">
        <v>19.663826134115233</v>
      </c>
      <c r="N787" s="53">
        <v>5.4934779549630965</v>
      </c>
      <c r="O787" s="53">
        <v>47.479808742061479</v>
      </c>
      <c r="P787" s="53">
        <v>8.5218680715032225</v>
      </c>
      <c r="Q787" s="53">
        <v>4.9935953807345976</v>
      </c>
      <c r="R787" s="53">
        <v>25.186246965501436</v>
      </c>
      <c r="S787" s="53">
        <v>55.607433195809925</v>
      </c>
      <c r="T787" s="53">
        <v>41.081989858702379</v>
      </c>
      <c r="U787" s="53">
        <v>10.507152148726986</v>
      </c>
      <c r="V787" s="54">
        <v>198.87157231800313</v>
      </c>
      <c r="W787" s="54">
        <v>1186.3044743251482</v>
      </c>
      <c r="X787" s="53">
        <v>122.10365257466238</v>
      </c>
      <c r="Y787" s="55">
        <v>1308.1651271317198</v>
      </c>
      <c r="Z787" s="17" t="str">
        <f>SUBSTITUTE(SUBSTITUTE(SUBSTITUTE(SUBSTITUTE(IF(E787="","",VLOOKUP(E787,[1]Esquemas_NORM!$A$2:$H$126,8,FALSE)),"PROVINCIA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787" s="17" t="str">
        <f>IF($E787="","",INDEX([1]Esquemas_NORM!$H$2:$K$126,MATCH($E787,[1]Esquemas_NORM!$A$2:$A$126,0),MATCH(AA$4,[1]Esquemas_NORM!$H$1:$K$1,0)))</f>
        <v>A la fecha no ha conformado un EAT Región</v>
      </c>
      <c r="AB787" s="17" t="str">
        <f>IF($E787="","",INDEX([1]Esquemas_NORM!$H$2:$K$126,MATCH($E787,[1]Esquemas_NORM!$A$2:$A$126,0),MATCH(AB$4,[1]Esquemas_NORM!$H$1:$K$1,0)))</f>
        <v>A la fecha no ha conformado un EAT Área Metropolitana</v>
      </c>
      <c r="AC787" s="17" t="str">
        <f>IF($E787="","",INDEX([1]Esquemas_NORM!$H$2:$K$126,MATCH($E787,[1]Esquemas_NORM!$A$2:$A$126,0),MATCH(AC$4,[1]Esquemas_NORM!$H$1:$K$1,0)))</f>
        <v>A la fecha no ha conformado un EAT asociación - unión</v>
      </c>
      <c r="AD787" s="23"/>
    </row>
    <row r="788" spans="1:30" x14ac:dyDescent="0.25">
      <c r="A788" s="51">
        <v>2021</v>
      </c>
      <c r="B788" s="52" t="s">
        <v>36</v>
      </c>
      <c r="C788" s="52" t="s">
        <v>94</v>
      </c>
      <c r="D788" s="52" t="s">
        <v>79</v>
      </c>
      <c r="E788" s="52" t="s">
        <v>107</v>
      </c>
      <c r="F788" s="52" t="s">
        <v>97</v>
      </c>
      <c r="G788" s="52" t="s">
        <v>108</v>
      </c>
      <c r="H788" s="53">
        <v>41.839044944045689</v>
      </c>
      <c r="I788" s="53">
        <v>1.0232065283438407</v>
      </c>
      <c r="J788" s="54">
        <v>42.862251472389531</v>
      </c>
      <c r="K788" s="53">
        <v>8.0541718392719126</v>
      </c>
      <c r="L788" s="53">
        <v>6.5788290292911009</v>
      </c>
      <c r="M788" s="54">
        <v>14.633000868563013</v>
      </c>
      <c r="N788" s="53">
        <v>29.760274643279015</v>
      </c>
      <c r="O788" s="53">
        <v>21.161162737855825</v>
      </c>
      <c r="P788" s="53">
        <v>4.3931696066132195</v>
      </c>
      <c r="Q788" s="53">
        <v>2.7786818689576829</v>
      </c>
      <c r="R788" s="53">
        <v>15.726862054256245</v>
      </c>
      <c r="S788" s="53">
        <v>19.857892735538499</v>
      </c>
      <c r="T788" s="53">
        <v>29.260453327134581</v>
      </c>
      <c r="U788" s="53">
        <v>5.6228503741384808</v>
      </c>
      <c r="V788" s="54">
        <v>128.56134734777356</v>
      </c>
      <c r="W788" s="54">
        <v>200.43681244944815</v>
      </c>
      <c r="X788" s="53">
        <v>20.630510497309302</v>
      </c>
      <c r="Y788" s="55">
        <v>221.02626595000908</v>
      </c>
      <c r="Z788" s="17" t="str">
        <f>SUBSTITUTE(SUBSTITUTE(SUBSTITUTE(SUBSTITUTE(IF(E788="","",VLOOKUP(E788,[1]Esquemas_NORM!$A$2:$H$126,8,FALSE)),"PROVINCIA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88" s="17" t="str">
        <f>IF($E788="","",INDEX([1]Esquemas_NORM!$H$2:$K$126,MATCH($E788,[1]Esquemas_NORM!$A$2:$A$126,0),MATCH(AA$4,[1]Esquemas_NORM!$H$1:$K$1,0)))</f>
        <v>A la fecha no ha conformado un EAT Región</v>
      </c>
      <c r="AB788" s="17" t="str">
        <f>IF($E788="","",INDEX([1]Esquemas_NORM!$H$2:$K$126,MATCH($E788,[1]Esquemas_NORM!$A$2:$A$126,0),MATCH(AB$4,[1]Esquemas_NORM!$H$1:$K$1,0)))</f>
        <v>A la fecha no ha conformado un EAT Área Metropolitana</v>
      </c>
      <c r="AC788" s="17" t="str">
        <f>IF($E788="","",INDEX([1]Esquemas_NORM!$H$2:$K$126,MATCH($E788,[1]Esquemas_NORM!$A$2:$A$126,0),MATCH(AC$4,[1]Esquemas_NORM!$H$1:$K$1,0)))</f>
        <v>A la fecha no ha conformado un EAT asociación - unión</v>
      </c>
      <c r="AD788" s="23"/>
    </row>
    <row r="789" spans="1:30" x14ac:dyDescent="0.25">
      <c r="A789" s="51">
        <v>2021</v>
      </c>
      <c r="B789" s="52" t="s">
        <v>36</v>
      </c>
      <c r="C789" s="52" t="s">
        <v>94</v>
      </c>
      <c r="D789" s="52" t="s">
        <v>79</v>
      </c>
      <c r="E789" s="52" t="s">
        <v>109</v>
      </c>
      <c r="F789" s="52" t="s">
        <v>97</v>
      </c>
      <c r="G789" s="52" t="s">
        <v>110</v>
      </c>
      <c r="H789" s="53">
        <v>97.057453918382336</v>
      </c>
      <c r="I789" s="53">
        <v>47.554634491352047</v>
      </c>
      <c r="J789" s="54">
        <v>144.61208840973438</v>
      </c>
      <c r="K789" s="53">
        <v>8.2023692688004211</v>
      </c>
      <c r="L789" s="53">
        <v>4.2629712626206748</v>
      </c>
      <c r="M789" s="54">
        <v>12.465340531421095</v>
      </c>
      <c r="N789" s="53">
        <v>10.412937710244993</v>
      </c>
      <c r="O789" s="53">
        <v>14.505658790860194</v>
      </c>
      <c r="P789" s="53">
        <v>2.5229239322252996</v>
      </c>
      <c r="Q789" s="53">
        <v>1.8716065460530862</v>
      </c>
      <c r="R789" s="53">
        <v>10.307517631007757</v>
      </c>
      <c r="S789" s="53">
        <v>15.717973895042078</v>
      </c>
      <c r="T789" s="53">
        <v>16.645115494107248</v>
      </c>
      <c r="U789" s="53">
        <v>3.5881376958987614</v>
      </c>
      <c r="V789" s="54">
        <v>75.571871695439427</v>
      </c>
      <c r="W789" s="54">
        <v>286.24787013109312</v>
      </c>
      <c r="X789" s="53">
        <v>29.462849750007141</v>
      </c>
      <c r="Y789" s="55">
        <v>315.65208555275785</v>
      </c>
      <c r="Z789" s="17" t="str">
        <f>SUBSTITUTE(SUBSTITUTE(SUBSTITUTE(SUBSTITUTE(IF(E789="","",VLOOKUP(E789,[1]Esquemas_NORM!$A$2:$H$126,8,FALSE)),"PROVINCIA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789" s="17" t="str">
        <f>IF($E789="","",INDEX([1]Esquemas_NORM!$H$2:$K$126,MATCH($E789,[1]Esquemas_NORM!$A$2:$A$126,0),MATCH(AA$4,[1]Esquemas_NORM!$H$1:$K$1,0)))</f>
        <v>A la fecha no ha conformado un EAT Región</v>
      </c>
      <c r="AB789" s="17" t="str">
        <f>IF($E789="","",INDEX([1]Esquemas_NORM!$H$2:$K$126,MATCH($E789,[1]Esquemas_NORM!$A$2:$A$126,0),MATCH(AB$4,[1]Esquemas_NORM!$H$1:$K$1,0)))</f>
        <v>A la fecha no ha conformado un EAT Área Metropolitana</v>
      </c>
      <c r="AC789" s="17" t="str">
        <f>IF($E789="","",INDEX([1]Esquemas_NORM!$H$2:$K$126,MATCH($E789,[1]Esquemas_NORM!$A$2:$A$126,0),MATCH(AC$4,[1]Esquemas_NORM!$H$1:$K$1,0)))</f>
        <v>A la fecha no ha conformado un EAT asociación - unión</v>
      </c>
      <c r="AD789" s="23"/>
    </row>
    <row r="790" spans="1:30" x14ac:dyDescent="0.25">
      <c r="A790" s="51">
        <v>2021</v>
      </c>
      <c r="B790" s="52" t="s">
        <v>36</v>
      </c>
      <c r="C790" s="52" t="s">
        <v>94</v>
      </c>
      <c r="D790" s="52" t="s">
        <v>104</v>
      </c>
      <c r="E790" s="52" t="s">
        <v>111</v>
      </c>
      <c r="F790" s="52" t="s">
        <v>97</v>
      </c>
      <c r="G790" s="52" t="s">
        <v>112</v>
      </c>
      <c r="H790" s="53">
        <v>19.906981927836281</v>
      </c>
      <c r="I790" s="53">
        <v>286.72901632637962</v>
      </c>
      <c r="J790" s="54">
        <v>306.63599825421591</v>
      </c>
      <c r="K790" s="53">
        <v>22.567052741178767</v>
      </c>
      <c r="L790" s="53">
        <v>5.0674623599168678</v>
      </c>
      <c r="M790" s="54">
        <v>27.634515101095634</v>
      </c>
      <c r="N790" s="53">
        <v>13.750136757832987</v>
      </c>
      <c r="O790" s="53">
        <v>85.69142025515886</v>
      </c>
      <c r="P790" s="53">
        <v>23.561733197445189</v>
      </c>
      <c r="Q790" s="53">
        <v>10.060999282238518</v>
      </c>
      <c r="R790" s="53">
        <v>47.014583750826652</v>
      </c>
      <c r="S790" s="53">
        <v>68.68205585137089</v>
      </c>
      <c r="T790" s="53">
        <v>65.700951917113855</v>
      </c>
      <c r="U790" s="53">
        <v>19.637177199017898</v>
      </c>
      <c r="V790" s="54">
        <v>334.09905821100489</v>
      </c>
      <c r="W790" s="54">
        <v>838.0614498071767</v>
      </c>
      <c r="X790" s="53">
        <v>86.259780956955538</v>
      </c>
      <c r="Y790" s="55">
        <v>924.14956426336482</v>
      </c>
      <c r="Z790" s="17" t="str">
        <f>SUBSTITUTE(SUBSTITUTE(SUBSTITUTE(SUBSTITUTE(IF(E790="","",VLOOKUP(E790,[1]Esquemas_NORM!$A$2:$H$126,8,FALSE)),"PROVINCIA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790" s="17" t="str">
        <f>IF($E790="","",INDEX([1]Esquemas_NORM!$H$2:$K$126,MATCH($E790,[1]Esquemas_NORM!$A$2:$A$126,0),MATCH(AA$4,[1]Esquemas_NORM!$H$1:$K$1,0)))</f>
        <v>A la fecha no ha conformado un EAT Región</v>
      </c>
      <c r="AB790" s="17" t="str">
        <f>IF($E790="","",INDEX([1]Esquemas_NORM!$H$2:$K$126,MATCH($E790,[1]Esquemas_NORM!$A$2:$A$126,0),MATCH(AB$4,[1]Esquemas_NORM!$H$1:$K$1,0)))</f>
        <v>A la fecha no ha conformado un EAT Área Metropolitana</v>
      </c>
      <c r="AC790" s="17" t="str">
        <f>IF($E790="","",INDEX([1]Esquemas_NORM!$H$2:$K$126,MATCH($E790,[1]Esquemas_NORM!$A$2:$A$126,0),MATCH(AC$4,[1]Esquemas_NORM!$H$1:$K$1,0)))</f>
        <v>A la fecha no ha conformado un EAT asociación - unión</v>
      </c>
      <c r="AD790" s="23"/>
    </row>
    <row r="791" spans="1:30" x14ac:dyDescent="0.25">
      <c r="A791" s="51">
        <v>2021</v>
      </c>
      <c r="B791" s="52" t="s">
        <v>36</v>
      </c>
      <c r="C791" s="52" t="s">
        <v>94</v>
      </c>
      <c r="D791" s="52" t="s">
        <v>95</v>
      </c>
      <c r="E791" s="52" t="s">
        <v>113</v>
      </c>
      <c r="F791" s="52" t="s">
        <v>97</v>
      </c>
      <c r="G791" s="52" t="s">
        <v>114</v>
      </c>
      <c r="H791" s="53">
        <v>21.423350955916778</v>
      </c>
      <c r="I791" s="53">
        <v>1.5057687843539929</v>
      </c>
      <c r="J791" s="54">
        <v>22.929119740270771</v>
      </c>
      <c r="K791" s="53">
        <v>4.2001334950350175</v>
      </c>
      <c r="L791" s="53">
        <v>4.1621107414038487</v>
      </c>
      <c r="M791" s="54">
        <v>8.3622442364388654</v>
      </c>
      <c r="N791" s="53">
        <v>1.4265923976749895</v>
      </c>
      <c r="O791" s="53">
        <v>22.288342088846861</v>
      </c>
      <c r="P791" s="53">
        <v>3.509484488544151</v>
      </c>
      <c r="Q791" s="53">
        <v>3.138709290688285</v>
      </c>
      <c r="R791" s="53">
        <v>12.181771922364247</v>
      </c>
      <c r="S791" s="53">
        <v>14.140298523548813</v>
      </c>
      <c r="T791" s="53">
        <v>25.489750598933366</v>
      </c>
      <c r="U791" s="53">
        <v>5.2679096258361566</v>
      </c>
      <c r="V791" s="54">
        <v>87.442858936436863</v>
      </c>
      <c r="W791" s="54">
        <v>122.9075114913967</v>
      </c>
      <c r="X791" s="53">
        <v>12.650593845683277</v>
      </c>
      <c r="Y791" s="55">
        <v>135.5329292567084</v>
      </c>
      <c r="Z791" s="17" t="str">
        <f>SUBSTITUTE(SUBSTITUTE(SUBSTITUTE(SUBSTITUTE(IF(E791="","",VLOOKUP(E791,[1]Esquemas_NORM!$A$2:$H$126,8,FALSE)),"PROVINCIA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791" s="17" t="str">
        <f>IF($E791="","",INDEX([1]Esquemas_NORM!$H$2:$K$126,MATCH($E791,[1]Esquemas_NORM!$A$2:$A$126,0),MATCH(AA$4,[1]Esquemas_NORM!$H$1:$K$1,0)))</f>
        <v>A la fecha no ha conformado un EAT Región</v>
      </c>
      <c r="AB791" s="17" t="str">
        <f>IF($E791="","",INDEX([1]Esquemas_NORM!$H$2:$K$126,MATCH($E791,[1]Esquemas_NORM!$A$2:$A$126,0),MATCH(AB$4,[1]Esquemas_NORM!$H$1:$K$1,0)))</f>
        <v>A la fecha no ha conformado un EAT Área Metropolitana</v>
      </c>
      <c r="AC791" s="17" t="str">
        <f>IF($E791="","",INDEX([1]Esquemas_NORM!$H$2:$K$126,MATCH($E791,[1]Esquemas_NORM!$A$2:$A$126,0),MATCH(AC$4,[1]Esquemas_NORM!$H$1:$K$1,0)))</f>
        <v>A la fecha no ha conformado un EAT asociación - unión</v>
      </c>
      <c r="AD791" s="23"/>
    </row>
    <row r="792" spans="1:30" x14ac:dyDescent="0.25">
      <c r="A792" s="51">
        <v>2021</v>
      </c>
      <c r="B792" s="52" t="s">
        <v>36</v>
      </c>
      <c r="C792" s="52" t="s">
        <v>94</v>
      </c>
      <c r="D792" s="52" t="s">
        <v>95</v>
      </c>
      <c r="E792" s="52" t="s">
        <v>115</v>
      </c>
      <c r="F792" s="52" t="s">
        <v>97</v>
      </c>
      <c r="G792" s="52" t="s">
        <v>116</v>
      </c>
      <c r="H792" s="53">
        <v>11.209513679319947</v>
      </c>
      <c r="I792" s="53">
        <v>0.44676619737933615</v>
      </c>
      <c r="J792" s="54">
        <v>11.656279876699283</v>
      </c>
      <c r="K792" s="53">
        <v>3.969469044591444</v>
      </c>
      <c r="L792" s="53">
        <v>1.0706617649834853</v>
      </c>
      <c r="M792" s="54">
        <v>5.0401308095749293</v>
      </c>
      <c r="N792" s="53">
        <v>0.82467337374502969</v>
      </c>
      <c r="O792" s="53">
        <v>11.494832404838798</v>
      </c>
      <c r="P792" s="53">
        <v>1.8678099214674928</v>
      </c>
      <c r="Q792" s="53">
        <v>1.3435394745667197</v>
      </c>
      <c r="R792" s="53">
        <v>6.5405654885061413</v>
      </c>
      <c r="S792" s="53">
        <v>8.7836853714221839</v>
      </c>
      <c r="T792" s="53">
        <v>16.277102115123927</v>
      </c>
      <c r="U792" s="53">
        <v>3.3870901808494489</v>
      </c>
      <c r="V792" s="54">
        <v>50.519298330519739</v>
      </c>
      <c r="W792" s="54">
        <v>68.992711977597949</v>
      </c>
      <c r="X792" s="53">
        <v>7.1012647392333648</v>
      </c>
      <c r="Y792" s="55">
        <v>76.079844414901814</v>
      </c>
      <c r="Z792" s="17" t="str">
        <f>SUBSTITUTE(SUBSTITUTE(SUBSTITUTE(SUBSTITUTE(IF(E792="","",VLOOKUP(E792,[1]Esquemas_NORM!$A$2:$H$126,8,FALSE)),"PROVINCIA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792" s="17" t="str">
        <f>IF($E792="","",INDEX([1]Esquemas_NORM!$H$2:$K$126,MATCH($E792,[1]Esquemas_NORM!$A$2:$A$126,0),MATCH(AA$4,[1]Esquemas_NORM!$H$1:$K$1,0)))</f>
        <v>A la fecha no ha conformado un EAT Región</v>
      </c>
      <c r="AB792" s="17" t="str">
        <f>IF($E792="","",INDEX([1]Esquemas_NORM!$H$2:$K$126,MATCH($E792,[1]Esquemas_NORM!$A$2:$A$126,0),MATCH(AB$4,[1]Esquemas_NORM!$H$1:$K$1,0)))</f>
        <v>A la fecha no ha conformado un EAT Área Metropolitana</v>
      </c>
      <c r="AC792" s="17" t="str">
        <f>IF($E792="","",INDEX([1]Esquemas_NORM!$H$2:$K$126,MATCH($E792,[1]Esquemas_NORM!$A$2:$A$126,0),MATCH(AC$4,[1]Esquemas_NORM!$H$1:$K$1,0)))</f>
        <v>A la fecha no ha conformado un EAT asociación - unión</v>
      </c>
      <c r="AD792" s="23"/>
    </row>
    <row r="793" spans="1:30" x14ac:dyDescent="0.25">
      <c r="A793" s="51">
        <v>2021</v>
      </c>
      <c r="B793" s="52" t="s">
        <v>36</v>
      </c>
      <c r="C793" s="52" t="s">
        <v>94</v>
      </c>
      <c r="D793" s="52" t="s">
        <v>95</v>
      </c>
      <c r="E793" s="52" t="s">
        <v>117</v>
      </c>
      <c r="F793" s="52" t="s">
        <v>97</v>
      </c>
      <c r="G793" s="52" t="s">
        <v>118</v>
      </c>
      <c r="H793" s="53">
        <v>82.708631017718389</v>
      </c>
      <c r="I793" s="53">
        <v>0.38694536537508528</v>
      </c>
      <c r="J793" s="54">
        <v>83.095576383093473</v>
      </c>
      <c r="K793" s="53">
        <v>13.745222787481653</v>
      </c>
      <c r="L793" s="53">
        <v>5.2878933098198218</v>
      </c>
      <c r="M793" s="54">
        <v>19.033116097301473</v>
      </c>
      <c r="N793" s="53">
        <v>1.5667105251570705</v>
      </c>
      <c r="O793" s="53">
        <v>26.296643888350271</v>
      </c>
      <c r="P793" s="53">
        <v>5.4653794160362033</v>
      </c>
      <c r="Q793" s="53">
        <v>4.629241865727252</v>
      </c>
      <c r="R793" s="53">
        <v>22.22291198095504</v>
      </c>
      <c r="S793" s="53">
        <v>23.215597022285568</v>
      </c>
      <c r="T793" s="53">
        <v>51.764728981883806</v>
      </c>
      <c r="U793" s="53">
        <v>7.8398582909931571</v>
      </c>
      <c r="V793" s="54">
        <v>143.00107197138837</v>
      </c>
      <c r="W793" s="54">
        <v>261.66200102531411</v>
      </c>
      <c r="X793" s="53">
        <v>26.932281515215934</v>
      </c>
      <c r="Y793" s="55">
        <v>288.54068432274744</v>
      </c>
      <c r="Z793" s="17" t="str">
        <f>SUBSTITUTE(SUBSTITUTE(SUBSTITUTE(SUBSTITUTE(IF(E793="","",VLOOKUP(E793,[1]Esquemas_NORM!$A$2:$H$126,8,FALSE)),"PROVINCIA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793" s="17" t="str">
        <f>IF($E793="","",INDEX([1]Esquemas_NORM!$H$2:$K$126,MATCH($E793,[1]Esquemas_NORM!$A$2:$A$126,0),MATCH(AA$4,[1]Esquemas_NORM!$H$1:$K$1,0)))</f>
        <v>A la fecha no ha conformado un EAT Región</v>
      </c>
      <c r="AB793" s="17" t="str">
        <f>IF($E793="","",INDEX([1]Esquemas_NORM!$H$2:$K$126,MATCH($E793,[1]Esquemas_NORM!$A$2:$A$126,0),MATCH(AB$4,[1]Esquemas_NORM!$H$1:$K$1,0)))</f>
        <v>A la fecha no ha conformado un EAT Área Metropolitana</v>
      </c>
      <c r="AC793" s="17" t="str">
        <f>IF($E793="","",INDEX([1]Esquemas_NORM!$H$2:$K$126,MATCH($E793,[1]Esquemas_NORM!$A$2:$A$126,0),MATCH(AC$4,[1]Esquemas_NORM!$H$1:$K$1,0)))</f>
        <v>A la fecha no ha conformado un EAT asociación - unión</v>
      </c>
      <c r="AD793" s="23"/>
    </row>
    <row r="794" spans="1:30" x14ac:dyDescent="0.25">
      <c r="A794" s="51">
        <v>2021</v>
      </c>
      <c r="B794" s="52" t="s">
        <v>36</v>
      </c>
      <c r="C794" s="52" t="s">
        <v>119</v>
      </c>
      <c r="D794" s="52" t="s">
        <v>120</v>
      </c>
      <c r="E794" s="52" t="s">
        <v>121</v>
      </c>
      <c r="F794" s="52" t="s">
        <v>122</v>
      </c>
      <c r="G794" s="52" t="s">
        <v>123</v>
      </c>
      <c r="H794" s="53">
        <v>23.71520263555999</v>
      </c>
      <c r="I794" s="53">
        <v>0</v>
      </c>
      <c r="J794" s="54">
        <v>23.71520263555999</v>
      </c>
      <c r="K794" s="53">
        <v>6.3028892728832924</v>
      </c>
      <c r="L794" s="53">
        <v>1.9899311674037652</v>
      </c>
      <c r="M794" s="54">
        <v>8.2928204402870573</v>
      </c>
      <c r="N794" s="53">
        <v>0.69191096010024278</v>
      </c>
      <c r="O794" s="53">
        <v>20.319972791252688</v>
      </c>
      <c r="P794" s="53">
        <v>3.2222433923389122</v>
      </c>
      <c r="Q794" s="53">
        <v>2.6187979967053341</v>
      </c>
      <c r="R794" s="53">
        <v>11.198590418656281</v>
      </c>
      <c r="S794" s="53">
        <v>13.377384015457343</v>
      </c>
      <c r="T794" s="53">
        <v>18.84037489684113</v>
      </c>
      <c r="U794" s="53">
        <v>5.067060878942284</v>
      </c>
      <c r="V794" s="54">
        <v>75.33633535029422</v>
      </c>
      <c r="W794" s="54">
        <v>111.41178108170806</v>
      </c>
      <c r="X794" s="53">
        <v>11.467364158517951</v>
      </c>
      <c r="Y794" s="55">
        <v>122.85632391774682</v>
      </c>
      <c r="Z794" s="17" t="str">
        <f>SUBSTITUTE(SUBSTITUTE(SUBSTITUTE(SUBSTITUTE(IF(E794="","",VLOOKUP(E794,[1]Esquemas_NORM!$A$2:$H$126,8,FALSE)),"PROVINCIA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794" s="17" t="str">
        <f>IF($E794="","",INDEX([1]Esquemas_NORM!$H$2:$K$126,MATCH($E794,[1]Esquemas_NORM!$A$2:$A$126,0),MATCH(AA$4,[1]Esquemas_NORM!$H$1:$K$1,0)))</f>
        <v>A la fecha no ha conformado un EAT Región</v>
      </c>
      <c r="AB794" s="17" t="str">
        <f>IF($E794="","",INDEX([1]Esquemas_NORM!$H$2:$K$126,MATCH($E794,[1]Esquemas_NORM!$A$2:$A$126,0),MATCH(AB$4,[1]Esquemas_NORM!$H$1:$K$1,0)))</f>
        <v>A la fecha no ha conformado un EAT Área Metropolitana</v>
      </c>
      <c r="AC794" s="17" t="str">
        <f>IF($E794="","",INDEX([1]Esquemas_NORM!$H$2:$K$126,MATCH($E794,[1]Esquemas_NORM!$A$2:$A$126,0),MATCH(AC$4,[1]Esquemas_NORM!$H$1:$K$1,0)))</f>
        <v>ASOCIACION DE MUNICIPIOS DEL NORTE ANTIOQUEÑO - AMUNORTE</v>
      </c>
      <c r="AD794" s="23"/>
    </row>
    <row r="795" spans="1:30" x14ac:dyDescent="0.25">
      <c r="A795" s="51">
        <v>2021</v>
      </c>
      <c r="B795" s="52" t="s">
        <v>36</v>
      </c>
      <c r="C795" s="52" t="s">
        <v>119</v>
      </c>
      <c r="D795" s="52" t="s">
        <v>124</v>
      </c>
      <c r="E795" s="52" t="s">
        <v>125</v>
      </c>
      <c r="F795" s="52" t="s">
        <v>122</v>
      </c>
      <c r="G795" s="52" t="s">
        <v>126</v>
      </c>
      <c r="H795" s="53">
        <v>18.051913910654747</v>
      </c>
      <c r="I795" s="53">
        <v>1.9984707444250613E-2</v>
      </c>
      <c r="J795" s="54">
        <v>18.071898618098999</v>
      </c>
      <c r="K795" s="53">
        <v>5.1013659621238503</v>
      </c>
      <c r="L795" s="53">
        <v>0.1429399554298319</v>
      </c>
      <c r="M795" s="54">
        <v>5.2443059175536826</v>
      </c>
      <c r="N795" s="53">
        <v>1.1352931395470232</v>
      </c>
      <c r="O795" s="53">
        <v>10.438194512265746</v>
      </c>
      <c r="P795" s="53">
        <v>1.979490997099502</v>
      </c>
      <c r="Q795" s="53">
        <v>1.0967244984787445</v>
      </c>
      <c r="R795" s="53">
        <v>7.0008111578183945</v>
      </c>
      <c r="S795" s="53">
        <v>11.044829188235003</v>
      </c>
      <c r="T795" s="53">
        <v>10.999181294204554</v>
      </c>
      <c r="U795" s="53">
        <v>2.263876889698313</v>
      </c>
      <c r="V795" s="54">
        <v>45.958401677347283</v>
      </c>
      <c r="W795" s="54">
        <v>72.76382697117316</v>
      </c>
      <c r="X795" s="53">
        <v>7.4894171275643302</v>
      </c>
      <c r="Y795" s="55">
        <v>80.238339330641992</v>
      </c>
      <c r="Z795" s="17" t="str">
        <f>SUBSTITUTE(SUBSTITUTE(SUBSTITUTE(SUBSTITUTE(IF(E795="","",VLOOKUP(E795,[1]Esquemas_NORM!$A$2:$H$126,8,FALSE)),"PROVINCIA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795" s="17" t="str">
        <f>IF($E795="","",INDEX([1]Esquemas_NORM!$H$2:$K$126,MATCH($E795,[1]Esquemas_NORM!$A$2:$A$126,0),MATCH(AA$4,[1]Esquemas_NORM!$H$1:$K$1,0)))</f>
        <v>A la fecha no ha conformado un EAT Región</v>
      </c>
      <c r="AB795" s="17" t="str">
        <f>IF($E795="","",INDEX([1]Esquemas_NORM!$H$2:$K$126,MATCH($E795,[1]Esquemas_NORM!$A$2:$A$126,0),MATCH(AB$4,[1]Esquemas_NORM!$H$1:$K$1,0)))</f>
        <v>A la fecha no ha conformado un EAT Área Metropolitana</v>
      </c>
      <c r="AC795" s="17" t="str">
        <f>IF($E795="","",INDEX([1]Esquemas_NORM!$H$2:$K$126,MATCH($E795,[1]Esquemas_NORM!$A$2:$A$126,0),MATCH(AC$4,[1]Esquemas_NORM!$H$1:$K$1,0)))</f>
        <v>A la fecha no ha conformado un EAT asociación - unión</v>
      </c>
      <c r="AD795" s="23"/>
    </row>
    <row r="796" spans="1:30" x14ac:dyDescent="0.25">
      <c r="A796" s="51">
        <v>2021</v>
      </c>
      <c r="B796" s="52" t="s">
        <v>36</v>
      </c>
      <c r="C796" s="52" t="s">
        <v>119</v>
      </c>
      <c r="D796" s="52" t="s">
        <v>120</v>
      </c>
      <c r="E796" s="52" t="s">
        <v>127</v>
      </c>
      <c r="F796" s="52" t="s">
        <v>122</v>
      </c>
      <c r="G796" s="52" t="s">
        <v>128</v>
      </c>
      <c r="H796" s="53">
        <v>12.029123846706506</v>
      </c>
      <c r="I796" s="53">
        <v>10.460132637631618</v>
      </c>
      <c r="J796" s="54">
        <v>22.489256484338124</v>
      </c>
      <c r="K796" s="53">
        <v>4.4123863650801916</v>
      </c>
      <c r="L796" s="53">
        <v>1.1043703498228401</v>
      </c>
      <c r="M796" s="54">
        <v>5.5167567149030319</v>
      </c>
      <c r="N796" s="53">
        <v>0.5253045128972782</v>
      </c>
      <c r="O796" s="53">
        <v>12.354593973497883</v>
      </c>
      <c r="P796" s="53">
        <v>2.1496728378598493</v>
      </c>
      <c r="Q796" s="53">
        <v>1.415172925723682</v>
      </c>
      <c r="R796" s="53">
        <v>5.9854797033453586</v>
      </c>
      <c r="S796" s="53">
        <v>9.9612737591199938</v>
      </c>
      <c r="T796" s="53">
        <v>20.632611011252887</v>
      </c>
      <c r="U796" s="53">
        <v>2.9419188725229324</v>
      </c>
      <c r="V796" s="54">
        <v>55.966027596219874</v>
      </c>
      <c r="W796" s="54">
        <v>91.771439381655838</v>
      </c>
      <c r="X796" s="53">
        <v>9.4458279413736133</v>
      </c>
      <c r="Y796" s="55">
        <v>101.19846908111882</v>
      </c>
      <c r="Z796" s="17" t="str">
        <f>SUBSTITUTE(SUBSTITUTE(SUBSTITUTE(SUBSTITUTE(IF(E796="","",VLOOKUP(E796,[1]Esquemas_NORM!$A$2:$H$126,8,FALSE)),"PROVINCIA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796" s="17" t="str">
        <f>IF($E796="","",INDEX([1]Esquemas_NORM!$H$2:$K$126,MATCH($E796,[1]Esquemas_NORM!$A$2:$A$126,0),MATCH(AA$4,[1]Esquemas_NORM!$H$1:$K$1,0)))</f>
        <v>A la fecha no ha conformado un EAT Región</v>
      </c>
      <c r="AB796" s="17" t="str">
        <f>IF($E796="","",INDEX([1]Esquemas_NORM!$H$2:$K$126,MATCH($E796,[1]Esquemas_NORM!$A$2:$A$126,0),MATCH(AB$4,[1]Esquemas_NORM!$H$1:$K$1,0)))</f>
        <v>A la fecha no ha conformado un EAT Área Metropolitana</v>
      </c>
      <c r="AC796" s="17" t="str">
        <f>IF($E796="","",INDEX([1]Esquemas_NORM!$H$2:$K$126,MATCH($E796,[1]Esquemas_NORM!$A$2:$A$126,0),MATCH(AC$4,[1]Esquemas_NORM!$H$1:$K$1,0)))</f>
        <v>ASOCIACION DE MUNICIPIOS DEL NORTE ANTIOQUEÑO - AMUNORTE</v>
      </c>
      <c r="AD796" s="23"/>
    </row>
    <row r="797" spans="1:30" x14ac:dyDescent="0.25">
      <c r="A797" s="51">
        <v>2021</v>
      </c>
      <c r="B797" s="52" t="s">
        <v>36</v>
      </c>
      <c r="C797" s="52" t="s">
        <v>119</v>
      </c>
      <c r="D797" s="52" t="s">
        <v>120</v>
      </c>
      <c r="E797" s="52" t="s">
        <v>129</v>
      </c>
      <c r="F797" s="52" t="s">
        <v>122</v>
      </c>
      <c r="G797" s="52" t="s">
        <v>130</v>
      </c>
      <c r="H797" s="53">
        <v>11.409475585491771</v>
      </c>
      <c r="I797" s="53">
        <v>0</v>
      </c>
      <c r="J797" s="54">
        <v>11.409475585491771</v>
      </c>
      <c r="K797" s="53">
        <v>4.7723831414679196</v>
      </c>
      <c r="L797" s="53">
        <v>0.71421247163606016</v>
      </c>
      <c r="M797" s="54">
        <v>5.4865956131039795</v>
      </c>
      <c r="N797" s="53">
        <v>0.84509141230046503</v>
      </c>
      <c r="O797" s="53">
        <v>8.2213073091225048</v>
      </c>
      <c r="P797" s="53">
        <v>2.6534208414279532</v>
      </c>
      <c r="Q797" s="53">
        <v>2.0466575831277716</v>
      </c>
      <c r="R797" s="53">
        <v>6.9677009721362939</v>
      </c>
      <c r="S797" s="53">
        <v>12.409512140506918</v>
      </c>
      <c r="T797" s="53">
        <v>17.761953087992531</v>
      </c>
      <c r="U797" s="53">
        <v>3.6023567845870739</v>
      </c>
      <c r="V797" s="54">
        <v>54.508000131201513</v>
      </c>
      <c r="W797" s="54">
        <v>72.348591576453771</v>
      </c>
      <c r="X797" s="53">
        <v>7.4466778818888075</v>
      </c>
      <c r="Y797" s="55">
        <v>79.780449746071156</v>
      </c>
      <c r="Z797" s="17" t="str">
        <f>SUBSTITUTE(SUBSTITUTE(SUBSTITUTE(SUBSTITUTE(IF(E797="","",VLOOKUP(E797,[1]Esquemas_NORM!$A$2:$H$126,8,FALSE)),"PROVINCIA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797" s="17" t="str">
        <f>IF($E797="","",INDEX([1]Esquemas_NORM!$H$2:$K$126,MATCH($E797,[1]Esquemas_NORM!$A$2:$A$126,0),MATCH(AA$4,[1]Esquemas_NORM!$H$1:$K$1,0)))</f>
        <v>A la fecha no ha conformado un EAT Región</v>
      </c>
      <c r="AB797" s="17" t="str">
        <f>IF($E797="","",INDEX([1]Esquemas_NORM!$H$2:$K$126,MATCH($E797,[1]Esquemas_NORM!$A$2:$A$126,0),MATCH(AB$4,[1]Esquemas_NORM!$H$1:$K$1,0)))</f>
        <v>A la fecha no ha conformado un EAT Área Metropolitana</v>
      </c>
      <c r="AC797" s="17" t="str">
        <f>IF($E797="","",INDEX([1]Esquemas_NORM!$H$2:$K$126,MATCH($E797,[1]Esquemas_NORM!$A$2:$A$126,0),MATCH(AC$4,[1]Esquemas_NORM!$H$1:$K$1,0)))</f>
        <v>ASOCIACION DE MUNICIPIOS DEL NORTE ANTIOQUEÑO - AMUNORTE</v>
      </c>
      <c r="AD797" s="23"/>
    </row>
    <row r="798" spans="1:30" x14ac:dyDescent="0.25">
      <c r="A798" s="51">
        <v>2021</v>
      </c>
      <c r="B798" s="52" t="s">
        <v>36</v>
      </c>
      <c r="C798" s="52" t="s">
        <v>119</v>
      </c>
      <c r="D798" s="52" t="s">
        <v>99</v>
      </c>
      <c r="E798" s="52" t="s">
        <v>131</v>
      </c>
      <c r="F798" s="52" t="s">
        <v>122</v>
      </c>
      <c r="G798" s="52" t="s">
        <v>132</v>
      </c>
      <c r="H798" s="53">
        <v>13.838836847771722</v>
      </c>
      <c r="I798" s="53">
        <v>0</v>
      </c>
      <c r="J798" s="54">
        <v>13.838836847771722</v>
      </c>
      <c r="K798" s="53">
        <v>1.8535031287252473</v>
      </c>
      <c r="L798" s="53">
        <v>2.1967887371010031</v>
      </c>
      <c r="M798" s="54">
        <v>4.0502918658262503</v>
      </c>
      <c r="N798" s="53">
        <v>14.82245873001879</v>
      </c>
      <c r="O798" s="53">
        <v>2.8967910715109624</v>
      </c>
      <c r="P798" s="53">
        <v>0.64103517137208288</v>
      </c>
      <c r="Q798" s="53">
        <v>0.39214607418079017</v>
      </c>
      <c r="R798" s="53">
        <v>2.7514884499261973</v>
      </c>
      <c r="S798" s="53">
        <v>3.5605820462434181</v>
      </c>
      <c r="T798" s="53">
        <v>5.2011165136009785</v>
      </c>
      <c r="U798" s="53">
        <v>0.81361941951411332</v>
      </c>
      <c r="V798" s="54">
        <v>31.079237476367332</v>
      </c>
      <c r="W798" s="54">
        <v>55.124305949375589</v>
      </c>
      <c r="X798" s="53">
        <v>5.6738208847356084</v>
      </c>
      <c r="Y798" s="55">
        <v>60.786835303266827</v>
      </c>
      <c r="Z798" s="17" t="str">
        <f>SUBSTITUTE(SUBSTITUTE(SUBSTITUTE(SUBSTITUTE(IF(E798="","",VLOOKUP(E798,[1]Esquemas_NORM!$A$2:$H$126,8,FALSE)),"PROVINCIA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798" s="17" t="str">
        <f>IF($E798="","",INDEX([1]Esquemas_NORM!$H$2:$K$126,MATCH($E798,[1]Esquemas_NORM!$A$2:$A$126,0),MATCH(AA$4,[1]Esquemas_NORM!$H$1:$K$1,0)))</f>
        <v>A la fecha no ha conformado un EAT Región</v>
      </c>
      <c r="AB798" s="17" t="str">
        <f>IF($E798="","",INDEX([1]Esquemas_NORM!$H$2:$K$126,MATCH($E798,[1]Esquemas_NORM!$A$2:$A$126,0),MATCH(AB$4,[1]Esquemas_NORM!$H$1:$K$1,0)))</f>
        <v>A la fecha no ha conformado un EAT Área Metropolitana</v>
      </c>
      <c r="AC798" s="17" t="str">
        <f>IF($E798="","",INDEX([1]Esquemas_NORM!$H$2:$K$126,MATCH($E798,[1]Esquemas_NORM!$A$2:$A$126,0),MATCH(AC$4,[1]Esquemas_NORM!$H$1:$K$1,0)))</f>
        <v>A la fecha no ha conformado un EAT asociación - unión</v>
      </c>
      <c r="AD798" s="23"/>
    </row>
    <row r="799" spans="1:30" x14ac:dyDescent="0.25">
      <c r="A799" s="51">
        <v>2021</v>
      </c>
      <c r="B799" s="52" t="s">
        <v>36</v>
      </c>
      <c r="C799" s="52" t="s">
        <v>119</v>
      </c>
      <c r="D799" s="52" t="s">
        <v>124</v>
      </c>
      <c r="E799" s="52" t="s">
        <v>133</v>
      </c>
      <c r="F799" s="52" t="s">
        <v>122</v>
      </c>
      <c r="G799" s="52" t="s">
        <v>134</v>
      </c>
      <c r="H799" s="53">
        <v>84.314540402538142</v>
      </c>
      <c r="I799" s="53">
        <v>2.2858894617386705</v>
      </c>
      <c r="J799" s="54">
        <v>86.600429864276819</v>
      </c>
      <c r="K799" s="53">
        <v>29.647765399173188</v>
      </c>
      <c r="L799" s="53">
        <v>3.4335495398232223</v>
      </c>
      <c r="M799" s="54">
        <v>33.081314938996414</v>
      </c>
      <c r="N799" s="53">
        <v>15.983359386084823</v>
      </c>
      <c r="O799" s="53">
        <v>50.306762079577616</v>
      </c>
      <c r="P799" s="53">
        <v>9.2483538497676978</v>
      </c>
      <c r="Q799" s="53">
        <v>10.047434975355662</v>
      </c>
      <c r="R799" s="53">
        <v>25.567461342845728</v>
      </c>
      <c r="S799" s="53">
        <v>39.265959956660836</v>
      </c>
      <c r="T799" s="53">
        <v>29.97152034204359</v>
      </c>
      <c r="U799" s="53">
        <v>9.1947109041323785</v>
      </c>
      <c r="V799" s="54">
        <v>189.58556283646834</v>
      </c>
      <c r="W799" s="54">
        <v>330.12698429788861</v>
      </c>
      <c r="X799" s="53">
        <v>33.979228325240733</v>
      </c>
      <c r="Y799" s="55">
        <v>364.03859020210183</v>
      </c>
      <c r="Z799" s="17" t="str">
        <f>SUBSTITUTE(SUBSTITUTE(SUBSTITUTE(SUBSTITUTE(IF(E799="","",VLOOKUP(E799,[1]Esquemas_NORM!$A$2:$H$126,8,FALSE)),"PROVINCIA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799" s="17" t="str">
        <f>IF($E799="","",INDEX([1]Esquemas_NORM!$H$2:$K$126,MATCH($E799,[1]Esquemas_NORM!$A$2:$A$126,0),MATCH(AA$4,[1]Esquemas_NORM!$H$1:$K$1,0)))</f>
        <v>A la fecha no ha conformado un EAT Región</v>
      </c>
      <c r="AB799" s="17" t="str">
        <f>IF($E799="","",INDEX([1]Esquemas_NORM!$H$2:$K$126,MATCH($E799,[1]Esquemas_NORM!$A$2:$A$126,0),MATCH(AB$4,[1]Esquemas_NORM!$H$1:$K$1,0)))</f>
        <v>A la fecha no ha conformado un EAT Área Metropolitana</v>
      </c>
      <c r="AC799" s="17" t="str">
        <f>IF($E799="","",INDEX([1]Esquemas_NORM!$H$2:$K$126,MATCH($E799,[1]Esquemas_NORM!$A$2:$A$126,0),MATCH(AC$4,[1]Esquemas_NORM!$H$1:$K$1,0)))</f>
        <v>ASOCIACION DE MUNICIPIOS DEL NORTE ANTIOQUEÑO - AMUNORTE</v>
      </c>
      <c r="AD799" s="23"/>
    </row>
    <row r="800" spans="1:30" x14ac:dyDescent="0.25">
      <c r="A800" s="51">
        <v>2021</v>
      </c>
      <c r="B800" s="52" t="s">
        <v>36</v>
      </c>
      <c r="C800" s="52" t="s">
        <v>119</v>
      </c>
      <c r="D800" s="52" t="s">
        <v>124</v>
      </c>
      <c r="E800" s="52" t="s">
        <v>135</v>
      </c>
      <c r="F800" s="52" t="s">
        <v>122</v>
      </c>
      <c r="G800" s="52" t="s">
        <v>136</v>
      </c>
      <c r="H800" s="53">
        <v>45.16706412310473</v>
      </c>
      <c r="I800" s="53">
        <v>0</v>
      </c>
      <c r="J800" s="54">
        <v>45.16706412310473</v>
      </c>
      <c r="K800" s="53">
        <v>159.47784854202098</v>
      </c>
      <c r="L800" s="53">
        <v>12.785293148328089</v>
      </c>
      <c r="M800" s="54">
        <v>172.26314169034907</v>
      </c>
      <c r="N800" s="53">
        <v>4.3338444783551244</v>
      </c>
      <c r="O800" s="53">
        <v>33.370299333809349</v>
      </c>
      <c r="P800" s="53">
        <v>4.7147278833754598</v>
      </c>
      <c r="Q800" s="53">
        <v>5.7413871983861133</v>
      </c>
      <c r="R800" s="53">
        <v>15.247091588998119</v>
      </c>
      <c r="S800" s="53">
        <v>24.308497834150863</v>
      </c>
      <c r="T800" s="53">
        <v>15.535129891872451</v>
      </c>
      <c r="U800" s="53">
        <v>5.5829529605471535</v>
      </c>
      <c r="V800" s="54">
        <v>108.83393116949463</v>
      </c>
      <c r="W800" s="54">
        <v>322.33093963349455</v>
      </c>
      <c r="X800" s="53">
        <v>33.176798974452403</v>
      </c>
      <c r="Y800" s="55">
        <v>355.44171311004237</v>
      </c>
      <c r="Z800" s="17" t="str">
        <f>SUBSTITUTE(SUBSTITUTE(SUBSTITUTE(SUBSTITUTE(IF(E800="","",VLOOKUP(E800,[1]Esquemas_NORM!$A$2:$H$126,8,FALSE)),"PROVINCIA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800" s="17" t="str">
        <f>IF($E800="","",INDEX([1]Esquemas_NORM!$H$2:$K$126,MATCH($E800,[1]Esquemas_NORM!$A$2:$A$126,0),MATCH(AA$4,[1]Esquemas_NORM!$H$1:$K$1,0)))</f>
        <v>A la fecha no ha conformado un EAT Región</v>
      </c>
      <c r="AB800" s="17" t="str">
        <f>IF($E800="","",INDEX([1]Esquemas_NORM!$H$2:$K$126,MATCH($E800,[1]Esquemas_NORM!$A$2:$A$126,0),MATCH(AB$4,[1]Esquemas_NORM!$H$1:$K$1,0)))</f>
        <v>A la fecha no ha conformado un EAT Área Metropolitana</v>
      </c>
      <c r="AC800" s="17" t="str">
        <f>IF($E800="","",INDEX([1]Esquemas_NORM!$H$2:$K$126,MATCH($E800,[1]Esquemas_NORM!$A$2:$A$126,0),MATCH(AC$4,[1]Esquemas_NORM!$H$1:$K$1,0)))</f>
        <v>A la fecha no ha conformado un EAT asociación - unión</v>
      </c>
      <c r="AD800" s="23"/>
    </row>
    <row r="801" spans="1:30" x14ac:dyDescent="0.25">
      <c r="A801" s="51">
        <v>2021</v>
      </c>
      <c r="B801" s="52" t="s">
        <v>36</v>
      </c>
      <c r="C801" s="52" t="s">
        <v>119</v>
      </c>
      <c r="D801" s="52" t="s">
        <v>99</v>
      </c>
      <c r="E801" s="52" t="s">
        <v>137</v>
      </c>
      <c r="F801" s="52" t="s">
        <v>122</v>
      </c>
      <c r="G801" s="52" t="s">
        <v>138</v>
      </c>
      <c r="H801" s="53">
        <v>22.415236516911488</v>
      </c>
      <c r="I801" s="53">
        <v>1.0422073954934306</v>
      </c>
      <c r="J801" s="54">
        <v>23.457443912404919</v>
      </c>
      <c r="K801" s="53">
        <v>12.693128369586077</v>
      </c>
      <c r="L801" s="53">
        <v>9.871250329165246</v>
      </c>
      <c r="M801" s="54">
        <v>22.564378698751323</v>
      </c>
      <c r="N801" s="53">
        <v>9.4950762952638108</v>
      </c>
      <c r="O801" s="53">
        <v>83.168684104794593</v>
      </c>
      <c r="P801" s="53">
        <v>12.849780619788982</v>
      </c>
      <c r="Q801" s="53">
        <v>8.2610456958263452</v>
      </c>
      <c r="R801" s="53">
        <v>55.393601137303577</v>
      </c>
      <c r="S801" s="53">
        <v>42.85046453326455</v>
      </c>
      <c r="T801" s="53">
        <v>53.406969813314312</v>
      </c>
      <c r="U801" s="53">
        <v>18.981875805031837</v>
      </c>
      <c r="V801" s="54">
        <v>284.40749800458804</v>
      </c>
      <c r="W801" s="54">
        <v>331.05451099326814</v>
      </c>
      <c r="X801" s="53">
        <v>34.074696562783011</v>
      </c>
      <c r="Y801" s="55">
        <v>365.06139514267653</v>
      </c>
      <c r="Z801" s="17" t="str">
        <f>SUBSTITUTE(SUBSTITUTE(SUBSTITUTE(SUBSTITUTE(IF(E801="","",VLOOKUP(E801,[1]Esquemas_NORM!$A$2:$H$126,8,FALSE)),"PROVINCIA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801" s="17" t="str">
        <f>IF($E801="","",INDEX([1]Esquemas_NORM!$H$2:$K$126,MATCH($E801,[1]Esquemas_NORM!$A$2:$A$126,0),MATCH(AA$4,[1]Esquemas_NORM!$H$1:$K$1,0)))</f>
        <v>A la fecha no ha conformado un EAT Región</v>
      </c>
      <c r="AB801" s="17" t="str">
        <f>IF($E801="","",INDEX([1]Esquemas_NORM!$H$2:$K$126,MATCH($E801,[1]Esquemas_NORM!$A$2:$A$126,0),MATCH(AB$4,[1]Esquemas_NORM!$H$1:$K$1,0)))</f>
        <v>A la fecha no ha conformado un EAT Área Metropolitana</v>
      </c>
      <c r="AC801" s="17" t="str">
        <f>IF($E801="","",INDEX([1]Esquemas_NORM!$H$2:$K$126,MATCH($E801,[1]Esquemas_NORM!$A$2:$A$126,0),MATCH(AC$4,[1]Esquemas_NORM!$H$1:$K$1,0)))</f>
        <v>ASOCIACION DE MUNICIPIOS DEL NORTE ANTIOQUEÑO - AMUNORTE</v>
      </c>
      <c r="AD801" s="23"/>
    </row>
    <row r="802" spans="1:30" x14ac:dyDescent="0.25">
      <c r="A802" s="51">
        <v>2021</v>
      </c>
      <c r="B802" s="52" t="s">
        <v>36</v>
      </c>
      <c r="C802" s="52" t="s">
        <v>119</v>
      </c>
      <c r="D802" s="52" t="s">
        <v>99</v>
      </c>
      <c r="E802" s="52" t="s">
        <v>139</v>
      </c>
      <c r="F802" s="52" t="s">
        <v>122</v>
      </c>
      <c r="G802" s="52" t="s">
        <v>140</v>
      </c>
      <c r="H802" s="53">
        <v>8.6380558230035227</v>
      </c>
      <c r="I802" s="53">
        <v>0</v>
      </c>
      <c r="J802" s="54">
        <v>8.6380558230035227</v>
      </c>
      <c r="K802" s="53">
        <v>3.1427917262498544</v>
      </c>
      <c r="L802" s="53">
        <v>1.3718540482061869</v>
      </c>
      <c r="M802" s="54">
        <v>4.5146457744560413</v>
      </c>
      <c r="N802" s="53">
        <v>17.055924573497933</v>
      </c>
      <c r="O802" s="53">
        <v>4.9702374590666141</v>
      </c>
      <c r="P802" s="53">
        <v>1.0299448896738712</v>
      </c>
      <c r="Q802" s="53">
        <v>0.80419226384739595</v>
      </c>
      <c r="R802" s="53">
        <v>3.7623917545658032</v>
      </c>
      <c r="S802" s="53">
        <v>4.8711663787030481</v>
      </c>
      <c r="T802" s="53">
        <v>7.4100414222313757</v>
      </c>
      <c r="U802" s="53">
        <v>1.6321045382220272</v>
      </c>
      <c r="V802" s="54">
        <v>41.536003279808064</v>
      </c>
      <c r="W802" s="54">
        <v>59.769818275756215</v>
      </c>
      <c r="X802" s="53">
        <v>6.1519730247697808</v>
      </c>
      <c r="Y802" s="55">
        <v>65.90954819405971</v>
      </c>
      <c r="Z802" s="17" t="str">
        <f>SUBSTITUTE(SUBSTITUTE(SUBSTITUTE(SUBSTITUTE(IF(E802="","",VLOOKUP(E802,[1]Esquemas_NORM!$A$2:$H$126,8,FALSE)),"PROVINCIA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802" s="17" t="str">
        <f>IF($E802="","",INDEX([1]Esquemas_NORM!$H$2:$K$126,MATCH($E802,[1]Esquemas_NORM!$A$2:$A$126,0),MATCH(AA$4,[1]Esquemas_NORM!$H$1:$K$1,0)))</f>
        <v>A la fecha no ha conformado un EAT Región</v>
      </c>
      <c r="AB802" s="17" t="str">
        <f>IF($E802="","",INDEX([1]Esquemas_NORM!$H$2:$K$126,MATCH($E802,[1]Esquemas_NORM!$A$2:$A$126,0),MATCH(AB$4,[1]Esquemas_NORM!$H$1:$K$1,0)))</f>
        <v>A la fecha no ha conformado un EAT Área Metropolitana</v>
      </c>
      <c r="AC802" s="17" t="str">
        <f>IF($E802="","",INDEX([1]Esquemas_NORM!$H$2:$K$126,MATCH($E802,[1]Esquemas_NORM!$A$2:$A$126,0),MATCH(AC$4,[1]Esquemas_NORM!$H$1:$K$1,0)))</f>
        <v>A la fecha no ha conformado un EAT asociación - unión</v>
      </c>
      <c r="AD802" s="23"/>
    </row>
    <row r="803" spans="1:30" x14ac:dyDescent="0.25">
      <c r="A803" s="51">
        <v>2021</v>
      </c>
      <c r="B803" s="52" t="s">
        <v>36</v>
      </c>
      <c r="C803" s="52" t="s">
        <v>119</v>
      </c>
      <c r="D803" s="52" t="s">
        <v>141</v>
      </c>
      <c r="E803" s="52" t="s">
        <v>142</v>
      </c>
      <c r="F803" s="52" t="s">
        <v>122</v>
      </c>
      <c r="G803" s="52" t="s">
        <v>143</v>
      </c>
      <c r="H803" s="53">
        <v>44.079493489666085</v>
      </c>
      <c r="I803" s="53">
        <v>0</v>
      </c>
      <c r="J803" s="54">
        <v>44.079493489666085</v>
      </c>
      <c r="K803" s="53">
        <v>5.3797930269588878</v>
      </c>
      <c r="L803" s="53">
        <v>12.24625831661678</v>
      </c>
      <c r="M803" s="54">
        <v>17.626051343575668</v>
      </c>
      <c r="N803" s="53">
        <v>2.3017902537581469</v>
      </c>
      <c r="O803" s="53">
        <v>32.455662190830573</v>
      </c>
      <c r="P803" s="53">
        <v>6.2437024375694463</v>
      </c>
      <c r="Q803" s="53">
        <v>4.535655086316007</v>
      </c>
      <c r="R803" s="53">
        <v>13.964756194375335</v>
      </c>
      <c r="S803" s="53">
        <v>27.148573631492336</v>
      </c>
      <c r="T803" s="53">
        <v>63.494548740918859</v>
      </c>
      <c r="U803" s="53">
        <v>8.0923097771644663</v>
      </c>
      <c r="V803" s="54">
        <v>158.23699831242516</v>
      </c>
      <c r="W803" s="54">
        <v>226.62523293913574</v>
      </c>
      <c r="X803" s="53">
        <v>23.326025743325392</v>
      </c>
      <c r="Y803" s="55">
        <v>249.90483731236361</v>
      </c>
      <c r="Z803" s="17" t="str">
        <f>SUBSTITUTE(SUBSTITUTE(SUBSTITUTE(SUBSTITUTE(IF(E803="","",VLOOKUP(E803,[1]Esquemas_NORM!$A$2:$H$126,8,FALSE)),"PROVINCIA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803" s="17" t="str">
        <f>IF($E803="","",INDEX([1]Esquemas_NORM!$H$2:$K$126,MATCH($E803,[1]Esquemas_NORM!$A$2:$A$126,0),MATCH(AA$4,[1]Esquemas_NORM!$H$1:$K$1,0)))</f>
        <v>A la fecha no ha conformado un EAT Región</v>
      </c>
      <c r="AB803" s="17" t="str">
        <f>IF($E803="","",INDEX([1]Esquemas_NORM!$H$2:$K$126,MATCH($E803,[1]Esquemas_NORM!$A$2:$A$126,0),MATCH(AB$4,[1]Esquemas_NORM!$H$1:$K$1,0)))</f>
        <v>A la fecha no ha conformado un EAT Área Metropolitana</v>
      </c>
      <c r="AC803" s="17" t="str">
        <f>IF($E803="","",INDEX([1]Esquemas_NORM!$H$2:$K$126,MATCH($E803,[1]Esquemas_NORM!$A$2:$A$126,0),MATCH(AC$4,[1]Esquemas_NORM!$H$1:$K$1,0)))</f>
        <v>ASOCIACION DE MUNICIPIOS DEL NORTE ANTIOQUEÑO - AMUNORTE</v>
      </c>
      <c r="AD803" s="23"/>
    </row>
    <row r="804" spans="1:30" x14ac:dyDescent="0.25">
      <c r="A804" s="51">
        <v>2021</v>
      </c>
      <c r="B804" s="52" t="s">
        <v>36</v>
      </c>
      <c r="C804" s="52" t="s">
        <v>119</v>
      </c>
      <c r="D804" s="52" t="s">
        <v>141</v>
      </c>
      <c r="E804" s="52" t="s">
        <v>144</v>
      </c>
      <c r="F804" s="52" t="s">
        <v>122</v>
      </c>
      <c r="G804" s="52" t="s">
        <v>145</v>
      </c>
      <c r="H804" s="53">
        <v>16.974627148144165</v>
      </c>
      <c r="I804" s="53">
        <v>0</v>
      </c>
      <c r="J804" s="54">
        <v>16.974627148144165</v>
      </c>
      <c r="K804" s="53">
        <v>2.3441612992702181</v>
      </c>
      <c r="L804" s="53">
        <v>3.0915655138348632</v>
      </c>
      <c r="M804" s="54">
        <v>5.4357268131050809</v>
      </c>
      <c r="N804" s="53">
        <v>7.5903598620765953</v>
      </c>
      <c r="O804" s="53">
        <v>5.493313685508566</v>
      </c>
      <c r="P804" s="53">
        <v>2.1143547953385089</v>
      </c>
      <c r="Q804" s="53">
        <v>1.5766150048347654</v>
      </c>
      <c r="R804" s="53">
        <v>6.4608088501573899</v>
      </c>
      <c r="S804" s="53">
        <v>7.4577181076538501</v>
      </c>
      <c r="T804" s="53">
        <v>12.833724046521851</v>
      </c>
      <c r="U804" s="53">
        <v>2.4589051282593255</v>
      </c>
      <c r="V804" s="54">
        <v>45.985799480350856</v>
      </c>
      <c r="W804" s="54">
        <v>72.666195773346359</v>
      </c>
      <c r="X804" s="53">
        <v>7.47936816786076</v>
      </c>
      <c r="Y804" s="55">
        <v>80.130679171652389</v>
      </c>
      <c r="Z804" s="17" t="str">
        <f>SUBSTITUTE(SUBSTITUTE(SUBSTITUTE(SUBSTITUTE(IF(E804="","",VLOOKUP(E804,[1]Esquemas_NORM!$A$2:$H$126,8,FALSE)),"PROVINCIA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804" s="17" t="str">
        <f>IF($E804="","",INDEX([1]Esquemas_NORM!$H$2:$K$126,MATCH($E804,[1]Esquemas_NORM!$A$2:$A$126,0),MATCH(AA$4,[1]Esquemas_NORM!$H$1:$K$1,0)))</f>
        <v>A la fecha no ha conformado un EAT Región</v>
      </c>
      <c r="AB804" s="17" t="str">
        <f>IF($E804="","",INDEX([1]Esquemas_NORM!$H$2:$K$126,MATCH($E804,[1]Esquemas_NORM!$A$2:$A$126,0),MATCH(AB$4,[1]Esquemas_NORM!$H$1:$K$1,0)))</f>
        <v>A la fecha no ha conformado un EAT Área Metropolitana</v>
      </c>
      <c r="AC804" s="17" t="str">
        <f>IF($E804="","",INDEX([1]Esquemas_NORM!$H$2:$K$126,MATCH($E804,[1]Esquemas_NORM!$A$2:$A$126,0),MATCH(AC$4,[1]Esquemas_NORM!$H$1:$K$1,0)))</f>
        <v>ASOCIACION DE MUNICIPIOS DEL NORTE ANTIOQUEÑO - AMUNORTE</v>
      </c>
      <c r="AD804" s="23"/>
    </row>
    <row r="805" spans="1:30" x14ac:dyDescent="0.25">
      <c r="A805" s="51">
        <v>2021</v>
      </c>
      <c r="B805" s="52" t="s">
        <v>36</v>
      </c>
      <c r="C805" s="52" t="s">
        <v>119</v>
      </c>
      <c r="D805" s="52" t="s">
        <v>124</v>
      </c>
      <c r="E805" s="52" t="s">
        <v>146</v>
      </c>
      <c r="F805" s="52" t="s">
        <v>122</v>
      </c>
      <c r="G805" s="52" t="s">
        <v>147</v>
      </c>
      <c r="H805" s="53">
        <v>3.6773757596216781</v>
      </c>
      <c r="I805" s="53">
        <v>0</v>
      </c>
      <c r="J805" s="54">
        <v>3.6773757596216781</v>
      </c>
      <c r="K805" s="53">
        <v>2.4031172456501255</v>
      </c>
      <c r="L805" s="53">
        <v>0.11753101348844575</v>
      </c>
      <c r="M805" s="54">
        <v>2.5206482591385715</v>
      </c>
      <c r="N805" s="53">
        <v>0.83136092545344287</v>
      </c>
      <c r="O805" s="53">
        <v>4.7209432690775701</v>
      </c>
      <c r="P805" s="53">
        <v>1.1150426593533802</v>
      </c>
      <c r="Q805" s="53">
        <v>0.85144183710462318</v>
      </c>
      <c r="R805" s="53">
        <v>3.2554435212383734</v>
      </c>
      <c r="S805" s="53">
        <v>8.6334405681162778</v>
      </c>
      <c r="T805" s="53">
        <v>6.6915869854803933</v>
      </c>
      <c r="U805" s="53">
        <v>1.5354605989387511</v>
      </c>
      <c r="V805" s="54">
        <v>27.63472036476281</v>
      </c>
      <c r="W805" s="54">
        <v>33.981823750440284</v>
      </c>
      <c r="X805" s="53">
        <v>3.4976727230563349</v>
      </c>
      <c r="Y805" s="55">
        <v>37.472535718083677</v>
      </c>
      <c r="Z805" s="17" t="str">
        <f>SUBSTITUTE(SUBSTITUTE(SUBSTITUTE(SUBSTITUTE(IF(E805="","",VLOOKUP(E805,[1]Esquemas_NORM!$A$2:$H$126,8,FALSE)),"PROVINCIA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805" s="17" t="str">
        <f>IF($E805="","",INDEX([1]Esquemas_NORM!$H$2:$K$126,MATCH($E805,[1]Esquemas_NORM!$A$2:$A$126,0),MATCH(AA$4,[1]Esquemas_NORM!$H$1:$K$1,0)))</f>
        <v>A la fecha no ha conformado un EAT Región</v>
      </c>
      <c r="AB805" s="17" t="str">
        <f>IF($E805="","",INDEX([1]Esquemas_NORM!$H$2:$K$126,MATCH($E805,[1]Esquemas_NORM!$A$2:$A$126,0),MATCH(AB$4,[1]Esquemas_NORM!$H$1:$K$1,0)))</f>
        <v>A la fecha no ha conformado un EAT Área Metropolitana</v>
      </c>
      <c r="AC805" s="17" t="str">
        <f>IF($E805="","",INDEX([1]Esquemas_NORM!$H$2:$K$126,MATCH($E805,[1]Esquemas_NORM!$A$2:$A$126,0),MATCH(AC$4,[1]Esquemas_NORM!$H$1:$K$1,0)))</f>
        <v>ASOCIACION DE MUNICIPIOS DEL NORTE ANTIOQUEÑO - AMUNORTE</v>
      </c>
      <c r="AD805" s="23"/>
    </row>
    <row r="806" spans="1:30" x14ac:dyDescent="0.25">
      <c r="A806" s="51">
        <v>2021</v>
      </c>
      <c r="B806" s="52" t="s">
        <v>36</v>
      </c>
      <c r="C806" s="52" t="s">
        <v>119</v>
      </c>
      <c r="D806" s="52" t="s">
        <v>124</v>
      </c>
      <c r="E806" s="52" t="s">
        <v>148</v>
      </c>
      <c r="F806" s="52" t="s">
        <v>122</v>
      </c>
      <c r="G806" s="52" t="s">
        <v>149</v>
      </c>
      <c r="H806" s="53">
        <v>88.800180597420265</v>
      </c>
      <c r="I806" s="53">
        <v>0</v>
      </c>
      <c r="J806" s="54">
        <v>88.800180597420265</v>
      </c>
      <c r="K806" s="53">
        <v>440.62141137618653</v>
      </c>
      <c r="L806" s="53">
        <v>61.736287277983109</v>
      </c>
      <c r="M806" s="54">
        <v>502.35769865416967</v>
      </c>
      <c r="N806" s="53">
        <v>8.6831541011510396</v>
      </c>
      <c r="O806" s="53">
        <v>70.30199099750881</v>
      </c>
      <c r="P806" s="53">
        <v>9.2811130697292832</v>
      </c>
      <c r="Q806" s="53">
        <v>12.687726588061926</v>
      </c>
      <c r="R806" s="53">
        <v>30.997977982302643</v>
      </c>
      <c r="S806" s="53">
        <v>41.871813209057422</v>
      </c>
      <c r="T806" s="53">
        <v>40.656716131465039</v>
      </c>
      <c r="U806" s="53">
        <v>9.2159828516817726</v>
      </c>
      <c r="V806" s="54">
        <v>223.69647493095795</v>
      </c>
      <c r="W806" s="54">
        <v>792.10157351874341</v>
      </c>
      <c r="X806" s="53">
        <v>81.529234214561072</v>
      </c>
      <c r="Y806" s="55">
        <v>873.46855554354556</v>
      </c>
      <c r="Z806" s="17" t="str">
        <f>SUBSTITUTE(SUBSTITUTE(SUBSTITUTE(SUBSTITUTE(IF(E806="","",VLOOKUP(E806,[1]Esquemas_NORM!$A$2:$H$126,8,FALSE)),"PROVINCIA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806" s="17" t="str">
        <f>IF($E806="","",INDEX([1]Esquemas_NORM!$H$2:$K$126,MATCH($E806,[1]Esquemas_NORM!$A$2:$A$126,0),MATCH(AA$4,[1]Esquemas_NORM!$H$1:$K$1,0)))</f>
        <v>A la fecha no ha conformado un EAT Región</v>
      </c>
      <c r="AB806" s="17" t="str">
        <f>IF($E806="","",INDEX([1]Esquemas_NORM!$H$2:$K$126,MATCH($E806,[1]Esquemas_NORM!$A$2:$A$126,0),MATCH(AB$4,[1]Esquemas_NORM!$H$1:$K$1,0)))</f>
        <v>A la fecha no ha conformado un EAT Área Metropolitana</v>
      </c>
      <c r="AC806" s="17" t="str">
        <f>IF($E806="","",INDEX([1]Esquemas_NORM!$H$2:$K$126,MATCH($E806,[1]Esquemas_NORM!$A$2:$A$126,0),MATCH(AC$4,[1]Esquemas_NORM!$H$1:$K$1,0)))</f>
        <v>A la fecha no ha conformado un EAT asociación - unión</v>
      </c>
      <c r="AD806" s="23"/>
    </row>
    <row r="807" spans="1:30" x14ac:dyDescent="0.25">
      <c r="A807" s="51">
        <v>2021</v>
      </c>
      <c r="B807" s="52" t="s">
        <v>36</v>
      </c>
      <c r="C807" s="52" t="s">
        <v>119</v>
      </c>
      <c r="D807" s="52" t="s">
        <v>124</v>
      </c>
      <c r="E807" s="52" t="s">
        <v>150</v>
      </c>
      <c r="F807" s="52" t="s">
        <v>122</v>
      </c>
      <c r="G807" s="52" t="s">
        <v>151</v>
      </c>
      <c r="H807" s="53">
        <v>119.18792642670311</v>
      </c>
      <c r="I807" s="53">
        <v>0.33473185542563128</v>
      </c>
      <c r="J807" s="54">
        <v>119.52265828212875</v>
      </c>
      <c r="K807" s="53">
        <v>189.92374625444251</v>
      </c>
      <c r="L807" s="53">
        <v>21.364381791640291</v>
      </c>
      <c r="M807" s="54">
        <v>211.28812804608279</v>
      </c>
      <c r="N807" s="53">
        <v>20.719381177906875</v>
      </c>
      <c r="O807" s="53">
        <v>85.284576167094414</v>
      </c>
      <c r="P807" s="53">
        <v>12.916204801243405</v>
      </c>
      <c r="Q807" s="53">
        <v>15.212362656125203</v>
      </c>
      <c r="R807" s="53">
        <v>43.515618921005256</v>
      </c>
      <c r="S807" s="53">
        <v>76.115401576451873</v>
      </c>
      <c r="T807" s="53">
        <v>117.75710642107397</v>
      </c>
      <c r="U807" s="53">
        <v>15.206674465465037</v>
      </c>
      <c r="V807" s="54">
        <v>386.72732618636599</v>
      </c>
      <c r="W807" s="54">
        <v>727.2005518653649</v>
      </c>
      <c r="X807" s="53">
        <v>74.849117961754487</v>
      </c>
      <c r="Y807" s="55">
        <v>801.90071180724044</v>
      </c>
      <c r="Z807" s="17" t="str">
        <f>SUBSTITUTE(SUBSTITUTE(SUBSTITUTE(SUBSTITUTE(IF(E807="","",VLOOKUP(E807,[1]Esquemas_NORM!$A$2:$H$126,8,FALSE)),"PROVINCIA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807" s="17" t="str">
        <f>IF($E807="","",INDEX([1]Esquemas_NORM!$H$2:$K$126,MATCH($E807,[1]Esquemas_NORM!$A$2:$A$126,0),MATCH(AA$4,[1]Esquemas_NORM!$H$1:$K$1,0)))</f>
        <v>A la fecha no ha conformado un EAT Región</v>
      </c>
      <c r="AB807" s="17" t="str">
        <f>IF($E807="","",INDEX([1]Esquemas_NORM!$H$2:$K$126,MATCH($E807,[1]Esquemas_NORM!$A$2:$A$126,0),MATCH(AB$4,[1]Esquemas_NORM!$H$1:$K$1,0)))</f>
        <v>A la fecha no ha conformado un EAT Área Metropolitana</v>
      </c>
      <c r="AC807" s="17" t="str">
        <f>IF($E807="","",INDEX([1]Esquemas_NORM!$H$2:$K$126,MATCH($E807,[1]Esquemas_NORM!$A$2:$A$126,0),MATCH(AC$4,[1]Esquemas_NORM!$H$1:$K$1,0)))</f>
        <v>A la fecha no ha conformado un EAT asociación - unión</v>
      </c>
      <c r="AD807" s="23"/>
    </row>
    <row r="808" spans="1:30" x14ac:dyDescent="0.25">
      <c r="A808" s="51">
        <v>2021</v>
      </c>
      <c r="B808" s="52" t="s">
        <v>36</v>
      </c>
      <c r="C808" s="52" t="s">
        <v>119</v>
      </c>
      <c r="D808" s="52" t="s">
        <v>141</v>
      </c>
      <c r="E808" s="52" t="s">
        <v>152</v>
      </c>
      <c r="F808" s="52" t="s">
        <v>122</v>
      </c>
      <c r="G808" s="52" t="s">
        <v>153</v>
      </c>
      <c r="H808" s="53">
        <v>14.694023694260503</v>
      </c>
      <c r="I808" s="53">
        <v>0.47365448574965507</v>
      </c>
      <c r="J808" s="54">
        <v>15.167678180010158</v>
      </c>
      <c r="K808" s="53">
        <v>2.963482774226831</v>
      </c>
      <c r="L808" s="53">
        <v>3.0005368616976278</v>
      </c>
      <c r="M808" s="54">
        <v>5.9640196359244584</v>
      </c>
      <c r="N808" s="53">
        <v>7.3803814338039215</v>
      </c>
      <c r="O808" s="53">
        <v>10.240679159995402</v>
      </c>
      <c r="P808" s="53">
        <v>2.2384725796591378</v>
      </c>
      <c r="Q808" s="53">
        <v>2.0790093671263512</v>
      </c>
      <c r="R808" s="53">
        <v>9.2131807322915691</v>
      </c>
      <c r="S808" s="53">
        <v>8.0934059155150617</v>
      </c>
      <c r="T808" s="53">
        <v>16.189468132697471</v>
      </c>
      <c r="U808" s="53">
        <v>3.4848334363787199</v>
      </c>
      <c r="V808" s="54">
        <v>58.919430757467637</v>
      </c>
      <c r="W808" s="54">
        <v>83.728290069851994</v>
      </c>
      <c r="X808" s="53">
        <v>8.6179646647658217</v>
      </c>
      <c r="Y808" s="55">
        <v>92.329104032153893</v>
      </c>
      <c r="Z808" s="17" t="str">
        <f>SUBSTITUTE(SUBSTITUTE(SUBSTITUTE(SUBSTITUTE(IF(E808="","",VLOOKUP(E808,[1]Esquemas_NORM!$A$2:$H$126,8,FALSE)),"PROVINCIA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808" s="17" t="str">
        <f>IF($E808="","",INDEX([1]Esquemas_NORM!$H$2:$K$126,MATCH($E808,[1]Esquemas_NORM!$A$2:$A$126,0),MATCH(AA$4,[1]Esquemas_NORM!$H$1:$K$1,0)))</f>
        <v>A la fecha no ha conformado un EAT Región</v>
      </c>
      <c r="AB808" s="17" t="str">
        <f>IF($E808="","",INDEX([1]Esquemas_NORM!$H$2:$K$126,MATCH($E808,[1]Esquemas_NORM!$A$2:$A$126,0),MATCH(AB$4,[1]Esquemas_NORM!$H$1:$K$1,0)))</f>
        <v>A la fecha no ha conformado un EAT Área Metropolitana</v>
      </c>
      <c r="AC808" s="17" t="str">
        <f>IF($E808="","",INDEX([1]Esquemas_NORM!$H$2:$K$126,MATCH($E808,[1]Esquemas_NORM!$A$2:$A$126,0),MATCH(AC$4,[1]Esquemas_NORM!$H$1:$K$1,0)))</f>
        <v>ASOCIACION DE MUNICIPIOS DEL NORTE ANTIOQUEÑO - AMUNORTE</v>
      </c>
      <c r="AD808" s="23"/>
    </row>
    <row r="809" spans="1:30" x14ac:dyDescent="0.25">
      <c r="A809" s="51">
        <v>2021</v>
      </c>
      <c r="B809" s="52" t="s">
        <v>36</v>
      </c>
      <c r="C809" s="52" t="s">
        <v>119</v>
      </c>
      <c r="D809" s="52" t="s">
        <v>120</v>
      </c>
      <c r="E809" s="52" t="s">
        <v>154</v>
      </c>
      <c r="F809" s="52" t="s">
        <v>122</v>
      </c>
      <c r="G809" s="52" t="s">
        <v>155</v>
      </c>
      <c r="H809" s="53">
        <v>12.065918292945399</v>
      </c>
      <c r="I809" s="53">
        <v>0.79438495086355299</v>
      </c>
      <c r="J809" s="54">
        <v>12.860303243808952</v>
      </c>
      <c r="K809" s="53">
        <v>5.8411687871745022</v>
      </c>
      <c r="L809" s="53">
        <v>2.944930537490527</v>
      </c>
      <c r="M809" s="54">
        <v>8.7860993246650292</v>
      </c>
      <c r="N809" s="53">
        <v>0.99516630230726932</v>
      </c>
      <c r="O809" s="53">
        <v>27.124598133675249</v>
      </c>
      <c r="P809" s="53">
        <v>4.2401017947616628</v>
      </c>
      <c r="Q809" s="53">
        <v>3.0672803392102215</v>
      </c>
      <c r="R809" s="53">
        <v>11.367363052206475</v>
      </c>
      <c r="S809" s="53">
        <v>13.149936806812232</v>
      </c>
      <c r="T809" s="53">
        <v>29.097118942356669</v>
      </c>
      <c r="U809" s="53">
        <v>6.1372544343447606</v>
      </c>
      <c r="V809" s="54">
        <v>95.178819805674536</v>
      </c>
      <c r="W809" s="54">
        <v>118.21155913205958</v>
      </c>
      <c r="X809" s="53">
        <v>12.167250026448707</v>
      </c>
      <c r="Y809" s="55">
        <v>130.35459498577438</v>
      </c>
      <c r="Z809" s="17" t="str">
        <f>SUBSTITUTE(SUBSTITUTE(SUBSTITUTE(SUBSTITUTE(IF(E809="","",VLOOKUP(E809,[1]Esquemas_NORM!$A$2:$H$126,8,FALSE)),"PROVINCIA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809" s="17" t="str">
        <f>IF($E809="","",INDEX([1]Esquemas_NORM!$H$2:$K$126,MATCH($E809,[1]Esquemas_NORM!$A$2:$A$126,0),MATCH(AA$4,[1]Esquemas_NORM!$H$1:$K$1,0)))</f>
        <v>A la fecha no ha conformado un EAT Región</v>
      </c>
      <c r="AB809" s="17" t="str">
        <f>IF($E809="","",INDEX([1]Esquemas_NORM!$H$2:$K$126,MATCH($E809,[1]Esquemas_NORM!$A$2:$A$126,0),MATCH(AB$4,[1]Esquemas_NORM!$H$1:$K$1,0)))</f>
        <v>A la fecha no ha conformado un EAT Área Metropolitana</v>
      </c>
      <c r="AC809" s="17" t="str">
        <f>IF($E809="","",INDEX([1]Esquemas_NORM!$H$2:$K$126,MATCH($E809,[1]Esquemas_NORM!$A$2:$A$126,0),MATCH(AC$4,[1]Esquemas_NORM!$H$1:$K$1,0)))</f>
        <v>A la fecha no ha conformado un EAT asociación - unión</v>
      </c>
      <c r="AD809" s="23"/>
    </row>
    <row r="810" spans="1:30" x14ac:dyDescent="0.25">
      <c r="A810" s="51">
        <v>2021</v>
      </c>
      <c r="B810" s="52" t="s">
        <v>36</v>
      </c>
      <c r="C810" s="52" t="s">
        <v>119</v>
      </c>
      <c r="D810" s="52" t="s">
        <v>120</v>
      </c>
      <c r="E810" s="52" t="s">
        <v>156</v>
      </c>
      <c r="F810" s="52" t="s">
        <v>122</v>
      </c>
      <c r="G810" s="52" t="s">
        <v>157</v>
      </c>
      <c r="H810" s="53">
        <v>48.664051088199699</v>
      </c>
      <c r="I810" s="53">
        <v>5.55533486858533E-2</v>
      </c>
      <c r="J810" s="54">
        <v>48.719604436885554</v>
      </c>
      <c r="K810" s="53">
        <v>140.89891813411569</v>
      </c>
      <c r="L810" s="53">
        <v>20.409809072480716</v>
      </c>
      <c r="M810" s="54">
        <v>161.30872720659642</v>
      </c>
      <c r="N810" s="53">
        <v>13.836444504361117</v>
      </c>
      <c r="O810" s="53">
        <v>90.810550618605177</v>
      </c>
      <c r="P810" s="53">
        <v>14.499139174243448</v>
      </c>
      <c r="Q810" s="53">
        <v>19.506707898210621</v>
      </c>
      <c r="R810" s="53">
        <v>39.422416323756231</v>
      </c>
      <c r="S810" s="53">
        <v>58.153221614490839</v>
      </c>
      <c r="T810" s="53">
        <v>87.080932230213506</v>
      </c>
      <c r="U810" s="53">
        <v>17.644508715437915</v>
      </c>
      <c r="V810" s="54">
        <v>340.95392107931883</v>
      </c>
      <c r="W810" s="54">
        <v>546.2139083635368</v>
      </c>
      <c r="X810" s="53">
        <v>56.220569627696101</v>
      </c>
      <c r="Y810" s="55">
        <v>602.32259284206566</v>
      </c>
      <c r="Z810" s="17" t="str">
        <f>SUBSTITUTE(SUBSTITUTE(SUBSTITUTE(SUBSTITUTE(IF(E810="","",VLOOKUP(E810,[1]Esquemas_NORM!$A$2:$H$126,8,FALSE)),"PROVINCIA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810" s="17" t="str">
        <f>IF($E810="","",INDEX([1]Esquemas_NORM!$H$2:$K$126,MATCH($E810,[1]Esquemas_NORM!$A$2:$A$126,0),MATCH(AA$4,[1]Esquemas_NORM!$H$1:$K$1,0)))</f>
        <v>A la fecha no ha conformado un EAT Región</v>
      </c>
      <c r="AB810" s="17" t="str">
        <f>IF($E810="","",INDEX([1]Esquemas_NORM!$H$2:$K$126,MATCH($E810,[1]Esquemas_NORM!$A$2:$A$126,0),MATCH(AB$4,[1]Esquemas_NORM!$H$1:$K$1,0)))</f>
        <v>A la fecha no ha conformado un EAT Área Metropolitana</v>
      </c>
      <c r="AC810" s="17" t="str">
        <f>IF($E810="","",INDEX([1]Esquemas_NORM!$H$2:$K$126,MATCH($E810,[1]Esquemas_NORM!$A$2:$A$126,0),MATCH(AC$4,[1]Esquemas_NORM!$H$1:$K$1,0)))</f>
        <v>A la fecha no ha conformado un EAT asociación - unión</v>
      </c>
      <c r="AD810" s="23"/>
    </row>
    <row r="811" spans="1:30" x14ac:dyDescent="0.25">
      <c r="A811" s="51">
        <v>2021</v>
      </c>
      <c r="B811" s="52" t="s">
        <v>36</v>
      </c>
      <c r="C811" s="52" t="s">
        <v>158</v>
      </c>
      <c r="D811" s="52" t="s">
        <v>159</v>
      </c>
      <c r="E811" s="52" t="s">
        <v>160</v>
      </c>
      <c r="F811" s="52" t="s">
        <v>161</v>
      </c>
      <c r="G811" s="52" t="s">
        <v>162</v>
      </c>
      <c r="H811" s="53">
        <v>7.9035489923978748</v>
      </c>
      <c r="I811" s="53">
        <v>0.54286474083628145</v>
      </c>
      <c r="J811" s="54">
        <v>8.4464137332341558</v>
      </c>
      <c r="K811" s="53">
        <v>1.4927097238737095</v>
      </c>
      <c r="L811" s="53">
        <v>0.60446668593355379</v>
      </c>
      <c r="M811" s="54">
        <v>2.0971764098072634</v>
      </c>
      <c r="N811" s="53">
        <v>1.5651345458323456</v>
      </c>
      <c r="O811" s="53">
        <v>2.0946637790271869</v>
      </c>
      <c r="P811" s="53">
        <v>0.55415330026732212</v>
      </c>
      <c r="Q811" s="53">
        <v>0.3240929826360669</v>
      </c>
      <c r="R811" s="53">
        <v>1.9577077489186261</v>
      </c>
      <c r="S811" s="53">
        <v>2.4611625582850412</v>
      </c>
      <c r="T811" s="53">
        <v>7.0285048028868475</v>
      </c>
      <c r="U811" s="53">
        <v>0.74914802311286965</v>
      </c>
      <c r="V811" s="54">
        <v>16.734567740966305</v>
      </c>
      <c r="W811" s="54">
        <v>29.37633481481712</v>
      </c>
      <c r="X811" s="53">
        <v>3.0236401006542395</v>
      </c>
      <c r="Y811" s="55">
        <v>32.393957537384829</v>
      </c>
      <c r="Z811" s="17" t="str">
        <f>SUBSTITUTE(SUBSTITUTE(SUBSTITUTE(SUBSTITUTE(IF(E811="","",VLOOKUP(E811,[1]Esquemas_NORM!$A$2:$H$126,8,FALSE)),"PROVINCIA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811" s="17" t="str">
        <f>IF($E811="","",INDEX([1]Esquemas_NORM!$H$2:$K$126,MATCH($E811,[1]Esquemas_NORM!$A$2:$A$126,0),MATCH(AA$4,[1]Esquemas_NORM!$H$1:$K$1,0)))</f>
        <v>Región de Planeación y Gestión de Occidente</v>
      </c>
      <c r="AB811" s="17" t="str">
        <f>IF($E811="","",INDEX([1]Esquemas_NORM!$H$2:$K$126,MATCH($E811,[1]Esquemas_NORM!$A$2:$A$126,0),MATCH(AB$4,[1]Esquemas_NORM!$H$1:$K$1,0)))</f>
        <v>A la fecha no ha conformado un EAT Área Metropolitana</v>
      </c>
      <c r="AC811" s="17" t="str">
        <f>IF($E811="","",INDEX([1]Esquemas_NORM!$H$2:$K$126,MATCH($E811,[1]Esquemas_NORM!$A$2:$A$126,0),MATCH(AC$4,[1]Esquemas_NORM!$H$1:$K$1,0)))</f>
        <v>ASOCIACION DE MUNICIPIOS DEL NORTE ANTIOQUEÑO - AMUNORTE</v>
      </c>
      <c r="AD811" s="23"/>
    </row>
    <row r="812" spans="1:30" x14ac:dyDescent="0.25">
      <c r="A812" s="51">
        <v>2021</v>
      </c>
      <c r="B812" s="52" t="s">
        <v>36</v>
      </c>
      <c r="C812" s="52" t="s">
        <v>158</v>
      </c>
      <c r="D812" s="52" t="s">
        <v>163</v>
      </c>
      <c r="E812" s="52" t="s">
        <v>164</v>
      </c>
      <c r="F812" s="52" t="s">
        <v>161</v>
      </c>
      <c r="G812" s="52" t="s">
        <v>165</v>
      </c>
      <c r="H812" s="53">
        <v>39.723207527073193</v>
      </c>
      <c r="I812" s="53">
        <v>3.3151967198221035</v>
      </c>
      <c r="J812" s="54">
        <v>43.038404246895297</v>
      </c>
      <c r="K812" s="53">
        <v>3.604953796812659</v>
      </c>
      <c r="L812" s="53">
        <v>3.8948400233798539</v>
      </c>
      <c r="M812" s="54">
        <v>7.4997938201925134</v>
      </c>
      <c r="N812" s="53">
        <v>0.48965690615684165</v>
      </c>
      <c r="O812" s="53">
        <v>8.8956651261727675</v>
      </c>
      <c r="P812" s="53">
        <v>2.8360689495977494</v>
      </c>
      <c r="Q812" s="53">
        <v>2.0067727079768694</v>
      </c>
      <c r="R812" s="53">
        <v>7.6809865069334</v>
      </c>
      <c r="S812" s="53">
        <v>6.3710665220909659</v>
      </c>
      <c r="T812" s="53">
        <v>13.778126812428024</v>
      </c>
      <c r="U812" s="53">
        <v>3.091219180431541</v>
      </c>
      <c r="V812" s="54">
        <v>45.149562711788164</v>
      </c>
      <c r="W812" s="54">
        <v>106.12102992700993</v>
      </c>
      <c r="X812" s="53">
        <v>10.922799036465722</v>
      </c>
      <c r="Y812" s="55">
        <v>117.02209138579504</v>
      </c>
      <c r="Z812" s="17" t="str">
        <f>SUBSTITUTE(SUBSTITUTE(SUBSTITUTE(SUBSTITUTE(IF(E812="","",VLOOKUP(E812,[1]Esquemas_NORM!$A$2:$H$126,8,FALSE)),"PROVINCIA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812" s="17" t="str">
        <f>IF($E812="","",INDEX([1]Esquemas_NORM!$H$2:$K$126,MATCH($E812,[1]Esquemas_NORM!$A$2:$A$126,0),MATCH(AA$4,[1]Esquemas_NORM!$H$1:$K$1,0)))</f>
        <v>A la fecha no ha conformado un EAT Región</v>
      </c>
      <c r="AB812" s="17" t="str">
        <f>IF($E812="","",INDEX([1]Esquemas_NORM!$H$2:$K$126,MATCH($E812,[1]Esquemas_NORM!$A$2:$A$126,0),MATCH(AB$4,[1]Esquemas_NORM!$H$1:$K$1,0)))</f>
        <v>A la fecha no ha conformado un EAT Área Metropolitana</v>
      </c>
      <c r="AC812" s="17" t="str">
        <f>IF($E812="","",INDEX([1]Esquemas_NORM!$H$2:$K$126,MATCH($E812,[1]Esquemas_NORM!$A$2:$A$126,0),MATCH(AC$4,[1]Esquemas_NORM!$H$1:$K$1,0)))</f>
        <v>ASOCIACION DE MUNICIPIOS DEL OCCIDENTE ANTIOQUEÑO - AMOCCIDENTE</v>
      </c>
      <c r="AD812" s="23"/>
    </row>
    <row r="813" spans="1:30" x14ac:dyDescent="0.25">
      <c r="A813" s="51">
        <v>2021</v>
      </c>
      <c r="B813" s="52" t="s">
        <v>36</v>
      </c>
      <c r="C813" s="52" t="s">
        <v>158</v>
      </c>
      <c r="D813" s="52" t="s">
        <v>163</v>
      </c>
      <c r="E813" s="52" t="s">
        <v>166</v>
      </c>
      <c r="F813" s="52" t="s">
        <v>161</v>
      </c>
      <c r="G813" s="52" t="s">
        <v>167</v>
      </c>
      <c r="H813" s="53">
        <v>10.886903425643226</v>
      </c>
      <c r="I813" s="53">
        <v>0</v>
      </c>
      <c r="J813" s="54">
        <v>10.886903425643226</v>
      </c>
      <c r="K813" s="53">
        <v>2.2654147428565694</v>
      </c>
      <c r="L813" s="53">
        <v>1.5447224521527763</v>
      </c>
      <c r="M813" s="54">
        <v>3.8101371950093457</v>
      </c>
      <c r="N813" s="53">
        <v>0.31318345225053323</v>
      </c>
      <c r="O813" s="53">
        <v>4.7989268839775274</v>
      </c>
      <c r="P813" s="53">
        <v>2.0322480728207899</v>
      </c>
      <c r="Q813" s="53">
        <v>1.1047410360864476</v>
      </c>
      <c r="R813" s="53">
        <v>6.3624328241801509</v>
      </c>
      <c r="S813" s="53">
        <v>5.0851515306929</v>
      </c>
      <c r="T813" s="53">
        <v>12.419138607504623</v>
      </c>
      <c r="U813" s="53">
        <v>2.3026108619093097</v>
      </c>
      <c r="V813" s="54">
        <v>34.41843326942228</v>
      </c>
      <c r="W813" s="54">
        <v>50.413200666831386</v>
      </c>
      <c r="X813" s="53">
        <v>5.1889174091834986</v>
      </c>
      <c r="Y813" s="55">
        <v>55.59179155669657</v>
      </c>
      <c r="Z813" s="17" t="str">
        <f>SUBSTITUTE(SUBSTITUTE(SUBSTITUTE(SUBSTITUTE(IF(E813="","",VLOOKUP(E813,[1]Esquemas_NORM!$A$2:$H$126,8,FALSE)),"PROVINCIA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13" s="17" t="str">
        <f>IF($E813="","",INDEX([1]Esquemas_NORM!$H$2:$K$126,MATCH($E813,[1]Esquemas_NORM!$A$2:$A$126,0),MATCH(AA$4,[1]Esquemas_NORM!$H$1:$K$1,0)))</f>
        <v>Región de Planeación y Gestión de Occidente</v>
      </c>
      <c r="AB813" s="17" t="str">
        <f>IF($E813="","",INDEX([1]Esquemas_NORM!$H$2:$K$126,MATCH($E813,[1]Esquemas_NORM!$A$2:$A$126,0),MATCH(AB$4,[1]Esquemas_NORM!$H$1:$K$1,0)))</f>
        <v>A la fecha no ha conformado un EAT Área Metropolitana</v>
      </c>
      <c r="AC813" s="17" t="str">
        <f>IF($E813="","",INDEX([1]Esquemas_NORM!$H$2:$K$126,MATCH($E813,[1]Esquemas_NORM!$A$2:$A$126,0),MATCH(AC$4,[1]Esquemas_NORM!$H$1:$K$1,0)))</f>
        <v>ASOCIACION DE MUNICIPIOS DEL OCCIDENTE ANTIOQUEÑO - AMOCCIDENTE</v>
      </c>
      <c r="AD813" s="23"/>
    </row>
    <row r="814" spans="1:30" x14ac:dyDescent="0.25">
      <c r="A814" s="51">
        <v>2021</v>
      </c>
      <c r="B814" s="52" t="s">
        <v>36</v>
      </c>
      <c r="C814" s="52" t="s">
        <v>158</v>
      </c>
      <c r="D814" s="52" t="s">
        <v>163</v>
      </c>
      <c r="E814" s="52" t="s">
        <v>168</v>
      </c>
      <c r="F814" s="52" t="s">
        <v>161</v>
      </c>
      <c r="G814" s="52" t="s">
        <v>169</v>
      </c>
      <c r="H814" s="53">
        <v>7.786813503172187</v>
      </c>
      <c r="I814" s="53">
        <v>411.02247590879472</v>
      </c>
      <c r="J814" s="54">
        <v>418.80928941196692</v>
      </c>
      <c r="K814" s="53">
        <v>3.3584590261112059</v>
      </c>
      <c r="L814" s="53">
        <v>2.3831274404014788</v>
      </c>
      <c r="M814" s="54">
        <v>5.7415864665126843</v>
      </c>
      <c r="N814" s="53">
        <v>4.5142870071924426</v>
      </c>
      <c r="O814" s="53">
        <v>7.4620267580208886</v>
      </c>
      <c r="P814" s="53">
        <v>1.6154220296404691</v>
      </c>
      <c r="Q814" s="53">
        <v>1.0397560451518892</v>
      </c>
      <c r="R814" s="53">
        <v>6.4343303136685623</v>
      </c>
      <c r="S814" s="53">
        <v>21.951772926254836</v>
      </c>
      <c r="T814" s="53">
        <v>9.0603313854962213</v>
      </c>
      <c r="U814" s="53">
        <v>2.4802697633414041</v>
      </c>
      <c r="V814" s="54">
        <v>54.558196228766711</v>
      </c>
      <c r="W814" s="54">
        <v>725.4359876728962</v>
      </c>
      <c r="X814" s="53">
        <v>74.66749533614437</v>
      </c>
      <c r="Y814" s="55">
        <v>799.95488643827582</v>
      </c>
      <c r="Z814" s="17" t="str">
        <f>SUBSTITUTE(SUBSTITUTE(SUBSTITUTE(SUBSTITUTE(IF(E814="","",VLOOKUP(E814,[1]Esquemas_NORM!$A$2:$H$126,8,FALSE)),"PROVINCIA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814" s="17" t="str">
        <f>IF($E814="","",INDEX([1]Esquemas_NORM!$H$2:$K$126,MATCH($E814,[1]Esquemas_NORM!$A$2:$A$126,0),MATCH(AA$4,[1]Esquemas_NORM!$H$1:$K$1,0)))</f>
        <v>Región de Planeación y Gestión de Occidente</v>
      </c>
      <c r="AB814" s="17" t="str">
        <f>IF($E814="","",INDEX([1]Esquemas_NORM!$H$2:$K$126,MATCH($E814,[1]Esquemas_NORM!$A$2:$A$126,0),MATCH(AB$4,[1]Esquemas_NORM!$H$1:$K$1,0)))</f>
        <v>A la fecha no ha conformado un EAT Área Metropolitana</v>
      </c>
      <c r="AC814" s="17" t="str">
        <f>IF($E814="","",INDEX([1]Esquemas_NORM!$H$2:$K$126,MATCH($E814,[1]Esquemas_NORM!$A$2:$A$126,0),MATCH(AC$4,[1]Esquemas_NORM!$H$1:$K$1,0)))</f>
        <v>ASOCIACION DE MUNICIPIOS DEL OCCIDENTE ANTIOQUEÑO - AMOCCIDENTE</v>
      </c>
      <c r="AD814" s="23"/>
    </row>
    <row r="815" spans="1:30" x14ac:dyDescent="0.25">
      <c r="A815" s="51">
        <v>2021</v>
      </c>
      <c r="B815" s="52" t="s">
        <v>36</v>
      </c>
      <c r="C815" s="52" t="s">
        <v>158</v>
      </c>
      <c r="D815" s="52" t="s">
        <v>163</v>
      </c>
      <c r="E815" s="52" t="s">
        <v>170</v>
      </c>
      <c r="F815" s="52" t="s">
        <v>161</v>
      </c>
      <c r="G815" s="52" t="s">
        <v>171</v>
      </c>
      <c r="H815" s="53">
        <v>30.798723634190488</v>
      </c>
      <c r="I815" s="53">
        <v>0</v>
      </c>
      <c r="J815" s="54">
        <v>30.798723634190488</v>
      </c>
      <c r="K815" s="53">
        <v>3.1519150028002789</v>
      </c>
      <c r="L815" s="53">
        <v>4.0781071124921855</v>
      </c>
      <c r="M815" s="54">
        <v>7.2300221152924644</v>
      </c>
      <c r="N815" s="53">
        <v>0.37857345313748414</v>
      </c>
      <c r="O815" s="53">
        <v>10.183495019187349</v>
      </c>
      <c r="P815" s="53">
        <v>2.5517238378053309</v>
      </c>
      <c r="Q815" s="53">
        <v>2.329345630222126</v>
      </c>
      <c r="R815" s="53">
        <v>8.8075224599061688</v>
      </c>
      <c r="S815" s="53">
        <v>7.7902771125374235</v>
      </c>
      <c r="T815" s="53">
        <v>19.126762305967056</v>
      </c>
      <c r="U815" s="53">
        <v>3.0373437318164789</v>
      </c>
      <c r="V815" s="54">
        <v>54.205043550579418</v>
      </c>
      <c r="W815" s="54">
        <v>98.082849527195933</v>
      </c>
      <c r="X815" s="53">
        <v>10.09544719879101</v>
      </c>
      <c r="Y815" s="55">
        <v>108.15820566993334</v>
      </c>
      <c r="Z815" s="17" t="str">
        <f>SUBSTITUTE(SUBSTITUTE(SUBSTITUTE(SUBSTITUTE(IF(E815="","",VLOOKUP(E815,[1]Esquemas_NORM!$A$2:$H$126,8,FALSE)),"PROVINCIA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815" s="17" t="str">
        <f>IF($E815="","",INDEX([1]Esquemas_NORM!$H$2:$K$126,MATCH($E815,[1]Esquemas_NORM!$A$2:$A$126,0),MATCH(AA$4,[1]Esquemas_NORM!$H$1:$K$1,0)))</f>
        <v>A la fecha no ha conformado un EAT Región</v>
      </c>
      <c r="AB815" s="17" t="str">
        <f>IF($E815="","",INDEX([1]Esquemas_NORM!$H$2:$K$126,MATCH($E815,[1]Esquemas_NORM!$A$2:$A$126,0),MATCH(AB$4,[1]Esquemas_NORM!$H$1:$K$1,0)))</f>
        <v>A la fecha no ha conformado un EAT Área Metropolitana</v>
      </c>
      <c r="AC815" s="17" t="str">
        <f>IF($E815="","",INDEX([1]Esquemas_NORM!$H$2:$K$126,MATCH($E815,[1]Esquemas_NORM!$A$2:$A$126,0),MATCH(AC$4,[1]Esquemas_NORM!$H$1:$K$1,0)))</f>
        <v>ASOCIACION DE MUNICIPIOS DEL OCCIDENTE ANTIOQUEÑO - AMOCCIDENTE</v>
      </c>
      <c r="AD815" s="23"/>
    </row>
    <row r="816" spans="1:30" x14ac:dyDescent="0.25">
      <c r="A816" s="51">
        <v>2021</v>
      </c>
      <c r="B816" s="52" t="s">
        <v>36</v>
      </c>
      <c r="C816" s="52" t="s">
        <v>158</v>
      </c>
      <c r="D816" s="52" t="s">
        <v>159</v>
      </c>
      <c r="E816" s="52" t="s">
        <v>172</v>
      </c>
      <c r="F816" s="52" t="s">
        <v>161</v>
      </c>
      <c r="G816" s="52" t="s">
        <v>173</v>
      </c>
      <c r="H816" s="53">
        <v>35.442615026064075</v>
      </c>
      <c r="I816" s="53">
        <v>3.4699121651225275</v>
      </c>
      <c r="J816" s="54">
        <v>38.912527191186605</v>
      </c>
      <c r="K816" s="53">
        <v>2.7781189792493839</v>
      </c>
      <c r="L816" s="53">
        <v>13.246479130508742</v>
      </c>
      <c r="M816" s="54">
        <v>16.024598109758127</v>
      </c>
      <c r="N816" s="53">
        <v>3.432345486587443</v>
      </c>
      <c r="O816" s="53">
        <v>21.993950771268349</v>
      </c>
      <c r="P816" s="53">
        <v>3.2796795276220423</v>
      </c>
      <c r="Q816" s="53">
        <v>2.6450813430175968</v>
      </c>
      <c r="R816" s="53">
        <v>11.212470889170786</v>
      </c>
      <c r="S816" s="53">
        <v>17.511867684034574</v>
      </c>
      <c r="T816" s="53">
        <v>42.652154720471273</v>
      </c>
      <c r="U816" s="53">
        <v>4.5546260248728663</v>
      </c>
      <c r="V816" s="54">
        <v>107.28217644704493</v>
      </c>
      <c r="W816" s="54">
        <v>170.28426828269369</v>
      </c>
      <c r="X816" s="53">
        <v>17.526976913079974</v>
      </c>
      <c r="Y816" s="55">
        <v>187.77636457397696</v>
      </c>
      <c r="Z816" s="17" t="str">
        <f>SUBSTITUTE(SUBSTITUTE(SUBSTITUTE(SUBSTITUTE(IF(E816="","",VLOOKUP(E816,[1]Esquemas_NORM!$A$2:$H$126,8,FALSE)),"PROVINCIA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816" s="17" t="str">
        <f>IF($E816="","",INDEX([1]Esquemas_NORM!$H$2:$K$126,MATCH($E816,[1]Esquemas_NORM!$A$2:$A$126,0),MATCH(AA$4,[1]Esquemas_NORM!$H$1:$K$1,0)))</f>
        <v>Región de Planeación y Gestión de Occidente</v>
      </c>
      <c r="AB816" s="17" t="str">
        <f>IF($E816="","",INDEX([1]Esquemas_NORM!$H$2:$K$126,MATCH($E816,[1]Esquemas_NORM!$A$2:$A$126,0),MATCH(AB$4,[1]Esquemas_NORM!$H$1:$K$1,0)))</f>
        <v>A la fecha no ha conformado un EAT Área Metropolitana</v>
      </c>
      <c r="AC816" s="17" t="str">
        <f>IF($E816="","",INDEX([1]Esquemas_NORM!$H$2:$K$126,MATCH($E816,[1]Esquemas_NORM!$A$2:$A$126,0),MATCH(AC$4,[1]Esquemas_NORM!$H$1:$K$1,0)))</f>
        <v>ASOCIACION DE MUNICIPIOS DEL OCCIDENTE ANTIOQUEÑO - AMOCCIDENTE</v>
      </c>
      <c r="AD816" s="23"/>
    </row>
    <row r="817" spans="1:30" x14ac:dyDescent="0.25">
      <c r="A817" s="51">
        <v>2021</v>
      </c>
      <c r="B817" s="52" t="s">
        <v>36</v>
      </c>
      <c r="C817" s="52" t="s">
        <v>158</v>
      </c>
      <c r="D817" s="52" t="s">
        <v>159</v>
      </c>
      <c r="E817" s="52" t="s">
        <v>174</v>
      </c>
      <c r="F817" s="52" t="s">
        <v>161</v>
      </c>
      <c r="G817" s="52" t="s">
        <v>175</v>
      </c>
      <c r="H817" s="53">
        <v>54.815657590214173</v>
      </c>
      <c r="I817" s="53">
        <v>25.13098330137959</v>
      </c>
      <c r="J817" s="54">
        <v>79.946640891593759</v>
      </c>
      <c r="K817" s="53">
        <v>2.9911383415637882</v>
      </c>
      <c r="L817" s="53">
        <v>14.941478792341423</v>
      </c>
      <c r="M817" s="54">
        <v>17.932617133905211</v>
      </c>
      <c r="N817" s="53">
        <v>2.9753241277173306</v>
      </c>
      <c r="O817" s="53">
        <v>38.315722423733007</v>
      </c>
      <c r="P817" s="53">
        <v>6.4581631406581641</v>
      </c>
      <c r="Q817" s="53">
        <v>5.6640805961573477</v>
      </c>
      <c r="R817" s="53">
        <v>15.831205608295209</v>
      </c>
      <c r="S817" s="53">
        <v>23.701977256927702</v>
      </c>
      <c r="T817" s="53">
        <v>45.46051875342247</v>
      </c>
      <c r="U817" s="53">
        <v>7.7079627251364196</v>
      </c>
      <c r="V817" s="54">
        <v>146.11495463204764</v>
      </c>
      <c r="W817" s="54">
        <v>269.42478655585745</v>
      </c>
      <c r="X817" s="53">
        <v>27.731287578099106</v>
      </c>
      <c r="Y817" s="55">
        <v>297.10088580577343</v>
      </c>
      <c r="Z817" s="17" t="str">
        <f>SUBSTITUTE(SUBSTITUTE(SUBSTITUTE(SUBSTITUTE(IF(E817="","",VLOOKUP(E817,[1]Esquemas_NORM!$A$2:$H$126,8,FALSE)),"PROVINCIA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817" s="17" t="str">
        <f>IF($E817="","",INDEX([1]Esquemas_NORM!$H$2:$K$126,MATCH($E817,[1]Esquemas_NORM!$A$2:$A$126,0),MATCH(AA$4,[1]Esquemas_NORM!$H$1:$K$1,0)))</f>
        <v>Región de Planeación y Gestión de Occidente</v>
      </c>
      <c r="AB817" s="17" t="str">
        <f>IF($E817="","",INDEX([1]Esquemas_NORM!$H$2:$K$126,MATCH($E817,[1]Esquemas_NORM!$A$2:$A$126,0),MATCH(AB$4,[1]Esquemas_NORM!$H$1:$K$1,0)))</f>
        <v>A la fecha no ha conformado un EAT Área Metropolitana</v>
      </c>
      <c r="AC817" s="17" t="str">
        <f>IF($E817="","",INDEX([1]Esquemas_NORM!$H$2:$K$126,MATCH($E817,[1]Esquemas_NORM!$A$2:$A$126,0),MATCH(AC$4,[1]Esquemas_NORM!$H$1:$K$1,0)))</f>
        <v>ASOCIACION DE MUNICIPIOS DEL OCCIDENTE ANTIOQUEÑO - AMOCCIDENTE</v>
      </c>
      <c r="AD817" s="23"/>
    </row>
    <row r="818" spans="1:30" x14ac:dyDescent="0.25">
      <c r="A818" s="51">
        <v>2021</v>
      </c>
      <c r="B818" s="52" t="s">
        <v>36</v>
      </c>
      <c r="C818" s="52" t="s">
        <v>158</v>
      </c>
      <c r="D818" s="52" t="s">
        <v>163</v>
      </c>
      <c r="E818" s="52" t="s">
        <v>176</v>
      </c>
      <c r="F818" s="52" t="s">
        <v>161</v>
      </c>
      <c r="G818" s="52" t="s">
        <v>177</v>
      </c>
      <c r="H818" s="53">
        <v>99.762356829760378</v>
      </c>
      <c r="I818" s="53">
        <v>0</v>
      </c>
      <c r="J818" s="54">
        <v>99.762356829760378</v>
      </c>
      <c r="K818" s="53">
        <v>7.1811060569910223</v>
      </c>
      <c r="L818" s="53">
        <v>8.4578300663831172</v>
      </c>
      <c r="M818" s="54">
        <v>15.63893612337414</v>
      </c>
      <c r="N818" s="53">
        <v>1.0730382533655303</v>
      </c>
      <c r="O818" s="53">
        <v>17.341756811025572</v>
      </c>
      <c r="P818" s="53">
        <v>4.9699144687312282</v>
      </c>
      <c r="Q818" s="53">
        <v>2.5284965172813814</v>
      </c>
      <c r="R818" s="53">
        <v>17.706826148946654</v>
      </c>
      <c r="S818" s="53">
        <v>12.175883499585259</v>
      </c>
      <c r="T818" s="53">
        <v>18.351851627651222</v>
      </c>
      <c r="U818" s="53">
        <v>6.3991997026104963</v>
      </c>
      <c r="V818" s="54">
        <v>80.546967029197361</v>
      </c>
      <c r="W818" s="54">
        <v>218.41008422702581</v>
      </c>
      <c r="X818" s="53">
        <v>22.480458955126942</v>
      </c>
      <c r="Y818" s="55">
        <v>240.84580458344712</v>
      </c>
      <c r="Z818" s="17" t="str">
        <f>SUBSTITUTE(SUBSTITUTE(SUBSTITUTE(SUBSTITUTE(IF(E818="","",VLOOKUP(E818,[1]Esquemas_NORM!$A$2:$H$126,8,FALSE)),"PROVINCIA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818" s="17" t="str">
        <f>IF($E818="","",INDEX([1]Esquemas_NORM!$H$2:$K$126,MATCH($E818,[1]Esquemas_NORM!$A$2:$A$126,0),MATCH(AA$4,[1]Esquemas_NORM!$H$1:$K$1,0)))</f>
        <v>A la fecha no ha conformado un EAT Región</v>
      </c>
      <c r="AB818" s="17" t="str">
        <f>IF($E818="","",INDEX([1]Esquemas_NORM!$H$2:$K$126,MATCH($E818,[1]Esquemas_NORM!$A$2:$A$126,0),MATCH(AB$4,[1]Esquemas_NORM!$H$1:$K$1,0)))</f>
        <v>A la fecha no ha conformado un EAT Área Metropolitana</v>
      </c>
      <c r="AC818" s="17" t="str">
        <f>IF($E818="","",INDEX([1]Esquemas_NORM!$H$2:$K$126,MATCH($E818,[1]Esquemas_NORM!$A$2:$A$126,0),MATCH(AC$4,[1]Esquemas_NORM!$H$1:$K$1,0)))</f>
        <v>ASOCIACION DE MUNICIPIOS DEL OCCIDENTE ANTIOQUEÑO - AMOCCIDENTE</v>
      </c>
      <c r="AD818" s="23"/>
    </row>
    <row r="819" spans="1:30" x14ac:dyDescent="0.25">
      <c r="A819" s="51">
        <v>2021</v>
      </c>
      <c r="B819" s="52" t="s">
        <v>36</v>
      </c>
      <c r="C819" s="52" t="s">
        <v>158</v>
      </c>
      <c r="D819" s="52" t="s">
        <v>159</v>
      </c>
      <c r="E819" s="52" t="s">
        <v>178</v>
      </c>
      <c r="F819" s="52" t="s">
        <v>161</v>
      </c>
      <c r="G819" s="52" t="s">
        <v>179</v>
      </c>
      <c r="H819" s="53">
        <v>44.381432819749563</v>
      </c>
      <c r="I819" s="53">
        <v>6.1022109554268669</v>
      </c>
      <c r="J819" s="54">
        <v>50.483643775176432</v>
      </c>
      <c r="K819" s="53">
        <v>6.6848749498920643</v>
      </c>
      <c r="L819" s="53">
        <v>7.0629812957580649</v>
      </c>
      <c r="M819" s="54">
        <v>13.74785624565013</v>
      </c>
      <c r="N819" s="53">
        <v>5.917843327628252</v>
      </c>
      <c r="O819" s="53">
        <v>32.153386770026245</v>
      </c>
      <c r="P819" s="53">
        <v>5.6638906432728273</v>
      </c>
      <c r="Q819" s="53">
        <v>4.7102558632915059</v>
      </c>
      <c r="R819" s="53">
        <v>15.465369747879967</v>
      </c>
      <c r="S819" s="53">
        <v>21.36047086997387</v>
      </c>
      <c r="T819" s="53">
        <v>38.83091930470372</v>
      </c>
      <c r="U819" s="53">
        <v>6.0362167373095135</v>
      </c>
      <c r="V819" s="54">
        <v>130.13835326408591</v>
      </c>
      <c r="W819" s="54">
        <v>207.17103101939563</v>
      </c>
      <c r="X819" s="53">
        <v>21.323648475309366</v>
      </c>
      <c r="Y819" s="55">
        <v>228.45224307674889</v>
      </c>
      <c r="Z819" s="17" t="str">
        <f>SUBSTITUTE(SUBSTITUTE(SUBSTITUTE(SUBSTITUTE(IF(E819="","",VLOOKUP(E819,[1]Esquemas_NORM!$A$2:$H$126,8,FALSE)),"PROVINCIA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819" s="17" t="str">
        <f>IF($E819="","",INDEX([1]Esquemas_NORM!$H$2:$K$126,MATCH($E819,[1]Esquemas_NORM!$A$2:$A$126,0),MATCH(AA$4,[1]Esquemas_NORM!$H$1:$K$1,0)))</f>
        <v>Región de Planeación y Gestión de Occidente</v>
      </c>
      <c r="AB819" s="17" t="str">
        <f>IF($E819="","",INDEX([1]Esquemas_NORM!$H$2:$K$126,MATCH($E819,[1]Esquemas_NORM!$A$2:$A$126,0),MATCH(AB$4,[1]Esquemas_NORM!$H$1:$K$1,0)))</f>
        <v>A la fecha no ha conformado un EAT Área Metropolitana</v>
      </c>
      <c r="AC819" s="17" t="str">
        <f>IF($E819="","",INDEX([1]Esquemas_NORM!$H$2:$K$126,MATCH($E819,[1]Esquemas_NORM!$A$2:$A$126,0),MATCH(AC$4,[1]Esquemas_NORM!$H$1:$K$1,0)))</f>
        <v>ASOCIACION DE MUNICIPIOS DEL OCCIDENTE ANTIOQUEÑO - AMOCCIDENTE</v>
      </c>
      <c r="AD819" s="23"/>
    </row>
    <row r="820" spans="1:30" x14ac:dyDescent="0.25">
      <c r="A820" s="51">
        <v>2021</v>
      </c>
      <c r="B820" s="52" t="s">
        <v>36</v>
      </c>
      <c r="C820" s="52" t="s">
        <v>158</v>
      </c>
      <c r="D820" s="52" t="s">
        <v>163</v>
      </c>
      <c r="E820" s="52" t="s">
        <v>180</v>
      </c>
      <c r="F820" s="52" t="s">
        <v>161</v>
      </c>
      <c r="G820" s="52" t="s">
        <v>181</v>
      </c>
      <c r="H820" s="53">
        <v>10.173759725413154</v>
      </c>
      <c r="I820" s="53">
        <v>0</v>
      </c>
      <c r="J820" s="54">
        <v>10.173759725413154</v>
      </c>
      <c r="K820" s="53">
        <v>1.1419994637297886</v>
      </c>
      <c r="L820" s="53">
        <v>2.358469800844901</v>
      </c>
      <c r="M820" s="54">
        <v>3.5004692645746895</v>
      </c>
      <c r="N820" s="53">
        <v>1.1242282479137629</v>
      </c>
      <c r="O820" s="53">
        <v>8.5628998768100963</v>
      </c>
      <c r="P820" s="53">
        <v>1.5661484496391429</v>
      </c>
      <c r="Q820" s="53">
        <v>1.0964979263476746</v>
      </c>
      <c r="R820" s="53">
        <v>6.776168589026982</v>
      </c>
      <c r="S820" s="53">
        <v>5.3614472640981505</v>
      </c>
      <c r="T820" s="53">
        <v>10.50873214670473</v>
      </c>
      <c r="U820" s="53">
        <v>2.2595877237744943</v>
      </c>
      <c r="V820" s="54">
        <v>37.255710224315031</v>
      </c>
      <c r="W820" s="54">
        <v>52.543932794026155</v>
      </c>
      <c r="X820" s="53">
        <v>5.4082288768703997</v>
      </c>
      <c r="Y820" s="55">
        <v>57.941398697511062</v>
      </c>
      <c r="Z820" s="17" t="str">
        <f>SUBSTITUTE(SUBSTITUTE(SUBSTITUTE(SUBSTITUTE(IF(E820="","",VLOOKUP(E820,[1]Esquemas_NORM!$A$2:$H$126,8,FALSE)),"PROVINCIA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820" s="17" t="str">
        <f>IF($E820="","",INDEX([1]Esquemas_NORM!$H$2:$K$126,MATCH($E820,[1]Esquemas_NORM!$A$2:$A$126,0),MATCH(AA$4,[1]Esquemas_NORM!$H$1:$K$1,0)))</f>
        <v>A la fecha no ha conformado un EAT Región</v>
      </c>
      <c r="AB820" s="17" t="str">
        <f>IF($E820="","",INDEX([1]Esquemas_NORM!$H$2:$K$126,MATCH($E820,[1]Esquemas_NORM!$A$2:$A$126,0),MATCH(AB$4,[1]Esquemas_NORM!$H$1:$K$1,0)))</f>
        <v>A la fecha no ha conformado un EAT Área Metropolitana</v>
      </c>
      <c r="AC820" s="17" t="str">
        <f>IF($E820="","",INDEX([1]Esquemas_NORM!$H$2:$K$126,MATCH($E820,[1]Esquemas_NORM!$A$2:$A$126,0),MATCH(AC$4,[1]Esquemas_NORM!$H$1:$K$1,0)))</f>
        <v>ASOCIACION DE MUNICIPIOS DEL OCCIDENTE ANTIOQUEÑO - AMOCCIDENTE</v>
      </c>
      <c r="AD820" s="23"/>
    </row>
    <row r="821" spans="1:30" x14ac:dyDescent="0.25">
      <c r="A821" s="51">
        <v>2021</v>
      </c>
      <c r="B821" s="52" t="s">
        <v>36</v>
      </c>
      <c r="C821" s="52" t="s">
        <v>158</v>
      </c>
      <c r="D821" s="52" t="s">
        <v>163</v>
      </c>
      <c r="E821" s="52" t="s">
        <v>182</v>
      </c>
      <c r="F821" s="52" t="s">
        <v>161</v>
      </c>
      <c r="G821" s="52" t="s">
        <v>183</v>
      </c>
      <c r="H821" s="53">
        <v>14.603264996182075</v>
      </c>
      <c r="I821" s="53">
        <v>1.1474533051586975E-5</v>
      </c>
      <c r="J821" s="54">
        <v>14.603276470715127</v>
      </c>
      <c r="K821" s="53">
        <v>2.4304211590623535</v>
      </c>
      <c r="L821" s="53">
        <v>1.8247314519503666</v>
      </c>
      <c r="M821" s="54">
        <v>4.2551526110127202</v>
      </c>
      <c r="N821" s="53">
        <v>0.54864438799971416</v>
      </c>
      <c r="O821" s="53">
        <v>5.2919482237544972</v>
      </c>
      <c r="P821" s="53">
        <v>2.3845054239815604</v>
      </c>
      <c r="Q821" s="53">
        <v>1.2065667004274856</v>
      </c>
      <c r="R821" s="53">
        <v>6.2178586995558902</v>
      </c>
      <c r="S821" s="53">
        <v>5.9616926226677478</v>
      </c>
      <c r="T821" s="53">
        <v>11.887262798142784</v>
      </c>
      <c r="U821" s="53">
        <v>1.9244543373781042</v>
      </c>
      <c r="V821" s="54">
        <v>35.422933193907781</v>
      </c>
      <c r="W821" s="54">
        <v>56.594377347280414</v>
      </c>
      <c r="X821" s="53">
        <v>5.8251320288101471</v>
      </c>
      <c r="Y821" s="55">
        <v>62.407916719340868</v>
      </c>
      <c r="Z821" s="17" t="str">
        <f>SUBSTITUTE(SUBSTITUTE(SUBSTITUTE(SUBSTITUTE(IF(E821="","",VLOOKUP(E821,[1]Esquemas_NORM!$A$2:$H$126,8,FALSE)),"PROVINCIA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821" s="17" t="str">
        <f>IF($E821="","",INDEX([1]Esquemas_NORM!$H$2:$K$126,MATCH($E821,[1]Esquemas_NORM!$A$2:$A$126,0),MATCH(AA$4,[1]Esquemas_NORM!$H$1:$K$1,0)))</f>
        <v>Región de Planeación y Gestión de Occidente</v>
      </c>
      <c r="AB821" s="17" t="str">
        <f>IF($E821="","",INDEX([1]Esquemas_NORM!$H$2:$K$126,MATCH($E821,[1]Esquemas_NORM!$A$2:$A$126,0),MATCH(AB$4,[1]Esquemas_NORM!$H$1:$K$1,0)))</f>
        <v>A la fecha no ha conformado un EAT Área Metropolitana</v>
      </c>
      <c r="AC821" s="17" t="str">
        <f>IF($E821="","",INDEX([1]Esquemas_NORM!$H$2:$K$126,MATCH($E821,[1]Esquemas_NORM!$A$2:$A$126,0),MATCH(AC$4,[1]Esquemas_NORM!$H$1:$K$1,0)))</f>
        <v>ASOCIACION DE MUNICIPIOS DEL OCCIDENTE ANTIOQUEÑO - AMOCCIDENTE</v>
      </c>
      <c r="AD821" s="23"/>
    </row>
    <row r="822" spans="1:30" x14ac:dyDescent="0.25">
      <c r="A822" s="51">
        <v>2021</v>
      </c>
      <c r="B822" s="52" t="s">
        <v>36</v>
      </c>
      <c r="C822" s="52" t="s">
        <v>158</v>
      </c>
      <c r="D822" s="52" t="s">
        <v>163</v>
      </c>
      <c r="E822" s="52" t="s">
        <v>184</v>
      </c>
      <c r="F822" s="52" t="s">
        <v>161</v>
      </c>
      <c r="G822" s="52" t="s">
        <v>185</v>
      </c>
      <c r="H822" s="53">
        <v>26.016458324976227</v>
      </c>
      <c r="I822" s="53">
        <v>0</v>
      </c>
      <c r="J822" s="54">
        <v>26.016458324976227</v>
      </c>
      <c r="K822" s="53">
        <v>2.6642344852979418</v>
      </c>
      <c r="L822" s="53">
        <v>5.0921390480204369</v>
      </c>
      <c r="M822" s="54">
        <v>7.7563735333183788</v>
      </c>
      <c r="N822" s="53">
        <v>1.9043898886467094</v>
      </c>
      <c r="O822" s="53">
        <v>13.388800821065377</v>
      </c>
      <c r="P822" s="53">
        <v>2.55974693316475</v>
      </c>
      <c r="Q822" s="53">
        <v>2.1417584397312455</v>
      </c>
      <c r="R822" s="53">
        <v>9.0557122819996767</v>
      </c>
      <c r="S822" s="53">
        <v>9.6561662300481252</v>
      </c>
      <c r="T822" s="53">
        <v>21.60431277629613</v>
      </c>
      <c r="U822" s="53">
        <v>3.7006167693311069</v>
      </c>
      <c r="V822" s="54">
        <v>64.011504140283122</v>
      </c>
      <c r="W822" s="54">
        <v>102.6479581491767</v>
      </c>
      <c r="X822" s="53">
        <v>10.565323566291186</v>
      </c>
      <c r="Y822" s="55">
        <v>113.19225555349459</v>
      </c>
      <c r="Z822" s="17" t="str">
        <f>SUBSTITUTE(SUBSTITUTE(SUBSTITUTE(SUBSTITUTE(IF(E822="","",VLOOKUP(E822,[1]Esquemas_NORM!$A$2:$H$126,8,FALSE)),"PROVINCIA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22" s="17" t="str">
        <f>IF($E822="","",INDEX([1]Esquemas_NORM!$H$2:$K$126,MATCH($E822,[1]Esquemas_NORM!$A$2:$A$126,0),MATCH(AA$4,[1]Esquemas_NORM!$H$1:$K$1,0)))</f>
        <v>Región de Planeación y Gestión de Occidente</v>
      </c>
      <c r="AB822" s="17" t="str">
        <f>IF($E822="","",INDEX([1]Esquemas_NORM!$H$2:$K$126,MATCH($E822,[1]Esquemas_NORM!$A$2:$A$126,0),MATCH(AB$4,[1]Esquemas_NORM!$H$1:$K$1,0)))</f>
        <v>A la fecha no ha conformado un EAT Área Metropolitana</v>
      </c>
      <c r="AC822" s="17" t="str">
        <f>IF($E822="","",INDEX([1]Esquemas_NORM!$H$2:$K$126,MATCH($E822,[1]Esquemas_NORM!$A$2:$A$126,0),MATCH(AC$4,[1]Esquemas_NORM!$H$1:$K$1,0)))</f>
        <v>ASOCIACION DE MUNICIPIOS DEL OCCIDENTE ANTIOQUEÑO - AMOCCIDENTE</v>
      </c>
      <c r="AD822" s="23"/>
    </row>
    <row r="823" spans="1:30" x14ac:dyDescent="0.25">
      <c r="A823" s="51">
        <v>2021</v>
      </c>
      <c r="B823" s="52" t="s">
        <v>36</v>
      </c>
      <c r="C823" s="52" t="s">
        <v>158</v>
      </c>
      <c r="D823" s="52" t="s">
        <v>163</v>
      </c>
      <c r="E823" s="52" t="s">
        <v>186</v>
      </c>
      <c r="F823" s="52" t="s">
        <v>161</v>
      </c>
      <c r="G823" s="52" t="s">
        <v>187</v>
      </c>
      <c r="H823" s="53">
        <v>8.0703532781993488</v>
      </c>
      <c r="I823" s="53">
        <v>0</v>
      </c>
      <c r="J823" s="54">
        <v>8.0703532781993488</v>
      </c>
      <c r="K823" s="53">
        <v>1.1225562270329519</v>
      </c>
      <c r="L823" s="53">
        <v>1.677967366738452</v>
      </c>
      <c r="M823" s="54">
        <v>2.8005235937714037</v>
      </c>
      <c r="N823" s="53">
        <v>0.81842955555096542</v>
      </c>
      <c r="O823" s="53">
        <v>4.5305595502487161</v>
      </c>
      <c r="P823" s="53">
        <v>1.2888376737255529</v>
      </c>
      <c r="Q823" s="53">
        <v>0.6238343369144187</v>
      </c>
      <c r="R823" s="53">
        <v>5.3406901094337282</v>
      </c>
      <c r="S823" s="53">
        <v>3.8608525478124451</v>
      </c>
      <c r="T823" s="53">
        <v>7.6805777922347467</v>
      </c>
      <c r="U823" s="53">
        <v>1.6568772715734235</v>
      </c>
      <c r="V823" s="54">
        <v>25.800658837493998</v>
      </c>
      <c r="W823" s="54">
        <v>37.84597475562866</v>
      </c>
      <c r="X823" s="53">
        <v>3.8954010989056376</v>
      </c>
      <c r="Y823" s="55">
        <v>41.733623575681499</v>
      </c>
      <c r="Z823" s="17" t="str">
        <f>SUBSTITUTE(SUBSTITUTE(SUBSTITUTE(SUBSTITUTE(IF(E823="","",VLOOKUP(E823,[1]Esquemas_NORM!$A$2:$H$126,8,FALSE)),"PROVINCIA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823" s="17" t="str">
        <f>IF($E823="","",INDEX([1]Esquemas_NORM!$H$2:$K$126,MATCH($E823,[1]Esquemas_NORM!$A$2:$A$126,0),MATCH(AA$4,[1]Esquemas_NORM!$H$1:$K$1,0)))</f>
        <v>Región de Planeación y Gestión de Occidente</v>
      </c>
      <c r="AB823" s="17" t="str">
        <f>IF($E823="","",INDEX([1]Esquemas_NORM!$H$2:$K$126,MATCH($E823,[1]Esquemas_NORM!$A$2:$A$126,0),MATCH(AB$4,[1]Esquemas_NORM!$H$1:$K$1,0)))</f>
        <v>A la fecha no ha conformado un EAT Área Metropolitana</v>
      </c>
      <c r="AC823" s="17" t="str">
        <f>IF($E823="","",INDEX([1]Esquemas_NORM!$H$2:$K$126,MATCH($E823,[1]Esquemas_NORM!$A$2:$A$126,0),MATCH(AC$4,[1]Esquemas_NORM!$H$1:$K$1,0)))</f>
        <v>ASOCIACION DE MUNICIPIOS DEL OCCIDENTE ANTIOQUEÑO - AMOCCIDENTE</v>
      </c>
      <c r="AD823" s="23"/>
    </row>
    <row r="824" spans="1:30" x14ac:dyDescent="0.25">
      <c r="A824" s="51">
        <v>2021</v>
      </c>
      <c r="B824" s="52" t="s">
        <v>36</v>
      </c>
      <c r="C824" s="52" t="s">
        <v>158</v>
      </c>
      <c r="D824" s="52" t="s">
        <v>159</v>
      </c>
      <c r="E824" s="52" t="s">
        <v>188</v>
      </c>
      <c r="F824" s="52" t="s">
        <v>161</v>
      </c>
      <c r="G824" s="52" t="s">
        <v>189</v>
      </c>
      <c r="H824" s="53">
        <v>15.889806322479226</v>
      </c>
      <c r="I824" s="53">
        <v>0</v>
      </c>
      <c r="J824" s="54">
        <v>15.889806322479226</v>
      </c>
      <c r="K824" s="53">
        <v>0.92399533124329747</v>
      </c>
      <c r="L824" s="53">
        <v>4.6452734430815532</v>
      </c>
      <c r="M824" s="54">
        <v>5.5692687743248506</v>
      </c>
      <c r="N824" s="53">
        <v>0.27881792126906274</v>
      </c>
      <c r="O824" s="53">
        <v>10.005645712439405</v>
      </c>
      <c r="P824" s="53">
        <v>2.0832683776897296</v>
      </c>
      <c r="Q824" s="53">
        <v>1.6375578387471976</v>
      </c>
      <c r="R824" s="53">
        <v>6.6556864862449228</v>
      </c>
      <c r="S824" s="53">
        <v>7.2700137703690624</v>
      </c>
      <c r="T824" s="53">
        <v>18.621163704614062</v>
      </c>
      <c r="U824" s="53">
        <v>2.3146149870389059</v>
      </c>
      <c r="V824" s="54">
        <v>48.866768798412352</v>
      </c>
      <c r="W824" s="54">
        <v>72.695367886665878</v>
      </c>
      <c r="X824" s="53">
        <v>7.4823707878995611</v>
      </c>
      <c r="Y824" s="55">
        <v>80.162847929464959</v>
      </c>
      <c r="Z824" s="17" t="str">
        <f>SUBSTITUTE(SUBSTITUTE(SUBSTITUTE(SUBSTITUTE(IF(E824="","",VLOOKUP(E824,[1]Esquemas_NORM!$A$2:$H$126,8,FALSE)),"PROVINCIA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824" s="17" t="str">
        <f>IF($E824="","",INDEX([1]Esquemas_NORM!$H$2:$K$126,MATCH($E824,[1]Esquemas_NORM!$A$2:$A$126,0),MATCH(AA$4,[1]Esquemas_NORM!$H$1:$K$1,0)))</f>
        <v>Región de Planeación y Gestión de Occidente</v>
      </c>
      <c r="AB824" s="17" t="str">
        <f>IF($E824="","",INDEX([1]Esquemas_NORM!$H$2:$K$126,MATCH($E824,[1]Esquemas_NORM!$A$2:$A$126,0),MATCH(AB$4,[1]Esquemas_NORM!$H$1:$K$1,0)))</f>
        <v>A la fecha no ha conformado un EAT Área Metropolitana</v>
      </c>
      <c r="AC824" s="17" t="str">
        <f>IF($E824="","",INDEX([1]Esquemas_NORM!$H$2:$K$126,MATCH($E824,[1]Esquemas_NORM!$A$2:$A$126,0),MATCH(AC$4,[1]Esquemas_NORM!$H$1:$K$1,0)))</f>
        <v>ASOCIACION DE MUNICIPIOS DEL OCCIDENTE ANTIOQUEÑO - AMOCCIDENTE</v>
      </c>
      <c r="AD824" s="23"/>
    </row>
    <row r="825" spans="1:30" x14ac:dyDescent="0.25">
      <c r="A825" s="51">
        <v>2021</v>
      </c>
      <c r="B825" s="52" t="s">
        <v>36</v>
      </c>
      <c r="C825" s="52" t="s">
        <v>158</v>
      </c>
      <c r="D825" s="52" t="s">
        <v>163</v>
      </c>
      <c r="E825" s="52" t="s">
        <v>190</v>
      </c>
      <c r="F825" s="52" t="s">
        <v>161</v>
      </c>
      <c r="G825" s="52" t="s">
        <v>191</v>
      </c>
      <c r="H825" s="53">
        <v>17.684225753795786</v>
      </c>
      <c r="I825" s="53">
        <v>0</v>
      </c>
      <c r="J825" s="54">
        <v>17.684225753795786</v>
      </c>
      <c r="K825" s="53">
        <v>3.0554389808248401</v>
      </c>
      <c r="L825" s="53">
        <v>3.0422596032446734</v>
      </c>
      <c r="M825" s="54">
        <v>6.0976985840695139</v>
      </c>
      <c r="N825" s="53">
        <v>0.53173450423916424</v>
      </c>
      <c r="O825" s="53">
        <v>11.402332235673452</v>
      </c>
      <c r="P825" s="53">
        <v>2.5366035899949511</v>
      </c>
      <c r="Q825" s="53">
        <v>1.8867704483770937</v>
      </c>
      <c r="R825" s="53">
        <v>9.8445330457446723</v>
      </c>
      <c r="S825" s="53">
        <v>7.7524718226645577</v>
      </c>
      <c r="T825" s="53">
        <v>17.52682200288368</v>
      </c>
      <c r="U825" s="53">
        <v>2.6871034307995441</v>
      </c>
      <c r="V825" s="54">
        <v>54.168371080377121</v>
      </c>
      <c r="W825" s="54">
        <v>80.600915665315682</v>
      </c>
      <c r="X825" s="53">
        <v>8.2960710480549658</v>
      </c>
      <c r="Y825" s="55">
        <v>88.880476614791689</v>
      </c>
      <c r="Z825" s="17" t="str">
        <f>SUBSTITUTE(SUBSTITUTE(SUBSTITUTE(SUBSTITUTE(IF(E825="","",VLOOKUP(E825,[1]Esquemas_NORM!$A$2:$H$126,8,FALSE)),"PROVINCIA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825" s="17" t="str">
        <f>IF($E825="","",INDEX([1]Esquemas_NORM!$H$2:$K$126,MATCH($E825,[1]Esquemas_NORM!$A$2:$A$126,0),MATCH(AA$4,[1]Esquemas_NORM!$H$1:$K$1,0)))</f>
        <v>A la fecha no ha conformado un EAT Región</v>
      </c>
      <c r="AB825" s="17" t="str">
        <f>IF($E825="","",INDEX([1]Esquemas_NORM!$H$2:$K$126,MATCH($E825,[1]Esquemas_NORM!$A$2:$A$126,0),MATCH(AB$4,[1]Esquemas_NORM!$H$1:$K$1,0)))</f>
        <v>A la fecha no ha conformado un EAT Área Metropolitana</v>
      </c>
      <c r="AC825" s="17" t="str">
        <f>IF($E825="","",INDEX([1]Esquemas_NORM!$H$2:$K$126,MATCH($E825,[1]Esquemas_NORM!$A$2:$A$126,0),MATCH(AC$4,[1]Esquemas_NORM!$H$1:$K$1,0)))</f>
        <v>ASOCIACION DE MUNICIPIOS DEL OCCIDENTE ANTIOQUEÑO - AMOCCIDENTE</v>
      </c>
      <c r="AD825" s="23"/>
    </row>
    <row r="826" spans="1:30" x14ac:dyDescent="0.25">
      <c r="A826" s="51">
        <v>2021</v>
      </c>
      <c r="B826" s="52" t="s">
        <v>36</v>
      </c>
      <c r="C826" s="52" t="s">
        <v>158</v>
      </c>
      <c r="D826" s="52" t="s">
        <v>163</v>
      </c>
      <c r="E826" s="52" t="s">
        <v>192</v>
      </c>
      <c r="F826" s="52" t="s">
        <v>161</v>
      </c>
      <c r="G826" s="52" t="s">
        <v>193</v>
      </c>
      <c r="H826" s="53">
        <v>16.393835469482077</v>
      </c>
      <c r="I826" s="53">
        <v>0</v>
      </c>
      <c r="J826" s="54">
        <v>16.393835469482077</v>
      </c>
      <c r="K826" s="53">
        <v>7.4679041219580586</v>
      </c>
      <c r="L826" s="53">
        <v>5.3945097703664473</v>
      </c>
      <c r="M826" s="54">
        <v>12.862413892324506</v>
      </c>
      <c r="N826" s="53">
        <v>4.1653378339508045</v>
      </c>
      <c r="O826" s="53">
        <v>48.064705275429226</v>
      </c>
      <c r="P826" s="53">
        <v>8.8027807308888768</v>
      </c>
      <c r="Q826" s="53">
        <v>3.5815881643133269</v>
      </c>
      <c r="R826" s="53">
        <v>30.774748685869838</v>
      </c>
      <c r="S826" s="53">
        <v>21.331223855505264</v>
      </c>
      <c r="T826" s="53">
        <v>19.919830442326287</v>
      </c>
      <c r="U826" s="53">
        <v>5.6530908979268766</v>
      </c>
      <c r="V826" s="54">
        <v>142.2933058862105</v>
      </c>
      <c r="W826" s="54">
        <v>173.19493265794222</v>
      </c>
      <c r="X826" s="53">
        <v>17.826565053667483</v>
      </c>
      <c r="Y826" s="55">
        <v>190.98602087629166</v>
      </c>
      <c r="Z826" s="17" t="str">
        <f>SUBSTITUTE(SUBSTITUTE(SUBSTITUTE(SUBSTITUTE(IF(E826="","",VLOOKUP(E826,[1]Esquemas_NORM!$A$2:$H$126,8,FALSE)),"PROVINCIA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826" s="17" t="str">
        <f>IF($E826="","",INDEX([1]Esquemas_NORM!$H$2:$K$126,MATCH($E826,[1]Esquemas_NORM!$A$2:$A$126,0),MATCH(AA$4,[1]Esquemas_NORM!$H$1:$K$1,0)))</f>
        <v>Región de Planeación y Gestión de Occidente</v>
      </c>
      <c r="AB826" s="17" t="str">
        <f>IF($E826="","",INDEX([1]Esquemas_NORM!$H$2:$K$126,MATCH($E826,[1]Esquemas_NORM!$A$2:$A$126,0),MATCH(AB$4,[1]Esquemas_NORM!$H$1:$K$1,0)))</f>
        <v>A la fecha no ha conformado un EAT Área Metropolitana</v>
      </c>
      <c r="AC826" s="17" t="str">
        <f>IF($E826="","",INDEX([1]Esquemas_NORM!$H$2:$K$126,MATCH($E826,[1]Esquemas_NORM!$A$2:$A$126,0),MATCH(AC$4,[1]Esquemas_NORM!$H$1:$K$1,0)))</f>
        <v>ASOCIACION DE MUNICIPIOS DEL OCCIDENTE ANTIOQUEÑO - AMOCCIDENTE</v>
      </c>
      <c r="AD826" s="23"/>
    </row>
    <row r="827" spans="1:30" x14ac:dyDescent="0.25">
      <c r="A827" s="51">
        <v>2021</v>
      </c>
      <c r="B827" s="52" t="s">
        <v>36</v>
      </c>
      <c r="C827" s="52" t="s">
        <v>158</v>
      </c>
      <c r="D827" s="52" t="s">
        <v>163</v>
      </c>
      <c r="E827" s="52" t="s">
        <v>194</v>
      </c>
      <c r="F827" s="52" t="s">
        <v>161</v>
      </c>
      <c r="G827" s="52" t="s">
        <v>195</v>
      </c>
      <c r="H827" s="53">
        <v>19.59848349608194</v>
      </c>
      <c r="I827" s="53">
        <v>7.302419378795264</v>
      </c>
      <c r="J827" s="54">
        <v>26.900902874877204</v>
      </c>
      <c r="K827" s="53">
        <v>11.832806297033276</v>
      </c>
      <c r="L827" s="53">
        <v>6.8663480719458132</v>
      </c>
      <c r="M827" s="54">
        <v>18.699154368979087</v>
      </c>
      <c r="N827" s="53">
        <v>6.3313590875687913</v>
      </c>
      <c r="O827" s="53">
        <v>81.957284471902724</v>
      </c>
      <c r="P827" s="53">
        <v>9.3112437174108802</v>
      </c>
      <c r="Q827" s="53">
        <v>8.4047320706706685</v>
      </c>
      <c r="R827" s="53">
        <v>33.114069513142255</v>
      </c>
      <c r="S827" s="53">
        <v>33.118817195899652</v>
      </c>
      <c r="T827" s="53">
        <v>56.857951383367045</v>
      </c>
      <c r="U827" s="53">
        <v>8.996640244159618</v>
      </c>
      <c r="V827" s="54">
        <v>238.0920976841216</v>
      </c>
      <c r="W827" s="54">
        <v>290.3576596586816</v>
      </c>
      <c r="X827" s="53">
        <v>29.885861146744794</v>
      </c>
      <c r="Y827" s="55">
        <v>320.18404463763716</v>
      </c>
      <c r="Z827" s="17" t="str">
        <f>SUBSTITUTE(SUBSTITUTE(SUBSTITUTE(SUBSTITUTE(IF(E827="","",VLOOKUP(E827,[1]Esquemas_NORM!$A$2:$H$126,8,FALSE)),"PROVINCIA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827" s="17" t="str">
        <f>IF($E827="","",INDEX([1]Esquemas_NORM!$H$2:$K$126,MATCH($E827,[1]Esquemas_NORM!$A$2:$A$126,0),MATCH(AA$4,[1]Esquemas_NORM!$H$1:$K$1,0)))</f>
        <v>A la fecha no ha conformado un EAT Región</v>
      </c>
      <c r="AB827" s="17" t="str">
        <f>IF($E827="","",INDEX([1]Esquemas_NORM!$H$2:$K$126,MATCH($E827,[1]Esquemas_NORM!$A$2:$A$126,0),MATCH(AB$4,[1]Esquemas_NORM!$H$1:$K$1,0)))</f>
        <v>A la fecha no ha conformado un EAT Área Metropolitana</v>
      </c>
      <c r="AC827" s="17" t="str">
        <f>IF($E827="","",INDEX([1]Esquemas_NORM!$H$2:$K$126,MATCH($E827,[1]Esquemas_NORM!$A$2:$A$126,0),MATCH(AC$4,[1]Esquemas_NORM!$H$1:$K$1,0)))</f>
        <v>ASOCIACION DE MUNICIPIOS DEL OCCIDENTE ANTIOQUEÑO - AMOCCIDENTE</v>
      </c>
      <c r="AD827" s="23"/>
    </row>
    <row r="828" spans="1:30" x14ac:dyDescent="0.25">
      <c r="A828" s="51">
        <v>2021</v>
      </c>
      <c r="B828" s="52" t="s">
        <v>36</v>
      </c>
      <c r="C828" s="52" t="s">
        <v>158</v>
      </c>
      <c r="D828" s="52" t="s">
        <v>163</v>
      </c>
      <c r="E828" s="52" t="s">
        <v>196</v>
      </c>
      <c r="F828" s="52" t="s">
        <v>161</v>
      </c>
      <c r="G828" s="52" t="s">
        <v>197</v>
      </c>
      <c r="H828" s="53">
        <v>16.013301242886584</v>
      </c>
      <c r="I828" s="53">
        <v>3.6668041104731386</v>
      </c>
      <c r="J828" s="54">
        <v>19.680105353359721</v>
      </c>
      <c r="K828" s="53">
        <v>7.8085705310018838</v>
      </c>
      <c r="L828" s="53">
        <v>3.7860761190999823</v>
      </c>
      <c r="M828" s="54">
        <v>11.594646650101867</v>
      </c>
      <c r="N828" s="53">
        <v>3.8767035826081995</v>
      </c>
      <c r="O828" s="53">
        <v>26.884674304319077</v>
      </c>
      <c r="P828" s="53">
        <v>9.2946577931568051</v>
      </c>
      <c r="Q828" s="53">
        <v>4.1172406128226431</v>
      </c>
      <c r="R828" s="53">
        <v>22.532234362122662</v>
      </c>
      <c r="S828" s="53">
        <v>22.044789948287409</v>
      </c>
      <c r="T828" s="53">
        <v>25.81985206570841</v>
      </c>
      <c r="U828" s="53">
        <v>6.4545590911150068</v>
      </c>
      <c r="V828" s="54">
        <v>121.02471176014019</v>
      </c>
      <c r="W828" s="54">
        <v>155.02177844913805</v>
      </c>
      <c r="X828" s="53">
        <v>15.95604314657561</v>
      </c>
      <c r="Y828" s="55">
        <v>170.9460673057911</v>
      </c>
      <c r="Z828" s="17" t="str">
        <f>SUBSTITUTE(SUBSTITUTE(SUBSTITUTE(SUBSTITUTE(IF(E828="","",VLOOKUP(E828,[1]Esquemas_NORM!$A$2:$H$126,8,FALSE)),"PROVINCIA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28" s="17" t="str">
        <f>IF($E828="","",INDEX([1]Esquemas_NORM!$H$2:$K$126,MATCH($E828,[1]Esquemas_NORM!$A$2:$A$126,0),MATCH(AA$4,[1]Esquemas_NORM!$H$1:$K$1,0)))</f>
        <v>A la fecha no ha conformado un EAT Región</v>
      </c>
      <c r="AB828" s="17" t="str">
        <f>IF($E828="","",INDEX([1]Esquemas_NORM!$H$2:$K$126,MATCH($E828,[1]Esquemas_NORM!$A$2:$A$126,0),MATCH(AB$4,[1]Esquemas_NORM!$H$1:$K$1,0)))</f>
        <v>A la fecha no ha conformado un EAT Área Metropolitana</v>
      </c>
      <c r="AC828" s="17" t="str">
        <f>IF($E828="","",INDEX([1]Esquemas_NORM!$H$2:$K$126,MATCH($E828,[1]Esquemas_NORM!$A$2:$A$126,0),MATCH(AC$4,[1]Esquemas_NORM!$H$1:$K$1,0)))</f>
        <v>ASOCIACION DE MUNICIPIOS DEL OCCIDENTE ANTIOQUEÑO - AMOCCIDENTE</v>
      </c>
      <c r="AD828" s="23"/>
    </row>
    <row r="829" spans="1:30" x14ac:dyDescent="0.25">
      <c r="A829" s="51">
        <v>2021</v>
      </c>
      <c r="B829" s="52" t="s">
        <v>36</v>
      </c>
      <c r="C829" s="52" t="s">
        <v>158</v>
      </c>
      <c r="D829" s="52" t="s">
        <v>159</v>
      </c>
      <c r="E829" s="52" t="s">
        <v>198</v>
      </c>
      <c r="F829" s="52" t="s">
        <v>161</v>
      </c>
      <c r="G829" s="52" t="s">
        <v>199</v>
      </c>
      <c r="H829" s="53">
        <v>43.138380643032441</v>
      </c>
      <c r="I829" s="53">
        <v>0.69441097737964086</v>
      </c>
      <c r="J829" s="54">
        <v>43.832791620412081</v>
      </c>
      <c r="K829" s="53">
        <v>2.0191316973419848</v>
      </c>
      <c r="L829" s="53">
        <v>5.5035692606886029</v>
      </c>
      <c r="M829" s="54">
        <v>7.5227009580305877</v>
      </c>
      <c r="N829" s="53">
        <v>0.89021189766785913</v>
      </c>
      <c r="O829" s="53">
        <v>9.2610851640795566</v>
      </c>
      <c r="P829" s="53">
        <v>1.6479981347415975</v>
      </c>
      <c r="Q829" s="53">
        <v>1.0747140769290597</v>
      </c>
      <c r="R829" s="53">
        <v>5.7900696433479757</v>
      </c>
      <c r="S829" s="53">
        <v>6.822015729978804</v>
      </c>
      <c r="T829" s="53">
        <v>14.635077013104837</v>
      </c>
      <c r="U829" s="53">
        <v>2.1366666214950132</v>
      </c>
      <c r="V829" s="54">
        <v>42.257838281344704</v>
      </c>
      <c r="W829" s="54">
        <v>103.82984905641554</v>
      </c>
      <c r="X829" s="53">
        <v>10.686972940330097</v>
      </c>
      <c r="Y829" s="55">
        <v>114.49555373906867</v>
      </c>
      <c r="Z829" s="17" t="str">
        <f>SUBSTITUTE(SUBSTITUTE(SUBSTITUTE(SUBSTITUTE(IF(E829="","",VLOOKUP(E829,[1]Esquemas_NORM!$A$2:$H$126,8,FALSE)),"PROVINCIA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829" s="17" t="str">
        <f>IF($E829="","",INDEX([1]Esquemas_NORM!$H$2:$K$126,MATCH($E829,[1]Esquemas_NORM!$A$2:$A$126,0),MATCH(AA$4,[1]Esquemas_NORM!$H$1:$K$1,0)))</f>
        <v>Región de Planeación y Gestión de Occidente</v>
      </c>
      <c r="AB829" s="17" t="str">
        <f>IF($E829="","",INDEX([1]Esquemas_NORM!$H$2:$K$126,MATCH($E829,[1]Esquemas_NORM!$A$2:$A$126,0),MATCH(AB$4,[1]Esquemas_NORM!$H$1:$K$1,0)))</f>
        <v>A la fecha no ha conformado un EAT Área Metropolitana</v>
      </c>
      <c r="AC829" s="17" t="str">
        <f>IF($E829="","",INDEX([1]Esquemas_NORM!$H$2:$K$126,MATCH($E829,[1]Esquemas_NORM!$A$2:$A$126,0),MATCH(AC$4,[1]Esquemas_NORM!$H$1:$K$1,0)))</f>
        <v>ASOCIACION DE MUNICIPIOS DEL OCCIDENTE ANTIOQUEÑO - AMOCCIDENTE</v>
      </c>
      <c r="AD829" s="23"/>
    </row>
    <row r="830" spans="1:30" x14ac:dyDescent="0.25">
      <c r="A830" s="51">
        <v>2021</v>
      </c>
      <c r="B830" s="52" t="s">
        <v>36</v>
      </c>
      <c r="C830" s="52" t="s">
        <v>200</v>
      </c>
      <c r="D830" s="52" t="s">
        <v>201</v>
      </c>
      <c r="E830" s="52" t="s">
        <v>202</v>
      </c>
      <c r="F830" s="52" t="s">
        <v>203</v>
      </c>
      <c r="G830" s="52" t="s">
        <v>204</v>
      </c>
      <c r="H830" s="53">
        <v>98.622999809696353</v>
      </c>
      <c r="I830" s="53">
        <v>0.46497829727166745</v>
      </c>
      <c r="J830" s="54">
        <v>99.087978106968023</v>
      </c>
      <c r="K830" s="53">
        <v>13.774522862474663</v>
      </c>
      <c r="L830" s="53">
        <v>5.0693585589539882</v>
      </c>
      <c r="M830" s="54">
        <v>18.843881421428652</v>
      </c>
      <c r="N830" s="53">
        <v>1.7096571787154846</v>
      </c>
      <c r="O830" s="53">
        <v>20.077323587401484</v>
      </c>
      <c r="P830" s="53">
        <v>6.4796041568062694</v>
      </c>
      <c r="Q830" s="53">
        <v>5.054662351361487</v>
      </c>
      <c r="R830" s="53">
        <v>21.232689859211103</v>
      </c>
      <c r="S830" s="53">
        <v>19.409820407672765</v>
      </c>
      <c r="T830" s="53">
        <v>37.793245179817291</v>
      </c>
      <c r="U830" s="53">
        <v>8.085223413684421</v>
      </c>
      <c r="V830" s="54">
        <v>119.8422261346703</v>
      </c>
      <c r="W830" s="54">
        <v>258.72067258945827</v>
      </c>
      <c r="X830" s="53">
        <v>26.629537191807106</v>
      </c>
      <c r="Y830" s="55">
        <v>285.29721405815684</v>
      </c>
      <c r="Z830" s="17" t="str">
        <f>SUBSTITUTE(SUBSTITUTE(SUBSTITUTE(SUBSTITUTE(IF(E830="","",VLOOKUP(E830,[1]Esquemas_NORM!$A$2:$H$126,8,FALSE)),"PROVINCIA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830" s="17" t="str">
        <f>IF($E830="","",INDEX([1]Esquemas_NORM!$H$2:$K$126,MATCH($E830,[1]Esquemas_NORM!$A$2:$A$126,0),MATCH(AA$4,[1]Esquemas_NORM!$H$1:$K$1,0)))</f>
        <v>A la fecha no ha conformado un EAT Región</v>
      </c>
      <c r="AB830" s="17" t="str">
        <f>IF($E830="","",INDEX([1]Esquemas_NORM!$H$2:$K$126,MATCH($E830,[1]Esquemas_NORM!$A$2:$A$126,0),MATCH(AB$4,[1]Esquemas_NORM!$H$1:$K$1,0)))</f>
        <v>A la fecha no ha conformado un EAT Área Metropolitana</v>
      </c>
      <c r="AC830" s="17" t="str">
        <f>IF($E830="","",INDEX([1]Esquemas_NORM!$H$2:$K$126,MATCH($E830,[1]Esquemas_NORM!$A$2:$A$126,0),MATCH(AC$4,[1]Esquemas_NORM!$H$1:$K$1,0)))</f>
        <v>MUNICIPIOS UNIDOS DEL SUR DE ANTIOQUIA - MUSA</v>
      </c>
      <c r="AD830" s="23"/>
    </row>
    <row r="831" spans="1:30" x14ac:dyDescent="0.25">
      <c r="A831" s="51">
        <v>2021</v>
      </c>
      <c r="B831" s="52" t="s">
        <v>36</v>
      </c>
      <c r="C831" s="52" t="s">
        <v>200</v>
      </c>
      <c r="D831" s="52" t="s">
        <v>205</v>
      </c>
      <c r="E831" s="52" t="s">
        <v>206</v>
      </c>
      <c r="F831" s="52" t="s">
        <v>203</v>
      </c>
      <c r="G831" s="52" t="s">
        <v>207</v>
      </c>
      <c r="H831" s="53">
        <v>8.4327905520175612</v>
      </c>
      <c r="I831" s="53">
        <v>0</v>
      </c>
      <c r="J831" s="54">
        <v>8.4327905520175612</v>
      </c>
      <c r="K831" s="53">
        <v>1.6538700843368201</v>
      </c>
      <c r="L831" s="53">
        <v>2.3048264037408526</v>
      </c>
      <c r="M831" s="54">
        <v>3.9586964880776727</v>
      </c>
      <c r="N831" s="53">
        <v>12.387388703183605</v>
      </c>
      <c r="O831" s="53">
        <v>5.4875079765884482</v>
      </c>
      <c r="P831" s="53">
        <v>1.1031389736426431</v>
      </c>
      <c r="Q831" s="53">
        <v>0.87422619864649465</v>
      </c>
      <c r="R831" s="53">
        <v>5.0947919955345116</v>
      </c>
      <c r="S831" s="53">
        <v>4.3073678660998516</v>
      </c>
      <c r="T831" s="53">
        <v>6.0182769865657457</v>
      </c>
      <c r="U831" s="53">
        <v>1.656211751261691</v>
      </c>
      <c r="V831" s="54">
        <v>36.928910451522995</v>
      </c>
      <c r="W831" s="54">
        <v>53.253177160161513</v>
      </c>
      <c r="X831" s="53">
        <v>5.4812298050034656</v>
      </c>
      <c r="Y831" s="55">
        <v>58.72349871186168</v>
      </c>
      <c r="Z831" s="17" t="str">
        <f>SUBSTITUTE(SUBSTITUTE(SUBSTITUTE(SUBSTITUTE(IF(E831="","",VLOOKUP(E831,[1]Esquemas_NORM!$A$2:$H$126,8,FALSE)),"PROVINCIA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31" s="17" t="str">
        <f>IF($E831="","",INDEX([1]Esquemas_NORM!$H$2:$K$126,MATCH($E831,[1]Esquemas_NORM!$A$2:$A$126,0),MATCH(AA$4,[1]Esquemas_NORM!$H$1:$K$1,0)))</f>
        <v>A la fecha no ha conformado un EAT Región</v>
      </c>
      <c r="AB831" s="17" t="str">
        <f>IF($E831="","",INDEX([1]Esquemas_NORM!$H$2:$K$126,MATCH($E831,[1]Esquemas_NORM!$A$2:$A$126,0),MATCH(AB$4,[1]Esquemas_NORM!$H$1:$K$1,0)))</f>
        <v>A la fecha no ha conformado un EAT Área Metropolitana</v>
      </c>
      <c r="AC831" s="17" t="str">
        <f>IF($E831="","",INDEX([1]Esquemas_NORM!$H$2:$K$126,MATCH($E831,[1]Esquemas_NORM!$A$2:$A$126,0),MATCH(AC$4,[1]Esquemas_NORM!$H$1:$K$1,0)))</f>
        <v>A la fecha no ha conformado un EAT asociación - unión</v>
      </c>
      <c r="AD831" s="23"/>
    </row>
    <row r="832" spans="1:30" x14ac:dyDescent="0.25">
      <c r="A832" s="51">
        <v>2021</v>
      </c>
      <c r="B832" s="52" t="s">
        <v>36</v>
      </c>
      <c r="C832" s="52" t="s">
        <v>200</v>
      </c>
      <c r="D832" s="52" t="s">
        <v>201</v>
      </c>
      <c r="E832" s="52" t="s">
        <v>208</v>
      </c>
      <c r="F832" s="52" t="s">
        <v>203</v>
      </c>
      <c r="G832" s="52" t="s">
        <v>209</v>
      </c>
      <c r="H832" s="53">
        <v>20.120082140276487</v>
      </c>
      <c r="I832" s="53">
        <v>0</v>
      </c>
      <c r="J832" s="54">
        <v>20.120082140276487</v>
      </c>
      <c r="K832" s="53">
        <v>3.0719342615453744</v>
      </c>
      <c r="L832" s="53">
        <v>2.2641901660564936</v>
      </c>
      <c r="M832" s="54">
        <v>5.3361244276018684</v>
      </c>
      <c r="N832" s="53">
        <v>0.49146474648730659</v>
      </c>
      <c r="O832" s="53">
        <v>6.8465381987956686</v>
      </c>
      <c r="P832" s="53">
        <v>2.1296813466957172</v>
      </c>
      <c r="Q832" s="53">
        <v>1.9676661238417894</v>
      </c>
      <c r="R832" s="53">
        <v>7.3532206157276567</v>
      </c>
      <c r="S832" s="53">
        <v>5.7897979290467116</v>
      </c>
      <c r="T832" s="53">
        <v>15.166054807230529</v>
      </c>
      <c r="U832" s="53">
        <v>2.2507041936947396</v>
      </c>
      <c r="V832" s="54">
        <v>41.995127961520119</v>
      </c>
      <c r="W832" s="54">
        <v>70.95101471729069</v>
      </c>
      <c r="X832" s="53">
        <v>7.3028284377113097</v>
      </c>
      <c r="Y832" s="55">
        <v>78.2393097190281</v>
      </c>
      <c r="Z832" s="17" t="str">
        <f>SUBSTITUTE(SUBSTITUTE(SUBSTITUTE(SUBSTITUTE(IF(E832="","",VLOOKUP(E832,[1]Esquemas_NORM!$A$2:$H$126,8,FALSE)),"PROVINCIA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832" s="17" t="str">
        <f>IF($E832="","",INDEX([1]Esquemas_NORM!$H$2:$K$126,MATCH($E832,[1]Esquemas_NORM!$A$2:$A$126,0),MATCH(AA$4,[1]Esquemas_NORM!$H$1:$K$1,0)))</f>
        <v>A la fecha no ha conformado un EAT Región</v>
      </c>
      <c r="AB832" s="17" t="str">
        <f>IF($E832="","",INDEX([1]Esquemas_NORM!$H$2:$K$126,MATCH($E832,[1]Esquemas_NORM!$A$2:$A$126,0),MATCH(AB$4,[1]Esquemas_NORM!$H$1:$K$1,0)))</f>
        <v>A la fecha no ha conformado un EAT Área Metropolitana</v>
      </c>
      <c r="AC832" s="17" t="str">
        <f>IF($E832="","",INDEX([1]Esquemas_NORM!$H$2:$K$126,MATCH($E832,[1]Esquemas_NORM!$A$2:$A$126,0),MATCH(AC$4,[1]Esquemas_NORM!$H$1:$K$1,0)))</f>
        <v>MUNICIPIOS UNIDOS DEL SUR DE ANTIOQUIA - MUSA</v>
      </c>
      <c r="AD832" s="23"/>
    </row>
    <row r="833" spans="1:30" x14ac:dyDescent="0.25">
      <c r="A833" s="51">
        <v>2021</v>
      </c>
      <c r="B833" s="52" t="s">
        <v>36</v>
      </c>
      <c r="C833" s="52" t="s">
        <v>200</v>
      </c>
      <c r="D833" s="52" t="s">
        <v>210</v>
      </c>
      <c r="E833" s="52" t="s">
        <v>211</v>
      </c>
      <c r="F833" s="52" t="s">
        <v>203</v>
      </c>
      <c r="G833" s="52" t="s">
        <v>212</v>
      </c>
      <c r="H833" s="53">
        <v>17.539675215222946</v>
      </c>
      <c r="I833" s="53">
        <v>0.15978093581254477</v>
      </c>
      <c r="J833" s="54">
        <v>17.699456151035491</v>
      </c>
      <c r="K833" s="53">
        <v>5.4818228751898621</v>
      </c>
      <c r="L833" s="53">
        <v>5.0519120976629548</v>
      </c>
      <c r="M833" s="54">
        <v>10.533734972852816</v>
      </c>
      <c r="N833" s="53">
        <v>20.282888863193381</v>
      </c>
      <c r="O833" s="53">
        <v>18.692567725867367</v>
      </c>
      <c r="P833" s="53">
        <v>6.0226728569207149</v>
      </c>
      <c r="Q833" s="53">
        <v>2.9460668399619512</v>
      </c>
      <c r="R833" s="53">
        <v>17.189361194374932</v>
      </c>
      <c r="S833" s="53">
        <v>12.60324529548963</v>
      </c>
      <c r="T833" s="53">
        <v>19.346782782045846</v>
      </c>
      <c r="U833" s="53">
        <v>5.2072959110869412</v>
      </c>
      <c r="V833" s="54">
        <v>102.29088146894077</v>
      </c>
      <c r="W833" s="54">
        <v>136.33304206152252</v>
      </c>
      <c r="X833" s="53">
        <v>14.032453524920152</v>
      </c>
      <c r="Y833" s="55">
        <v>150.33756945253444</v>
      </c>
      <c r="Z833" s="17" t="str">
        <f>SUBSTITUTE(SUBSTITUTE(SUBSTITUTE(SUBSTITUTE(IF(E833="","",VLOOKUP(E833,[1]Esquemas_NORM!$A$2:$H$126,8,FALSE)),"PROVINCIA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33" s="17" t="str">
        <f>IF($E833="","",INDEX([1]Esquemas_NORM!$H$2:$K$126,MATCH($E833,[1]Esquemas_NORM!$A$2:$A$126,0),MATCH(AA$4,[1]Esquemas_NORM!$H$1:$K$1,0)))</f>
        <v>A la fecha no ha conformado un EAT Región</v>
      </c>
      <c r="AB833" s="17" t="str">
        <f>IF($E833="","",INDEX([1]Esquemas_NORM!$H$2:$K$126,MATCH($E833,[1]Esquemas_NORM!$A$2:$A$126,0),MATCH(AB$4,[1]Esquemas_NORM!$H$1:$K$1,0)))</f>
        <v>A la fecha no ha conformado un EAT Área Metropolitana</v>
      </c>
      <c r="AC833" s="17" t="str">
        <f>IF($E833="","",INDEX([1]Esquemas_NORM!$H$2:$K$126,MATCH($E833,[1]Esquemas_NORM!$A$2:$A$126,0),MATCH(AC$4,[1]Esquemas_NORM!$H$1:$K$1,0)))</f>
        <v>A la fecha no ha conformado un EAT asociación - unión</v>
      </c>
      <c r="AD833" s="23"/>
    </row>
    <row r="834" spans="1:30" x14ac:dyDescent="0.25">
      <c r="A834" s="51">
        <v>2021</v>
      </c>
      <c r="B834" s="52" t="s">
        <v>36</v>
      </c>
      <c r="C834" s="52" t="s">
        <v>200</v>
      </c>
      <c r="D834" s="52" t="s">
        <v>205</v>
      </c>
      <c r="E834" s="52" t="s">
        <v>213</v>
      </c>
      <c r="F834" s="52" t="s">
        <v>203</v>
      </c>
      <c r="G834" s="52" t="s">
        <v>214</v>
      </c>
      <c r="H834" s="53">
        <v>8.212745792836369</v>
      </c>
      <c r="I834" s="53">
        <v>3.2796518245355809E-2</v>
      </c>
      <c r="J834" s="54">
        <v>8.2455423110817243</v>
      </c>
      <c r="K834" s="53">
        <v>1.7885558080704727</v>
      </c>
      <c r="L834" s="53">
        <v>1.5139104209120091</v>
      </c>
      <c r="M834" s="54">
        <v>3.3024662289824818</v>
      </c>
      <c r="N834" s="53">
        <v>6.8382501087878165</v>
      </c>
      <c r="O834" s="53">
        <v>3.9629579579854863</v>
      </c>
      <c r="P834" s="53">
        <v>1.0141356501259466</v>
      </c>
      <c r="Q834" s="53">
        <v>0.71205034296856817</v>
      </c>
      <c r="R834" s="53">
        <v>5.9930463542747274</v>
      </c>
      <c r="S834" s="53">
        <v>3.4660121551141203</v>
      </c>
      <c r="T834" s="53">
        <v>5.8360041262432203</v>
      </c>
      <c r="U834" s="53">
        <v>1.3176062680876592</v>
      </c>
      <c r="V834" s="54">
        <v>29.140062963587546</v>
      </c>
      <c r="W834" s="54">
        <v>43.287550448194899</v>
      </c>
      <c r="X834" s="53">
        <v>4.4554902515702501</v>
      </c>
      <c r="Y834" s="55">
        <v>47.73417378157643</v>
      </c>
      <c r="Z834" s="17" t="str">
        <f>SUBSTITUTE(SUBSTITUTE(SUBSTITUTE(SUBSTITUTE(IF(E834="","",VLOOKUP(E834,[1]Esquemas_NORM!$A$2:$H$126,8,FALSE)),"PROVINCIA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34" s="17" t="str">
        <f>IF($E834="","",INDEX([1]Esquemas_NORM!$H$2:$K$126,MATCH($E834,[1]Esquemas_NORM!$A$2:$A$126,0),MATCH(AA$4,[1]Esquemas_NORM!$H$1:$K$1,0)))</f>
        <v>A la fecha no ha conformado un EAT Región</v>
      </c>
      <c r="AB834" s="17" t="str">
        <f>IF($E834="","",INDEX([1]Esquemas_NORM!$H$2:$K$126,MATCH($E834,[1]Esquemas_NORM!$A$2:$A$126,0),MATCH(AB$4,[1]Esquemas_NORM!$H$1:$K$1,0)))</f>
        <v>A la fecha no ha conformado un EAT Área Metropolitana</v>
      </c>
      <c r="AC834" s="17" t="str">
        <f>IF($E834="","",INDEX([1]Esquemas_NORM!$H$2:$K$126,MATCH($E834,[1]Esquemas_NORM!$A$2:$A$126,0),MATCH(AC$4,[1]Esquemas_NORM!$H$1:$K$1,0)))</f>
        <v>A la fecha no ha conformado un EAT asociación - unión</v>
      </c>
      <c r="AD834" s="23"/>
    </row>
    <row r="835" spans="1:30" x14ac:dyDescent="0.25">
      <c r="A835" s="51">
        <v>2021</v>
      </c>
      <c r="B835" s="52" t="s">
        <v>36</v>
      </c>
      <c r="C835" s="52" t="s">
        <v>200</v>
      </c>
      <c r="D835" s="52" t="s">
        <v>215</v>
      </c>
      <c r="E835" s="52" t="s">
        <v>216</v>
      </c>
      <c r="F835" s="52" t="s">
        <v>203</v>
      </c>
      <c r="G835" s="52" t="s">
        <v>217</v>
      </c>
      <c r="H835" s="53">
        <v>88.003218647946028</v>
      </c>
      <c r="I835" s="53">
        <v>0</v>
      </c>
      <c r="J835" s="54">
        <v>88.003218647946028</v>
      </c>
      <c r="K835" s="53">
        <v>34.15711896113126</v>
      </c>
      <c r="L835" s="53">
        <v>17.799294979777883</v>
      </c>
      <c r="M835" s="54">
        <v>51.956413940909144</v>
      </c>
      <c r="N835" s="53">
        <v>11.481331000070051</v>
      </c>
      <c r="O835" s="53">
        <v>134.2844895615618</v>
      </c>
      <c r="P835" s="53">
        <v>27.644579690169053</v>
      </c>
      <c r="Q835" s="53">
        <v>23.351890976818179</v>
      </c>
      <c r="R835" s="53">
        <v>110.81560907731419</v>
      </c>
      <c r="S835" s="53">
        <v>76.042319343749469</v>
      </c>
      <c r="T835" s="53">
        <v>76.460008610524753</v>
      </c>
      <c r="U835" s="53">
        <v>29.172283208398017</v>
      </c>
      <c r="V835" s="54">
        <v>489.25251146860552</v>
      </c>
      <c r="W835" s="54">
        <v>637.51006447312079</v>
      </c>
      <c r="X835" s="53">
        <v>65.617477730388245</v>
      </c>
      <c r="Y835" s="55">
        <v>702.99695616831809</v>
      </c>
      <c r="Z835" s="17" t="str">
        <f>SUBSTITUTE(SUBSTITUTE(SUBSTITUTE(SUBSTITUTE(IF(E835="","",VLOOKUP(E835,[1]Esquemas_NORM!$A$2:$H$126,8,FALSE)),"PROVINCIA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35" s="17" t="str">
        <f>IF($E835="","",INDEX([1]Esquemas_NORM!$H$2:$K$126,MATCH($E835,[1]Esquemas_NORM!$A$2:$A$126,0),MATCH(AA$4,[1]Esquemas_NORM!$H$1:$K$1,0)))</f>
        <v>A la fecha no ha conformado un EAT Región</v>
      </c>
      <c r="AB835" s="17" t="str">
        <f>IF($E835="","",INDEX([1]Esquemas_NORM!$H$2:$K$126,MATCH($E835,[1]Esquemas_NORM!$A$2:$A$126,0),MATCH(AB$4,[1]Esquemas_NORM!$H$1:$K$1,0)))</f>
        <v>A la fecha no ha conformado un EAT Área Metropolitana</v>
      </c>
      <c r="AC835" s="17" t="str">
        <f>IF($E835="","",INDEX([1]Esquemas_NORM!$H$2:$K$126,MATCH($E835,[1]Esquemas_NORM!$A$2:$A$126,0),MATCH(AC$4,[1]Esquemas_NORM!$H$1:$K$1,0)))</f>
        <v>MUNICIPIOS ASOCIADOS DEL ALTIPLANO DEL ORIENTE ANTIOQUEÑO - MASORA</v>
      </c>
      <c r="AD835" s="23"/>
    </row>
    <row r="836" spans="1:30" x14ac:dyDescent="0.25">
      <c r="A836" s="51">
        <v>2021</v>
      </c>
      <c r="B836" s="52" t="s">
        <v>36</v>
      </c>
      <c r="C836" s="52" t="s">
        <v>200</v>
      </c>
      <c r="D836" s="52" t="s">
        <v>205</v>
      </c>
      <c r="E836" s="52" t="s">
        <v>218</v>
      </c>
      <c r="F836" s="52" t="s">
        <v>203</v>
      </c>
      <c r="G836" s="52" t="s">
        <v>219</v>
      </c>
      <c r="H836" s="53">
        <v>230.42005841760994</v>
      </c>
      <c r="I836" s="53">
        <v>0</v>
      </c>
      <c r="J836" s="54">
        <v>230.42005841760994</v>
      </c>
      <c r="K836" s="53">
        <v>22.034021134638543</v>
      </c>
      <c r="L836" s="53">
        <v>10.541369703583305</v>
      </c>
      <c r="M836" s="54">
        <v>32.57539083822185</v>
      </c>
      <c r="N836" s="53">
        <v>2.3222733253294003</v>
      </c>
      <c r="O836" s="53">
        <v>31.393482472642241</v>
      </c>
      <c r="P836" s="53">
        <v>11.0180260023233</v>
      </c>
      <c r="Q836" s="53">
        <v>4.6336615707041746</v>
      </c>
      <c r="R836" s="53">
        <v>36.002419258923702</v>
      </c>
      <c r="S836" s="53">
        <v>18.941887995352452</v>
      </c>
      <c r="T836" s="53">
        <v>22.712438131274684</v>
      </c>
      <c r="U836" s="53">
        <v>7.6801713558841378</v>
      </c>
      <c r="V836" s="54">
        <v>134.70436011243407</v>
      </c>
      <c r="W836" s="54">
        <v>451.70539080895907</v>
      </c>
      <c r="X836" s="53">
        <v>46.493020383329004</v>
      </c>
      <c r="Y836" s="55">
        <v>498.10588494156963</v>
      </c>
      <c r="Z836" s="17" t="str">
        <f>SUBSTITUTE(SUBSTITUTE(SUBSTITUTE(SUBSTITUTE(IF(E836="","",VLOOKUP(E836,[1]Esquemas_NORM!$A$2:$H$126,8,FALSE)),"PROVINCIA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36" s="17" t="str">
        <f>IF($E836="","",INDEX([1]Esquemas_NORM!$H$2:$K$126,MATCH($E836,[1]Esquemas_NORM!$A$2:$A$126,0),MATCH(AA$4,[1]Esquemas_NORM!$H$1:$K$1,0)))</f>
        <v>A la fecha no ha conformado un EAT Región</v>
      </c>
      <c r="AB836" s="17" t="str">
        <f>IF($E836="","",INDEX([1]Esquemas_NORM!$H$2:$K$126,MATCH($E836,[1]Esquemas_NORM!$A$2:$A$126,0),MATCH(AB$4,[1]Esquemas_NORM!$H$1:$K$1,0)))</f>
        <v>A la fecha no ha conformado un EAT Área Metropolitana</v>
      </c>
      <c r="AC836" s="17" t="str">
        <f>IF($E836="","",INDEX([1]Esquemas_NORM!$H$2:$K$126,MATCH($E836,[1]Esquemas_NORM!$A$2:$A$126,0),MATCH(AC$4,[1]Esquemas_NORM!$H$1:$K$1,0)))</f>
        <v>A la fecha no ha conformado un EAT asociación - unión</v>
      </c>
      <c r="AD836" s="23"/>
    </row>
    <row r="837" spans="1:30" x14ac:dyDescent="0.25">
      <c r="A837" s="51">
        <v>2021</v>
      </c>
      <c r="B837" s="52" t="s">
        <v>36</v>
      </c>
      <c r="C837" s="52" t="s">
        <v>200</v>
      </c>
      <c r="D837" s="52" t="s">
        <v>215</v>
      </c>
      <c r="E837" s="52" t="s">
        <v>220</v>
      </c>
      <c r="F837" s="52" t="s">
        <v>203</v>
      </c>
      <c r="G837" s="52" t="s">
        <v>221</v>
      </c>
      <c r="H837" s="53">
        <v>55.170439158936944</v>
      </c>
      <c r="I837" s="53">
        <v>0.72732947499985789</v>
      </c>
      <c r="J837" s="54">
        <v>55.897768633936799</v>
      </c>
      <c r="K837" s="53">
        <v>34.286034550306212</v>
      </c>
      <c r="L837" s="53">
        <v>6.8184162488624427</v>
      </c>
      <c r="M837" s="54">
        <v>41.104450799168653</v>
      </c>
      <c r="N837" s="53">
        <v>10.981344178044692</v>
      </c>
      <c r="O837" s="53">
        <v>98.661193753508016</v>
      </c>
      <c r="P837" s="53">
        <v>20.204964132024884</v>
      </c>
      <c r="Q837" s="53">
        <v>11.478683687858309</v>
      </c>
      <c r="R837" s="53">
        <v>77.523476425216018</v>
      </c>
      <c r="S837" s="53">
        <v>59.971642431394201</v>
      </c>
      <c r="T837" s="53">
        <v>64.328297400811735</v>
      </c>
      <c r="U837" s="53">
        <v>16.787142003564092</v>
      </c>
      <c r="V837" s="54">
        <v>359.93674401242197</v>
      </c>
      <c r="W837" s="54">
        <v>462.30887431751154</v>
      </c>
      <c r="X837" s="53">
        <v>47.584413102810913</v>
      </c>
      <c r="Y837" s="55">
        <v>509.79858917743201</v>
      </c>
      <c r="Z837" s="17" t="str">
        <f>SUBSTITUTE(SUBSTITUTE(SUBSTITUTE(SUBSTITUTE(IF(E837="","",VLOOKUP(E837,[1]Esquemas_NORM!$A$2:$H$126,8,FALSE)),"PROVINCIA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37" s="17" t="str">
        <f>IF($E837="","",INDEX([1]Esquemas_NORM!$H$2:$K$126,MATCH($E837,[1]Esquemas_NORM!$A$2:$A$126,0),MATCH(AA$4,[1]Esquemas_NORM!$H$1:$K$1,0)))</f>
        <v>A la fecha no ha conformado un EAT Región</v>
      </c>
      <c r="AB837" s="17" t="str">
        <f>IF($E837="","",INDEX([1]Esquemas_NORM!$H$2:$K$126,MATCH($E837,[1]Esquemas_NORM!$A$2:$A$126,0),MATCH(AB$4,[1]Esquemas_NORM!$H$1:$K$1,0)))</f>
        <v>A la fecha no ha conformado un EAT Área Metropolitana</v>
      </c>
      <c r="AC837" s="17" t="str">
        <f>IF($E837="","",INDEX([1]Esquemas_NORM!$H$2:$K$126,MATCH($E837,[1]Esquemas_NORM!$A$2:$A$126,0),MATCH(AC$4,[1]Esquemas_NORM!$H$1:$K$1,0)))</f>
        <v>MUNICIPIOS ASOCIADOS DEL ALTIPLANO DEL ORIENTE ANTIOQUEÑO - MASORA</v>
      </c>
      <c r="AD837" s="23"/>
    </row>
    <row r="838" spans="1:30" x14ac:dyDescent="0.25">
      <c r="A838" s="51">
        <v>2021</v>
      </c>
      <c r="B838" s="52" t="s">
        <v>36</v>
      </c>
      <c r="C838" s="52" t="s">
        <v>200</v>
      </c>
      <c r="D838" s="52" t="s">
        <v>215</v>
      </c>
      <c r="E838" s="52" t="s">
        <v>222</v>
      </c>
      <c r="F838" s="52" t="s">
        <v>203</v>
      </c>
      <c r="G838" s="52" t="s">
        <v>223</v>
      </c>
      <c r="H838" s="53">
        <v>106.09646635898343</v>
      </c>
      <c r="I838" s="53">
        <v>0</v>
      </c>
      <c r="J838" s="54">
        <v>106.09646635898343</v>
      </c>
      <c r="K838" s="53">
        <v>29.056709130945091</v>
      </c>
      <c r="L838" s="53">
        <v>10.608157318353731</v>
      </c>
      <c r="M838" s="54">
        <v>39.66486644929882</v>
      </c>
      <c r="N838" s="53">
        <v>4.8013778076110016</v>
      </c>
      <c r="O838" s="53">
        <v>71.70105059647328</v>
      </c>
      <c r="P838" s="53">
        <v>12.723825362223428</v>
      </c>
      <c r="Q838" s="53">
        <v>12.258101462413197</v>
      </c>
      <c r="R838" s="53">
        <v>47.84815031207652</v>
      </c>
      <c r="S838" s="53">
        <v>38.304158356096821</v>
      </c>
      <c r="T838" s="53">
        <v>49.782987717374411</v>
      </c>
      <c r="U838" s="53">
        <v>11.977894709757663</v>
      </c>
      <c r="V838" s="54">
        <v>249.39754632402634</v>
      </c>
      <c r="W838" s="54">
        <v>415.23143537677282</v>
      </c>
      <c r="X838" s="53">
        <v>42.738838148882401</v>
      </c>
      <c r="Y838" s="55">
        <v>457.88521851263744</v>
      </c>
      <c r="Z838" s="17" t="str">
        <f>SUBSTITUTE(SUBSTITUTE(SUBSTITUTE(SUBSTITUTE(IF(E838="","",VLOOKUP(E838,[1]Esquemas_NORM!$A$2:$H$126,8,FALSE)),"PROVINCIA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38" s="17" t="str">
        <f>IF($E838="","",INDEX([1]Esquemas_NORM!$H$2:$K$126,MATCH($E838,[1]Esquemas_NORM!$A$2:$A$126,0),MATCH(AA$4,[1]Esquemas_NORM!$H$1:$K$1,0)))</f>
        <v>Región de Planeación y Gestión Aeroportuaria de Oriente</v>
      </c>
      <c r="AB838" s="17" t="str">
        <f>IF($E838="","",INDEX([1]Esquemas_NORM!$H$2:$K$126,MATCH($E838,[1]Esquemas_NORM!$A$2:$A$126,0),MATCH(AB$4,[1]Esquemas_NORM!$H$1:$K$1,0)))</f>
        <v>A la fecha no ha conformado un EAT Área Metropolitana</v>
      </c>
      <c r="AC838" s="17" t="str">
        <f>IF($E838="","",INDEX([1]Esquemas_NORM!$H$2:$K$126,MATCH($E838,[1]Esquemas_NORM!$A$2:$A$126,0),MATCH(AC$4,[1]Esquemas_NORM!$H$1:$K$1,0)))</f>
        <v>MUNICIPIOS ASOCIADOS DEL ALTIPLANO DEL ORIENTE ANTIOQUEÑO - MASORA</v>
      </c>
      <c r="AD838" s="23"/>
    </row>
    <row r="839" spans="1:30" x14ac:dyDescent="0.25">
      <c r="A839" s="51">
        <v>2021</v>
      </c>
      <c r="B839" s="52" t="s">
        <v>36</v>
      </c>
      <c r="C839" s="52" t="s">
        <v>200</v>
      </c>
      <c r="D839" s="52" t="s">
        <v>205</v>
      </c>
      <c r="E839" s="52" t="s">
        <v>224</v>
      </c>
      <c r="F839" s="52" t="s">
        <v>203</v>
      </c>
      <c r="G839" s="52" t="s">
        <v>225</v>
      </c>
      <c r="H839" s="53">
        <v>15.912794908779174</v>
      </c>
      <c r="I839" s="53">
        <v>0</v>
      </c>
      <c r="J839" s="54">
        <v>15.912794908779174</v>
      </c>
      <c r="K839" s="53">
        <v>3.950713678299548</v>
      </c>
      <c r="L839" s="53">
        <v>2.2214462282496954</v>
      </c>
      <c r="M839" s="54">
        <v>6.1721599065492434</v>
      </c>
      <c r="N839" s="53">
        <v>2.6961565340252762</v>
      </c>
      <c r="O839" s="53">
        <v>10.481088266911033</v>
      </c>
      <c r="P839" s="53">
        <v>4.4193973944369374</v>
      </c>
      <c r="Q839" s="53">
        <v>2.0828853294793914</v>
      </c>
      <c r="R839" s="53">
        <v>13.993353550315762</v>
      </c>
      <c r="S839" s="53">
        <v>7.2898786478208546</v>
      </c>
      <c r="T839" s="53">
        <v>12.126738161055968</v>
      </c>
      <c r="U839" s="53">
        <v>3.252486397226416</v>
      </c>
      <c r="V839" s="54">
        <v>56.341984281271635</v>
      </c>
      <c r="W839" s="54">
        <v>80.648122750257016</v>
      </c>
      <c r="X839" s="53">
        <v>8.300929967180199</v>
      </c>
      <c r="Y839" s="55">
        <v>88.932532949071984</v>
      </c>
      <c r="Z839" s="17" t="str">
        <f>SUBSTITUTE(SUBSTITUTE(SUBSTITUTE(SUBSTITUTE(IF(E839="","",VLOOKUP(E839,[1]Esquemas_NORM!$A$2:$H$126,8,FALSE)),"PROVINCIA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39" s="17" t="str">
        <f>IF($E839="","",INDEX([1]Esquemas_NORM!$H$2:$K$126,MATCH($E839,[1]Esquemas_NORM!$A$2:$A$126,0),MATCH(AA$4,[1]Esquemas_NORM!$H$1:$K$1,0)))</f>
        <v>A la fecha no ha conformado un EAT Región</v>
      </c>
      <c r="AB839" s="17" t="str">
        <f>IF($E839="","",INDEX([1]Esquemas_NORM!$H$2:$K$126,MATCH($E839,[1]Esquemas_NORM!$A$2:$A$126,0),MATCH(AB$4,[1]Esquemas_NORM!$H$1:$K$1,0)))</f>
        <v>A la fecha no ha conformado un EAT Área Metropolitana</v>
      </c>
      <c r="AC839" s="17" t="str">
        <f>IF($E839="","",INDEX([1]Esquemas_NORM!$H$2:$K$126,MATCH($E839,[1]Esquemas_NORM!$A$2:$A$126,0),MATCH(AC$4,[1]Esquemas_NORM!$H$1:$K$1,0)))</f>
        <v>A la fecha no ha conformado un EAT asociación - unión</v>
      </c>
      <c r="AD839" s="23"/>
    </row>
    <row r="840" spans="1:30" x14ac:dyDescent="0.25">
      <c r="A840" s="51">
        <v>2021</v>
      </c>
      <c r="B840" s="52" t="s">
        <v>36</v>
      </c>
      <c r="C840" s="52" t="s">
        <v>200</v>
      </c>
      <c r="D840" s="52" t="s">
        <v>215</v>
      </c>
      <c r="E840" s="52" t="s">
        <v>226</v>
      </c>
      <c r="F840" s="52" t="s">
        <v>203</v>
      </c>
      <c r="G840" s="52" t="s">
        <v>227</v>
      </c>
      <c r="H840" s="53">
        <v>51.664556539042444</v>
      </c>
      <c r="I840" s="53">
        <v>0</v>
      </c>
      <c r="J840" s="54">
        <v>51.664556539042444</v>
      </c>
      <c r="K840" s="53">
        <v>478.26555681489407</v>
      </c>
      <c r="L840" s="53">
        <v>235.050088226676</v>
      </c>
      <c r="M840" s="54">
        <v>713.31564504157006</v>
      </c>
      <c r="N840" s="53">
        <v>21.156163840569437</v>
      </c>
      <c r="O840" s="53">
        <v>177.75880693065631</v>
      </c>
      <c r="P840" s="53">
        <v>27.66075378855329</v>
      </c>
      <c r="Q840" s="53">
        <v>20.10943630233351</v>
      </c>
      <c r="R840" s="53">
        <v>114.97394648411797</v>
      </c>
      <c r="S840" s="53">
        <v>69.728820490082725</v>
      </c>
      <c r="T840" s="53">
        <v>55.55287450182491</v>
      </c>
      <c r="U840" s="53">
        <v>27.891814962828306</v>
      </c>
      <c r="V840" s="54">
        <v>514.83261730096649</v>
      </c>
      <c r="W840" s="54">
        <v>1220.5551811464125</v>
      </c>
      <c r="X840" s="53">
        <v>125.62900082802446</v>
      </c>
      <c r="Y840" s="55">
        <v>1345.9341663735559</v>
      </c>
      <c r="Z840" s="17" t="str">
        <f>SUBSTITUTE(SUBSTITUTE(SUBSTITUTE(SUBSTITUTE(IF(E840="","",VLOOKUP(E840,[1]Esquemas_NORM!$A$2:$H$126,8,FALSE)),"PROVINCIA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40" s="17" t="str">
        <f>IF($E840="","",INDEX([1]Esquemas_NORM!$H$2:$K$126,MATCH($E840,[1]Esquemas_NORM!$A$2:$A$126,0),MATCH(AA$4,[1]Esquemas_NORM!$H$1:$K$1,0)))</f>
        <v>A la fecha no ha conformado un EAT Región</v>
      </c>
      <c r="AB840" s="17" t="str">
        <f>IF($E840="","",INDEX([1]Esquemas_NORM!$H$2:$K$126,MATCH($E840,[1]Esquemas_NORM!$A$2:$A$126,0),MATCH(AB$4,[1]Esquemas_NORM!$H$1:$K$1,0)))</f>
        <v>A la fecha no ha conformado un EAT Área Metropolitana</v>
      </c>
      <c r="AC840" s="17" t="str">
        <f>IF($E840="","",INDEX([1]Esquemas_NORM!$H$2:$K$126,MATCH($E840,[1]Esquemas_NORM!$A$2:$A$126,0),MATCH(AC$4,[1]Esquemas_NORM!$H$1:$K$1,0)))</f>
        <v>MUNICIPIOS ASOCIADOS DEL ALTIPLANO DEL ORIENTE ANTIOQUEÑO - MASORA</v>
      </c>
      <c r="AD840" s="23"/>
    </row>
    <row r="841" spans="1:30" x14ac:dyDescent="0.25">
      <c r="A841" s="51">
        <v>2021</v>
      </c>
      <c r="B841" s="52" t="s">
        <v>36</v>
      </c>
      <c r="C841" s="52" t="s">
        <v>200</v>
      </c>
      <c r="D841" s="52" t="s">
        <v>205</v>
      </c>
      <c r="E841" s="52" t="s">
        <v>228</v>
      </c>
      <c r="F841" s="52" t="s">
        <v>203</v>
      </c>
      <c r="G841" s="52" t="s">
        <v>229</v>
      </c>
      <c r="H841" s="53">
        <v>2.6548665121408961</v>
      </c>
      <c r="I841" s="53">
        <v>0</v>
      </c>
      <c r="J841" s="54">
        <v>2.6548665121408961</v>
      </c>
      <c r="K841" s="53">
        <v>12.122738008637711</v>
      </c>
      <c r="L841" s="53">
        <v>11.246835277517196</v>
      </c>
      <c r="M841" s="54">
        <v>23.369573286154907</v>
      </c>
      <c r="N841" s="53">
        <v>6.6902800586856577</v>
      </c>
      <c r="O841" s="53">
        <v>110.39685951707517</v>
      </c>
      <c r="P841" s="53">
        <v>11.172523737908259</v>
      </c>
      <c r="Q841" s="53">
        <v>6.8610503573548565</v>
      </c>
      <c r="R841" s="53">
        <v>63.447955760748101</v>
      </c>
      <c r="S841" s="53">
        <v>42.835404134932368</v>
      </c>
      <c r="T841" s="53">
        <v>65.784782148443512</v>
      </c>
      <c r="U841" s="53">
        <v>12.53185539542428</v>
      </c>
      <c r="V841" s="54">
        <v>319.72071111057215</v>
      </c>
      <c r="W841" s="54">
        <v>341.35009925303689</v>
      </c>
      <c r="X841" s="53">
        <v>35.134398316530493</v>
      </c>
      <c r="Y841" s="55">
        <v>376.41457623254496</v>
      </c>
      <c r="Z841" s="17" t="str">
        <f>SUBSTITUTE(SUBSTITUTE(SUBSTITUTE(SUBSTITUTE(IF(E841="","",VLOOKUP(E841,[1]Esquemas_NORM!$A$2:$H$126,8,FALSE)),"PROVINCIA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41" s="17" t="str">
        <f>IF($E841="","",INDEX([1]Esquemas_NORM!$H$2:$K$126,MATCH($E841,[1]Esquemas_NORM!$A$2:$A$126,0),MATCH(AA$4,[1]Esquemas_NORM!$H$1:$K$1,0)))</f>
        <v>A la fecha no ha conformado un EAT Región</v>
      </c>
      <c r="AB841" s="17" t="str">
        <f>IF($E841="","",INDEX([1]Esquemas_NORM!$H$2:$K$126,MATCH($E841,[1]Esquemas_NORM!$A$2:$A$126,0),MATCH(AB$4,[1]Esquemas_NORM!$H$1:$K$1,0)))</f>
        <v>A la fecha no ha conformado un EAT Área Metropolitana</v>
      </c>
      <c r="AC841" s="17" t="str">
        <f>IF($E841="","",INDEX([1]Esquemas_NORM!$H$2:$K$126,MATCH($E841,[1]Esquemas_NORM!$A$2:$A$126,0),MATCH(AC$4,[1]Esquemas_NORM!$H$1:$K$1,0)))</f>
        <v>A la fecha no ha conformado un EAT asociación - unión</v>
      </c>
      <c r="AD841" s="23"/>
    </row>
    <row r="842" spans="1:30" x14ac:dyDescent="0.25">
      <c r="A842" s="51">
        <v>2021</v>
      </c>
      <c r="B842" s="52" t="s">
        <v>36</v>
      </c>
      <c r="C842" s="52" t="s">
        <v>200</v>
      </c>
      <c r="D842" s="52" t="s">
        <v>215</v>
      </c>
      <c r="E842" s="52" t="s">
        <v>230</v>
      </c>
      <c r="F842" s="52" t="s">
        <v>203</v>
      </c>
      <c r="G842" s="52" t="s">
        <v>231</v>
      </c>
      <c r="H842" s="53">
        <v>44.377776859762562</v>
      </c>
      <c r="I842" s="53">
        <v>0.17739473634022584</v>
      </c>
      <c r="J842" s="54">
        <v>44.555171596102788</v>
      </c>
      <c r="K842" s="53">
        <v>69.343979658064768</v>
      </c>
      <c r="L842" s="53">
        <v>36.081727408489058</v>
      </c>
      <c r="M842" s="54">
        <v>105.42570706655383</v>
      </c>
      <c r="N842" s="53">
        <v>17.343129175676015</v>
      </c>
      <c r="O842" s="53">
        <v>219.89909458243719</v>
      </c>
      <c r="P842" s="53">
        <v>41.129037293453273</v>
      </c>
      <c r="Q842" s="53">
        <v>44.61002263012746</v>
      </c>
      <c r="R842" s="53">
        <v>145.37832667852504</v>
      </c>
      <c r="S842" s="53">
        <v>95.167152237911694</v>
      </c>
      <c r="T842" s="53">
        <v>75.825403187613261</v>
      </c>
      <c r="U842" s="53">
        <v>33.925463684512643</v>
      </c>
      <c r="V842" s="54">
        <v>673.27762947025667</v>
      </c>
      <c r="W842" s="54">
        <v>815.16593507195842</v>
      </c>
      <c r="X842" s="53">
        <v>83.903197097528349</v>
      </c>
      <c r="Y842" s="55">
        <v>898.90215553113148</v>
      </c>
      <c r="Z842" s="17" t="str">
        <f>SUBSTITUTE(SUBSTITUTE(SUBSTITUTE(SUBSTITUTE(IF(E842="","",VLOOKUP(E842,[1]Esquemas_NORM!$A$2:$H$126,8,FALSE)),"PROVINCIA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42" s="17" t="str">
        <f>IF($E842="","",INDEX([1]Esquemas_NORM!$H$2:$K$126,MATCH($E842,[1]Esquemas_NORM!$A$2:$A$126,0),MATCH(AA$4,[1]Esquemas_NORM!$H$1:$K$1,0)))</f>
        <v>Región de Planeación y Gestión Aeroportuaria de Oriente</v>
      </c>
      <c r="AB842" s="17" t="str">
        <f>IF($E842="","",INDEX([1]Esquemas_NORM!$H$2:$K$126,MATCH($E842,[1]Esquemas_NORM!$A$2:$A$126,0),MATCH(AB$4,[1]Esquemas_NORM!$H$1:$K$1,0)))</f>
        <v>A la fecha no ha conformado un EAT Área Metropolitana</v>
      </c>
      <c r="AC842" s="17" t="str">
        <f>IF($E842="","",INDEX([1]Esquemas_NORM!$H$2:$K$126,MATCH($E842,[1]Esquemas_NORM!$A$2:$A$126,0),MATCH(AC$4,[1]Esquemas_NORM!$H$1:$K$1,0)))</f>
        <v>MUNICIPIOS ASOCIADOS DEL ALTIPLANO DEL ORIENTE ANTIOQUEÑO - MASORA</v>
      </c>
      <c r="AD842" s="23"/>
    </row>
    <row r="843" spans="1:30" x14ac:dyDescent="0.25">
      <c r="A843" s="51">
        <v>2021</v>
      </c>
      <c r="B843" s="52" t="s">
        <v>36</v>
      </c>
      <c r="C843" s="52" t="s">
        <v>200</v>
      </c>
      <c r="D843" s="52" t="s">
        <v>215</v>
      </c>
      <c r="E843" s="52" t="s">
        <v>232</v>
      </c>
      <c r="F843" s="52" t="s">
        <v>203</v>
      </c>
      <c r="G843" s="52" t="s">
        <v>233</v>
      </c>
      <c r="H843" s="53">
        <v>36.937683803594304</v>
      </c>
      <c r="I843" s="53">
        <v>0.15536608550032149</v>
      </c>
      <c r="J843" s="54">
        <v>37.093049889094623</v>
      </c>
      <c r="K843" s="53">
        <v>26.320036979808336</v>
      </c>
      <c r="L843" s="53">
        <v>9.1695718021739605</v>
      </c>
      <c r="M843" s="54">
        <v>35.489608781982298</v>
      </c>
      <c r="N843" s="53">
        <v>4.5636961166237509</v>
      </c>
      <c r="O843" s="53">
        <v>55.814780275377167</v>
      </c>
      <c r="P843" s="53">
        <v>8.3113187447409977</v>
      </c>
      <c r="Q843" s="53">
        <v>10.481243271924981</v>
      </c>
      <c r="R843" s="53">
        <v>32.414388491321091</v>
      </c>
      <c r="S843" s="53">
        <v>28.885727716154861</v>
      </c>
      <c r="T843" s="53">
        <v>35.928602976682654</v>
      </c>
      <c r="U843" s="53">
        <v>10.188991734724286</v>
      </c>
      <c r="V843" s="54">
        <v>186.58874932754978</v>
      </c>
      <c r="W843" s="54">
        <v>263.10510722354996</v>
      </c>
      <c r="X843" s="53">
        <v>27.080817191899907</v>
      </c>
      <c r="Y843" s="55">
        <v>290.13203059524926</v>
      </c>
      <c r="Z843" s="17" t="str">
        <f>SUBSTITUTE(SUBSTITUTE(SUBSTITUTE(SUBSTITUTE(IF(E843="","",VLOOKUP(E843,[1]Esquemas_NORM!$A$2:$H$126,8,FALSE)),"PROVINCIA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843" s="17" t="str">
        <f>IF($E843="","",INDEX([1]Esquemas_NORM!$H$2:$K$126,MATCH($E843,[1]Esquemas_NORM!$A$2:$A$126,0),MATCH(AA$4,[1]Esquemas_NORM!$H$1:$K$1,0)))</f>
        <v>Región de Planeación y Gestión Aeroportuaria de Oriente</v>
      </c>
      <c r="AB843" s="17" t="str">
        <f>IF($E843="","",INDEX([1]Esquemas_NORM!$H$2:$K$126,MATCH($E843,[1]Esquemas_NORM!$A$2:$A$126,0),MATCH(AB$4,[1]Esquemas_NORM!$H$1:$K$1,0)))</f>
        <v>A la fecha no ha conformado un EAT Área Metropolitana</v>
      </c>
      <c r="AC843" s="17" t="str">
        <f>IF($E843="","",INDEX([1]Esquemas_NORM!$H$2:$K$126,MATCH($E843,[1]Esquemas_NORM!$A$2:$A$126,0),MATCH(AC$4,[1]Esquemas_NORM!$H$1:$K$1,0)))</f>
        <v>MUNICIPIOS ASOCIADOS DEL ALTIPLANO DEL ORIENTE ANTIOQUEÑO - MASORA</v>
      </c>
      <c r="AD843" s="23"/>
    </row>
    <row r="844" spans="1:30" x14ac:dyDescent="0.25">
      <c r="A844" s="51">
        <v>2021</v>
      </c>
      <c r="B844" s="52" t="s">
        <v>36</v>
      </c>
      <c r="C844" s="52" t="s">
        <v>200</v>
      </c>
      <c r="D844" s="52" t="s">
        <v>215</v>
      </c>
      <c r="E844" s="52" t="s">
        <v>234</v>
      </c>
      <c r="F844" s="52" t="s">
        <v>203</v>
      </c>
      <c r="G844" s="52" t="s">
        <v>235</v>
      </c>
      <c r="H844" s="53">
        <v>155.03968292469867</v>
      </c>
      <c r="I844" s="53">
        <v>0.98976668934054934</v>
      </c>
      <c r="J844" s="54">
        <v>156.02944961403921</v>
      </c>
      <c r="K844" s="53">
        <v>317.24702740947089</v>
      </c>
      <c r="L844" s="53">
        <v>198.04501097681253</v>
      </c>
      <c r="M844" s="54">
        <v>515.29203838628337</v>
      </c>
      <c r="N844" s="53">
        <v>31.308758822260497</v>
      </c>
      <c r="O844" s="53">
        <v>165.04763802579095</v>
      </c>
      <c r="P844" s="53">
        <v>39.406809186920071</v>
      </c>
      <c r="Q844" s="53">
        <v>26.939346032076479</v>
      </c>
      <c r="R844" s="53">
        <v>103.77242418768365</v>
      </c>
      <c r="S844" s="53">
        <v>82.253404379886518</v>
      </c>
      <c r="T844" s="53">
        <v>90.325908119100589</v>
      </c>
      <c r="U844" s="53">
        <v>29.019767163245209</v>
      </c>
      <c r="V844" s="54">
        <v>568.07405591696397</v>
      </c>
      <c r="W844" s="54">
        <v>1225.545749945833</v>
      </c>
      <c r="X844" s="53">
        <v>126.14266885512197</v>
      </c>
      <c r="Y844" s="55">
        <v>1351.4373809439096</v>
      </c>
      <c r="Z844" s="17" t="str">
        <f>SUBSTITUTE(SUBSTITUTE(SUBSTITUTE(SUBSTITUTE(IF(E844="","",VLOOKUP(E844,[1]Esquemas_NORM!$A$2:$H$126,8,FALSE)),"PROVINCIA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44" s="17" t="str">
        <f>IF($E844="","",INDEX([1]Esquemas_NORM!$H$2:$K$126,MATCH($E844,[1]Esquemas_NORM!$A$2:$A$126,0),MATCH(AA$4,[1]Esquemas_NORM!$H$1:$K$1,0)))</f>
        <v>A la fecha no ha conformado un EAT Región</v>
      </c>
      <c r="AB844" s="17" t="str">
        <f>IF($E844="","",INDEX([1]Esquemas_NORM!$H$2:$K$126,MATCH($E844,[1]Esquemas_NORM!$A$2:$A$126,0),MATCH(AB$4,[1]Esquemas_NORM!$H$1:$K$1,0)))</f>
        <v>A la fecha no ha conformado un EAT Área Metropolitana</v>
      </c>
      <c r="AC844" s="17" t="str">
        <f>IF($E844="","",INDEX([1]Esquemas_NORM!$H$2:$K$126,MATCH($E844,[1]Esquemas_NORM!$A$2:$A$126,0),MATCH(AC$4,[1]Esquemas_NORM!$H$1:$K$1,0)))</f>
        <v>MUNICIPIOS ASOCIADOS DEL ALTIPLANO DEL ORIENTE ANTIOQUEÑO - MASORA</v>
      </c>
      <c r="AD844" s="23"/>
    </row>
    <row r="845" spans="1:30" x14ac:dyDescent="0.25">
      <c r="A845" s="51">
        <v>2021</v>
      </c>
      <c r="B845" s="52" t="s">
        <v>36</v>
      </c>
      <c r="C845" s="52" t="s">
        <v>200</v>
      </c>
      <c r="D845" s="52" t="s">
        <v>201</v>
      </c>
      <c r="E845" s="52" t="s">
        <v>236</v>
      </c>
      <c r="F845" s="52" t="s">
        <v>203</v>
      </c>
      <c r="G845" s="52" t="s">
        <v>237</v>
      </c>
      <c r="H845" s="53">
        <v>31.640501133018844</v>
      </c>
      <c r="I845" s="53">
        <v>0</v>
      </c>
      <c r="J845" s="54">
        <v>31.640501133018844</v>
      </c>
      <c r="K845" s="53">
        <v>2.2102368065577975</v>
      </c>
      <c r="L845" s="53">
        <v>5.7561860690312923</v>
      </c>
      <c r="M845" s="54">
        <v>7.9664228755890898</v>
      </c>
      <c r="N845" s="53">
        <v>0.54575910679948247</v>
      </c>
      <c r="O845" s="53">
        <v>12.725278234772196</v>
      </c>
      <c r="P845" s="53">
        <v>2.8250365937333499</v>
      </c>
      <c r="Q845" s="53">
        <v>2.3229763014317566</v>
      </c>
      <c r="R845" s="53">
        <v>9.4985849756993641</v>
      </c>
      <c r="S845" s="53">
        <v>9.023189532614678</v>
      </c>
      <c r="T845" s="53">
        <v>19.501994738889085</v>
      </c>
      <c r="U845" s="53">
        <v>3.6619283109889285</v>
      </c>
      <c r="V845" s="54">
        <v>60.104747794928841</v>
      </c>
      <c r="W845" s="54">
        <v>105.6806944944077</v>
      </c>
      <c r="X845" s="53">
        <v>10.877476300318975</v>
      </c>
      <c r="Y845" s="55">
        <v>116.53652341430181</v>
      </c>
      <c r="Z845" s="17" t="str">
        <f>SUBSTITUTE(SUBSTITUTE(SUBSTITUTE(SUBSTITUTE(IF(E845="","",VLOOKUP(E845,[1]Esquemas_NORM!$A$2:$H$126,8,FALSE)),"PROVINCIA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845" s="17" t="str">
        <f>IF($E845="","",INDEX([1]Esquemas_NORM!$H$2:$K$126,MATCH($E845,[1]Esquemas_NORM!$A$2:$A$126,0),MATCH(AA$4,[1]Esquemas_NORM!$H$1:$K$1,0)))</f>
        <v>A la fecha no ha conformado un EAT Región</v>
      </c>
      <c r="AB845" s="17" t="str">
        <f>IF($E845="","",INDEX([1]Esquemas_NORM!$H$2:$K$126,MATCH($E845,[1]Esquemas_NORM!$A$2:$A$126,0),MATCH(AB$4,[1]Esquemas_NORM!$H$1:$K$1,0)))</f>
        <v>A la fecha no ha conformado un EAT Área Metropolitana</v>
      </c>
      <c r="AC845" s="17" t="str">
        <f>IF($E845="","",INDEX([1]Esquemas_NORM!$H$2:$K$126,MATCH($E845,[1]Esquemas_NORM!$A$2:$A$126,0),MATCH(AC$4,[1]Esquemas_NORM!$H$1:$K$1,0)))</f>
        <v>MUNICIPIOS UNIDOS DEL SUR DE ANTIOQUIA - MUSA</v>
      </c>
      <c r="AD845" s="23"/>
    </row>
    <row r="846" spans="1:30" x14ac:dyDescent="0.25">
      <c r="A846" s="51">
        <v>2021</v>
      </c>
      <c r="B846" s="52" t="s">
        <v>36</v>
      </c>
      <c r="C846" s="52" t="s">
        <v>200</v>
      </c>
      <c r="D846" s="52" t="s">
        <v>215</v>
      </c>
      <c r="E846" s="52" t="s">
        <v>238</v>
      </c>
      <c r="F846" s="52" t="s">
        <v>203</v>
      </c>
      <c r="G846" s="52" t="s">
        <v>239</v>
      </c>
      <c r="H846" s="53">
        <v>40.015959966464884</v>
      </c>
      <c r="I846" s="53">
        <v>0.53293184094729107</v>
      </c>
      <c r="J846" s="54">
        <v>40.548891807412176</v>
      </c>
      <c r="K846" s="53">
        <v>1394.0568126945877</v>
      </c>
      <c r="L846" s="53">
        <v>405.05370240352983</v>
      </c>
      <c r="M846" s="54">
        <v>1799.1105150981175</v>
      </c>
      <c r="N846" s="53">
        <v>47.301917657495252</v>
      </c>
      <c r="O846" s="53">
        <v>697.61527777768652</v>
      </c>
      <c r="P846" s="53">
        <v>68.402559243203243</v>
      </c>
      <c r="Q846" s="53">
        <v>87.42701826359486</v>
      </c>
      <c r="R846" s="53">
        <v>246.09382601123718</v>
      </c>
      <c r="S846" s="53">
        <v>244.30464100829161</v>
      </c>
      <c r="T846" s="53">
        <v>309.77959899137664</v>
      </c>
      <c r="U846" s="53">
        <v>60.675626996688152</v>
      </c>
      <c r="V846" s="54">
        <v>1761.6004659495734</v>
      </c>
      <c r="W846" s="54">
        <v>3445.2044223227567</v>
      </c>
      <c r="X846" s="53">
        <v>354.60714592038926</v>
      </c>
      <c r="Y846" s="55">
        <v>3799.1058608182716</v>
      </c>
      <c r="Z846" s="17" t="str">
        <f>SUBSTITUTE(SUBSTITUTE(SUBSTITUTE(SUBSTITUTE(IF(E846="","",VLOOKUP(E846,[1]Esquemas_NORM!$A$2:$H$126,8,FALSE)),"PROVINCIA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46" s="17" t="str">
        <f>IF($E846="","",INDEX([1]Esquemas_NORM!$H$2:$K$126,MATCH($E846,[1]Esquemas_NORM!$A$2:$A$126,0),MATCH(AA$4,[1]Esquemas_NORM!$H$1:$K$1,0)))</f>
        <v>Región de Planeación y Gestión Aeroportuaria de Oriente</v>
      </c>
      <c r="AB846" s="17" t="str">
        <f>IF($E846="","",INDEX([1]Esquemas_NORM!$H$2:$K$126,MATCH($E846,[1]Esquemas_NORM!$A$2:$A$126,0),MATCH(AB$4,[1]Esquemas_NORM!$H$1:$K$1,0)))</f>
        <v>A la fecha no ha conformado un EAT Área Metropolitana</v>
      </c>
      <c r="AC846" s="17" t="str">
        <f>IF($E846="","",INDEX([1]Esquemas_NORM!$H$2:$K$126,MATCH($E846,[1]Esquemas_NORM!$A$2:$A$126,0),MATCH(AC$4,[1]Esquemas_NORM!$H$1:$K$1,0)))</f>
        <v>MUNICIPIOS ASOCIADOS DEL ALTIPLANO DEL ORIENTE ANTIOQUEÑO - MASORA</v>
      </c>
      <c r="AD846" s="23"/>
    </row>
    <row r="847" spans="1:30" x14ac:dyDescent="0.25">
      <c r="A847" s="51">
        <v>2021</v>
      </c>
      <c r="B847" s="52" t="s">
        <v>36</v>
      </c>
      <c r="C847" s="52" t="s">
        <v>200</v>
      </c>
      <c r="D847" s="52" t="s">
        <v>205</v>
      </c>
      <c r="E847" s="52" t="s">
        <v>240</v>
      </c>
      <c r="F847" s="52" t="s">
        <v>203</v>
      </c>
      <c r="G847" s="52" t="s">
        <v>241</v>
      </c>
      <c r="H847" s="53">
        <v>13.592389623530838</v>
      </c>
      <c r="I847" s="53">
        <v>2.5832126188878055</v>
      </c>
      <c r="J847" s="54">
        <v>16.175602242418645</v>
      </c>
      <c r="K847" s="53">
        <v>21.638817024116797</v>
      </c>
      <c r="L847" s="53">
        <v>31.857964208508957</v>
      </c>
      <c r="M847" s="54">
        <v>53.49678123262575</v>
      </c>
      <c r="N847" s="53">
        <v>458.04465759991541</v>
      </c>
      <c r="O847" s="53">
        <v>27.70713904194438</v>
      </c>
      <c r="P847" s="53">
        <v>5.1330942561300734</v>
      </c>
      <c r="Q847" s="53">
        <v>3.8844796797046253</v>
      </c>
      <c r="R847" s="53">
        <v>23.371773914897378</v>
      </c>
      <c r="S847" s="53">
        <v>52.064883023605013</v>
      </c>
      <c r="T847" s="53">
        <v>36.497530453266407</v>
      </c>
      <c r="U847" s="53">
        <v>7.3080455077704736</v>
      </c>
      <c r="V847" s="54">
        <v>614.01160347723373</v>
      </c>
      <c r="W847" s="54">
        <v>783.86586954676648</v>
      </c>
      <c r="X847" s="53">
        <v>80.681551719637326</v>
      </c>
      <c r="Y847" s="55">
        <v>864.38685605852845</v>
      </c>
      <c r="Z847" s="17" t="str">
        <f>SUBSTITUTE(SUBSTITUTE(SUBSTITUTE(SUBSTITUTE(IF(E847="","",VLOOKUP(E847,[1]Esquemas_NORM!$A$2:$H$126,8,FALSE)),"PROVINCIA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47" s="17" t="str">
        <f>IF($E847="","",INDEX([1]Esquemas_NORM!$H$2:$K$126,MATCH($E847,[1]Esquemas_NORM!$A$2:$A$126,0),MATCH(AA$4,[1]Esquemas_NORM!$H$1:$K$1,0)))</f>
        <v>A la fecha no ha conformado un EAT Región</v>
      </c>
      <c r="AB847" s="17" t="str">
        <f>IF($E847="","",INDEX([1]Esquemas_NORM!$H$2:$K$126,MATCH($E847,[1]Esquemas_NORM!$A$2:$A$126,0),MATCH(AB$4,[1]Esquemas_NORM!$H$1:$K$1,0)))</f>
        <v>A la fecha no ha conformado un EAT Área Metropolitana</v>
      </c>
      <c r="AC847" s="17" t="str">
        <f>IF($E847="","",INDEX([1]Esquemas_NORM!$H$2:$K$126,MATCH($E847,[1]Esquemas_NORM!$A$2:$A$126,0),MATCH(AC$4,[1]Esquemas_NORM!$H$1:$K$1,0)))</f>
        <v>A la fecha no ha conformado un EAT asociación - unión</v>
      </c>
      <c r="AD847" s="23"/>
    </row>
    <row r="848" spans="1:30" x14ac:dyDescent="0.25">
      <c r="A848" s="51">
        <v>2021</v>
      </c>
      <c r="B848" s="52" t="s">
        <v>36</v>
      </c>
      <c r="C848" s="52" t="s">
        <v>200</v>
      </c>
      <c r="D848" s="52" t="s">
        <v>210</v>
      </c>
      <c r="E848" s="52" t="s">
        <v>242</v>
      </c>
      <c r="F848" s="52" t="s">
        <v>203</v>
      </c>
      <c r="G848" s="52" t="s">
        <v>243</v>
      </c>
      <c r="H848" s="53">
        <v>5.5481625643988988</v>
      </c>
      <c r="I848" s="53">
        <v>0</v>
      </c>
      <c r="J848" s="54">
        <v>5.5481625643988988</v>
      </c>
      <c r="K848" s="53">
        <v>1.9944096998801097</v>
      </c>
      <c r="L848" s="53">
        <v>2.8454437311184306</v>
      </c>
      <c r="M848" s="54">
        <v>4.8398534309985406</v>
      </c>
      <c r="N848" s="53">
        <v>18.247901103090427</v>
      </c>
      <c r="O848" s="53">
        <v>7.2598776271090353</v>
      </c>
      <c r="P848" s="53">
        <v>1.402527224412458</v>
      </c>
      <c r="Q848" s="53">
        <v>1.0102371479359711</v>
      </c>
      <c r="R848" s="53">
        <v>5.8903866942125003</v>
      </c>
      <c r="S848" s="53">
        <v>5.2938137477699074</v>
      </c>
      <c r="T848" s="53">
        <v>9.9878884786445408</v>
      </c>
      <c r="U848" s="53">
        <v>2.0070062550883256</v>
      </c>
      <c r="V848" s="54">
        <v>51.099638278263171</v>
      </c>
      <c r="W848" s="54">
        <v>65.734629376695366</v>
      </c>
      <c r="X848" s="53">
        <v>6.7659176217156878</v>
      </c>
      <c r="Y848" s="55">
        <v>72.487082074320625</v>
      </c>
      <c r="Z848" s="17" t="str">
        <f>SUBSTITUTE(SUBSTITUTE(SUBSTITUTE(SUBSTITUTE(IF(E848="","",VLOOKUP(E848,[1]Esquemas_NORM!$A$2:$H$126,8,FALSE)),"PROVINCIA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48" s="17" t="str">
        <f>IF($E848="","",INDEX([1]Esquemas_NORM!$H$2:$K$126,MATCH($E848,[1]Esquemas_NORM!$A$2:$A$126,0),MATCH(AA$4,[1]Esquemas_NORM!$H$1:$K$1,0)))</f>
        <v>A la fecha no ha conformado un EAT Región</v>
      </c>
      <c r="AB848" s="17" t="str">
        <f>IF($E848="","",INDEX([1]Esquemas_NORM!$H$2:$K$126,MATCH($E848,[1]Esquemas_NORM!$A$2:$A$126,0),MATCH(AB$4,[1]Esquemas_NORM!$H$1:$K$1,0)))</f>
        <v>A la fecha no ha conformado un EAT Área Metropolitana</v>
      </c>
      <c r="AC848" s="17" t="str">
        <f>IF($E848="","",INDEX([1]Esquemas_NORM!$H$2:$K$126,MATCH($E848,[1]Esquemas_NORM!$A$2:$A$126,0),MATCH(AC$4,[1]Esquemas_NORM!$H$1:$K$1,0)))</f>
        <v>A la fecha no ha conformado un EAT asociación - unión</v>
      </c>
      <c r="AD848" s="23"/>
    </row>
    <row r="849" spans="1:30" x14ac:dyDescent="0.25">
      <c r="A849" s="51">
        <v>2021</v>
      </c>
      <c r="B849" s="52" t="s">
        <v>36</v>
      </c>
      <c r="C849" s="52" t="s">
        <v>200</v>
      </c>
      <c r="D849" s="52" t="s">
        <v>210</v>
      </c>
      <c r="E849" s="52" t="s">
        <v>244</v>
      </c>
      <c r="F849" s="52" t="s">
        <v>203</v>
      </c>
      <c r="G849" s="52" t="s">
        <v>245</v>
      </c>
      <c r="H849" s="53">
        <v>7.5771097068443201</v>
      </c>
      <c r="I849" s="53">
        <v>2.5822592037965078E-3</v>
      </c>
      <c r="J849" s="54">
        <v>7.5796919660481166</v>
      </c>
      <c r="K849" s="53">
        <v>3.0746912377186373</v>
      </c>
      <c r="L849" s="53">
        <v>5.0899358374033508</v>
      </c>
      <c r="M849" s="54">
        <v>8.164627075121988</v>
      </c>
      <c r="N849" s="53">
        <v>1.3545580915525994</v>
      </c>
      <c r="O849" s="53">
        <v>22.05506199226787</v>
      </c>
      <c r="P849" s="53">
        <v>5.6739899031715408</v>
      </c>
      <c r="Q849" s="53">
        <v>3.3374262967794683</v>
      </c>
      <c r="R849" s="53">
        <v>14.029371315232595</v>
      </c>
      <c r="S849" s="53">
        <v>12.751809046431832</v>
      </c>
      <c r="T849" s="53">
        <v>26.193704290381863</v>
      </c>
      <c r="U849" s="53">
        <v>5.9234643792648507</v>
      </c>
      <c r="V849" s="54">
        <v>91.319385315082627</v>
      </c>
      <c r="W849" s="54">
        <v>106.22464185838666</v>
      </c>
      <c r="X849" s="53">
        <v>10.933463579624194</v>
      </c>
      <c r="Y849" s="55">
        <v>117.13634663671051</v>
      </c>
      <c r="Z849" s="17" t="str">
        <f>SUBSTITUTE(SUBSTITUTE(SUBSTITUTE(SUBSTITUTE(IF(E849="","",VLOOKUP(E849,[1]Esquemas_NORM!$A$2:$H$126,8,FALSE)),"PROVINCIA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49" s="17" t="str">
        <f>IF($E849="","",INDEX([1]Esquemas_NORM!$H$2:$K$126,MATCH($E849,[1]Esquemas_NORM!$A$2:$A$126,0),MATCH(AA$4,[1]Esquemas_NORM!$H$1:$K$1,0)))</f>
        <v>A la fecha no ha conformado un EAT Región</v>
      </c>
      <c r="AB849" s="17" t="str">
        <f>IF($E849="","",INDEX([1]Esquemas_NORM!$H$2:$K$126,MATCH($E849,[1]Esquemas_NORM!$A$2:$A$126,0),MATCH(AB$4,[1]Esquemas_NORM!$H$1:$K$1,0)))</f>
        <v>A la fecha no ha conformado un EAT Área Metropolitana</v>
      </c>
      <c r="AC849" s="17" t="str">
        <f>IF($E849="","",INDEX([1]Esquemas_NORM!$H$2:$K$126,MATCH($E849,[1]Esquemas_NORM!$A$2:$A$126,0),MATCH(AC$4,[1]Esquemas_NORM!$H$1:$K$1,0)))</f>
        <v>A la fecha no ha conformado un EAT asociación - unión</v>
      </c>
      <c r="AD849" s="23"/>
    </row>
    <row r="850" spans="1:30" x14ac:dyDescent="0.25">
      <c r="A850" s="51">
        <v>2021</v>
      </c>
      <c r="B850" s="52" t="s">
        <v>36</v>
      </c>
      <c r="C850" s="52" t="s">
        <v>200</v>
      </c>
      <c r="D850" s="52" t="s">
        <v>205</v>
      </c>
      <c r="E850" s="52" t="s">
        <v>246</v>
      </c>
      <c r="F850" s="52" t="s">
        <v>203</v>
      </c>
      <c r="G850" s="52" t="s">
        <v>247</v>
      </c>
      <c r="H850" s="53">
        <v>11.526671652653201</v>
      </c>
      <c r="I850" s="53">
        <v>0.5450887839098173</v>
      </c>
      <c r="J850" s="54">
        <v>12.071760436563018</v>
      </c>
      <c r="K850" s="53">
        <v>5.5217604144697079</v>
      </c>
      <c r="L850" s="53">
        <v>9.3695996988767511</v>
      </c>
      <c r="M850" s="54">
        <v>14.891360113346458</v>
      </c>
      <c r="N850" s="53">
        <v>94.297286146773843</v>
      </c>
      <c r="O850" s="53">
        <v>15.533553845808422</v>
      </c>
      <c r="P850" s="53">
        <v>2.5531653416122051</v>
      </c>
      <c r="Q850" s="53">
        <v>1.7568833625312683</v>
      </c>
      <c r="R850" s="53">
        <v>10.00582805320302</v>
      </c>
      <c r="S850" s="53">
        <v>14.976723299075712</v>
      </c>
      <c r="T850" s="53">
        <v>11.445494571031773</v>
      </c>
      <c r="U850" s="53">
        <v>3.0441418456928329</v>
      </c>
      <c r="V850" s="54">
        <v>153.61307646572908</v>
      </c>
      <c r="W850" s="54">
        <v>202.69068820906423</v>
      </c>
      <c r="X850" s="53">
        <v>20.862496862232081</v>
      </c>
      <c r="Y850" s="55">
        <v>223.51166639603417</v>
      </c>
      <c r="Z850" s="17" t="str">
        <f>SUBSTITUTE(SUBSTITUTE(SUBSTITUTE(SUBSTITUTE(IF(E850="","",VLOOKUP(E850,[1]Esquemas_NORM!$A$2:$H$126,8,FALSE)),"PROVINCIA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50" s="17" t="str">
        <f>IF($E850="","",INDEX([1]Esquemas_NORM!$H$2:$K$126,MATCH($E850,[1]Esquemas_NORM!$A$2:$A$126,0),MATCH(AA$4,[1]Esquemas_NORM!$H$1:$K$1,0)))</f>
        <v>A la fecha no ha conformado un EAT Región</v>
      </c>
      <c r="AB850" s="17" t="str">
        <f>IF($E850="","",INDEX([1]Esquemas_NORM!$H$2:$K$126,MATCH($E850,[1]Esquemas_NORM!$A$2:$A$126,0),MATCH(AB$4,[1]Esquemas_NORM!$H$1:$K$1,0)))</f>
        <v>A la fecha no ha conformado un EAT Área Metropolitana</v>
      </c>
      <c r="AC850" s="17" t="str">
        <f>IF($E850="","",INDEX([1]Esquemas_NORM!$H$2:$K$126,MATCH($E850,[1]Esquemas_NORM!$A$2:$A$126,0),MATCH(AC$4,[1]Esquemas_NORM!$H$1:$K$1,0)))</f>
        <v>A la fecha no ha conformado un EAT asociación - unión</v>
      </c>
      <c r="AD850" s="23"/>
    </row>
    <row r="851" spans="1:30" x14ac:dyDescent="0.25">
      <c r="A851" s="51">
        <v>2021</v>
      </c>
      <c r="B851" s="52" t="s">
        <v>36</v>
      </c>
      <c r="C851" s="52" t="s">
        <v>200</v>
      </c>
      <c r="D851" s="52" t="s">
        <v>215</v>
      </c>
      <c r="E851" s="52" t="s">
        <v>248</v>
      </c>
      <c r="F851" s="52" t="s">
        <v>203</v>
      </c>
      <c r="G851" s="52" t="s">
        <v>249</v>
      </c>
      <c r="H851" s="53">
        <v>87.23329591046641</v>
      </c>
      <c r="I851" s="53">
        <v>0</v>
      </c>
      <c r="J851" s="54">
        <v>87.23329591046641</v>
      </c>
      <c r="K851" s="53">
        <v>13.061355404432287</v>
      </c>
      <c r="L851" s="53">
        <v>6.2081158433913934</v>
      </c>
      <c r="M851" s="54">
        <v>19.269471247823681</v>
      </c>
      <c r="N851" s="53">
        <v>1.6210621858942638</v>
      </c>
      <c r="O851" s="53">
        <v>28.499186477600539</v>
      </c>
      <c r="P851" s="53">
        <v>8.0214444372827689</v>
      </c>
      <c r="Q851" s="53">
        <v>4.5726525089931007</v>
      </c>
      <c r="R851" s="53">
        <v>35.474603962680675</v>
      </c>
      <c r="S851" s="53">
        <v>18.938629192874743</v>
      </c>
      <c r="T851" s="53">
        <v>32.856973556923919</v>
      </c>
      <c r="U851" s="53">
        <v>8.9433959286697835</v>
      </c>
      <c r="V851" s="54">
        <v>138.9279482509198</v>
      </c>
      <c r="W851" s="54">
        <v>262.28954141116594</v>
      </c>
      <c r="X851" s="53">
        <v>26.996872836341797</v>
      </c>
      <c r="Y851" s="55">
        <v>289.23268748585491</v>
      </c>
      <c r="Z851" s="17" t="str">
        <f>SUBSTITUTE(SUBSTITUTE(SUBSTITUTE(SUBSTITUTE(IF(E851="","",VLOOKUP(E851,[1]Esquemas_NORM!$A$2:$H$126,8,FALSE)),"PROVINCIA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851" s="17" t="str">
        <f>IF($E851="","",INDEX([1]Esquemas_NORM!$H$2:$K$126,MATCH($E851,[1]Esquemas_NORM!$A$2:$A$126,0),MATCH(AA$4,[1]Esquemas_NORM!$H$1:$K$1,0)))</f>
        <v>A la fecha no ha conformado un EAT Región</v>
      </c>
      <c r="AB851" s="17" t="str">
        <f>IF($E851="","",INDEX([1]Esquemas_NORM!$H$2:$K$126,MATCH($E851,[1]Esquemas_NORM!$A$2:$A$126,0),MATCH(AB$4,[1]Esquemas_NORM!$H$1:$K$1,0)))</f>
        <v>A la fecha no ha conformado un EAT Área Metropolitana</v>
      </c>
      <c r="AC851" s="17" t="str">
        <f>IF($E851="","",INDEX([1]Esquemas_NORM!$H$2:$K$126,MATCH($E851,[1]Esquemas_NORM!$A$2:$A$126,0),MATCH(AC$4,[1]Esquemas_NORM!$H$1:$K$1,0)))</f>
        <v>MUNICIPIOS ASOCIADOS DEL ALTIPLANO DEL ORIENTE ANTIOQUEÑO - MASORA</v>
      </c>
      <c r="AD851" s="23"/>
    </row>
    <row r="852" spans="1:30" x14ac:dyDescent="0.25">
      <c r="A852" s="51">
        <v>2021</v>
      </c>
      <c r="B852" s="52" t="s">
        <v>36</v>
      </c>
      <c r="C852" s="52" t="s">
        <v>200</v>
      </c>
      <c r="D852" s="52" t="s">
        <v>201</v>
      </c>
      <c r="E852" s="52" t="s">
        <v>250</v>
      </c>
      <c r="F852" s="52" t="s">
        <v>203</v>
      </c>
      <c r="G852" s="52" t="s">
        <v>251</v>
      </c>
      <c r="H852" s="53">
        <v>263.80195115839047</v>
      </c>
      <c r="I852" s="53">
        <v>18.479222775014755</v>
      </c>
      <c r="J852" s="54">
        <v>282.28117393340523</v>
      </c>
      <c r="K852" s="53">
        <v>127.24401152905784</v>
      </c>
      <c r="L852" s="53">
        <v>150.29367046875831</v>
      </c>
      <c r="M852" s="54">
        <v>277.53768199781615</v>
      </c>
      <c r="N852" s="53">
        <v>36.553221466111395</v>
      </c>
      <c r="O852" s="53">
        <v>52.54702879289362</v>
      </c>
      <c r="P852" s="53">
        <v>17.399398115190611</v>
      </c>
      <c r="Q852" s="53">
        <v>13.339971049211709</v>
      </c>
      <c r="R852" s="53">
        <v>43.584024064264582</v>
      </c>
      <c r="S852" s="53">
        <v>40.984563402963907</v>
      </c>
      <c r="T852" s="53">
        <v>68.582320230528452</v>
      </c>
      <c r="U852" s="53">
        <v>15.272931754433388</v>
      </c>
      <c r="V852" s="54">
        <v>288.26345887559768</v>
      </c>
      <c r="W852" s="54">
        <v>900.60628605837985</v>
      </c>
      <c r="X852" s="53">
        <v>92.697380343534078</v>
      </c>
      <c r="Y852" s="55">
        <v>993.11918836663449</v>
      </c>
      <c r="Z852" s="17" t="str">
        <f>SUBSTITUTE(SUBSTITUTE(SUBSTITUTE(SUBSTITUTE(IF(E852="","",VLOOKUP(E852,[1]Esquemas_NORM!$A$2:$H$126,8,FALSE)),"PROVINCIA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852" s="17" t="str">
        <f>IF($E852="","",INDEX([1]Esquemas_NORM!$H$2:$K$126,MATCH($E852,[1]Esquemas_NORM!$A$2:$A$126,0),MATCH(AA$4,[1]Esquemas_NORM!$H$1:$K$1,0)))</f>
        <v>A la fecha no ha conformado un EAT Región</v>
      </c>
      <c r="AB852" s="17" t="str">
        <f>IF($E852="","",INDEX([1]Esquemas_NORM!$H$2:$K$126,MATCH($E852,[1]Esquemas_NORM!$A$2:$A$126,0),MATCH(AB$4,[1]Esquemas_NORM!$H$1:$K$1,0)))</f>
        <v>A la fecha no ha conformado un EAT Área Metropolitana</v>
      </c>
      <c r="AC852" s="17" t="str">
        <f>IF($E852="","",INDEX([1]Esquemas_NORM!$H$2:$K$126,MATCH($E852,[1]Esquemas_NORM!$A$2:$A$126,0),MATCH(AC$4,[1]Esquemas_NORM!$H$1:$K$1,0)))</f>
        <v>A la fecha no ha conformado un EAT asociación - unión</v>
      </c>
      <c r="AD852" s="23"/>
    </row>
    <row r="853" spans="1:30" x14ac:dyDescent="0.25">
      <c r="A853" s="51">
        <v>2021</v>
      </c>
      <c r="B853" s="52" t="s">
        <v>36</v>
      </c>
      <c r="C853" s="52" t="s">
        <v>252</v>
      </c>
      <c r="D853" s="52" t="s">
        <v>253</v>
      </c>
      <c r="E853" s="52" t="s">
        <v>254</v>
      </c>
      <c r="F853" s="52" t="s">
        <v>255</v>
      </c>
      <c r="G853" s="52" t="s">
        <v>256</v>
      </c>
      <c r="H853" s="53">
        <v>27.386489269714613</v>
      </c>
      <c r="I853" s="53">
        <v>5.9360299616501422</v>
      </c>
      <c r="J853" s="54">
        <v>33.322519231364751</v>
      </c>
      <c r="K853" s="53">
        <v>129.3416258728538</v>
      </c>
      <c r="L853" s="53">
        <v>122.23730282377882</v>
      </c>
      <c r="M853" s="54">
        <v>251.5789286966326</v>
      </c>
      <c r="N853" s="53">
        <v>7.6994452670135187</v>
      </c>
      <c r="O853" s="53">
        <v>65.015250623302947</v>
      </c>
      <c r="P853" s="53">
        <v>10.855843333070363</v>
      </c>
      <c r="Q853" s="53">
        <v>9.0312792922279286</v>
      </c>
      <c r="R853" s="53">
        <v>35.662722732331694</v>
      </c>
      <c r="S853" s="53">
        <v>37.413232071907231</v>
      </c>
      <c r="T853" s="53">
        <v>52.110584850702629</v>
      </c>
      <c r="U853" s="53">
        <v>13.158670486377645</v>
      </c>
      <c r="V853" s="54">
        <v>230.94702865693395</v>
      </c>
      <c r="W853" s="54">
        <v>498.12632471720707</v>
      </c>
      <c r="X853" s="53">
        <v>51.271022750136751</v>
      </c>
      <c r="Y853" s="55">
        <v>549.2953124636731</v>
      </c>
      <c r="Z853" s="17" t="str">
        <f>SUBSTITUTE(SUBSTITUTE(SUBSTITUTE(SUBSTITUTE(IF(E853="","",VLOOKUP(E853,[1]Esquemas_NORM!$A$2:$H$126,8,FALSE)),"PROVINCIA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853" s="17" t="str">
        <f>IF($E853="","",INDEX([1]Esquemas_NORM!$H$2:$K$126,MATCH($E853,[1]Esquemas_NORM!$A$2:$A$126,0),MATCH(AA$4,[1]Esquemas_NORM!$H$1:$K$1,0)))</f>
        <v>A la fecha no ha conformado un EAT Región</v>
      </c>
      <c r="AB853" s="17" t="str">
        <f>IF($E853="","",INDEX([1]Esquemas_NORM!$H$2:$K$126,MATCH($E853,[1]Esquemas_NORM!$A$2:$A$126,0),MATCH(AB$4,[1]Esquemas_NORM!$H$1:$K$1,0)))</f>
        <v>A la fecha no ha conformado un EAT Área Metropolitana</v>
      </c>
      <c r="AC853" s="17" t="str">
        <f>IF($E853="","",INDEX([1]Esquemas_NORM!$H$2:$K$126,MATCH($E853,[1]Esquemas_NORM!$A$2:$A$126,0),MATCH(AC$4,[1]Esquemas_NORM!$H$1:$K$1,0)))</f>
        <v>A la fecha no ha conformado un EAT asociación - unión</v>
      </c>
      <c r="AD853" s="23"/>
    </row>
    <row r="854" spans="1:30" x14ac:dyDescent="0.25">
      <c r="A854" s="51">
        <v>2021</v>
      </c>
      <c r="B854" s="52" t="s">
        <v>36</v>
      </c>
      <c r="C854" s="52" t="s">
        <v>252</v>
      </c>
      <c r="D854" s="52" t="s">
        <v>257</v>
      </c>
      <c r="E854" s="52" t="s">
        <v>258</v>
      </c>
      <c r="F854" s="52" t="s">
        <v>255</v>
      </c>
      <c r="G854" s="52" t="s">
        <v>259</v>
      </c>
      <c r="H854" s="53">
        <v>89.705389494704221</v>
      </c>
      <c r="I854" s="53">
        <v>20.946356183759448</v>
      </c>
      <c r="J854" s="54">
        <v>110.65174567846367</v>
      </c>
      <c r="K854" s="53">
        <v>43.96838463573188</v>
      </c>
      <c r="L854" s="53">
        <v>20.729232868352824</v>
      </c>
      <c r="M854" s="54">
        <v>64.697617504084704</v>
      </c>
      <c r="N854" s="53">
        <v>6.6367576626052447</v>
      </c>
      <c r="O854" s="53">
        <v>76.631996772409892</v>
      </c>
      <c r="P854" s="53">
        <v>15.366752090076044</v>
      </c>
      <c r="Q854" s="53">
        <v>19.947243467627448</v>
      </c>
      <c r="R854" s="53">
        <v>44.079906891558601</v>
      </c>
      <c r="S854" s="53">
        <v>47.254553217073379</v>
      </c>
      <c r="T854" s="53">
        <v>77.451112160711986</v>
      </c>
      <c r="U854" s="53">
        <v>15.598941148230397</v>
      </c>
      <c r="V854" s="54">
        <v>302.96726341029296</v>
      </c>
      <c r="W854" s="54">
        <v>502.81377191644066</v>
      </c>
      <c r="X854" s="53">
        <v>51.753491152367083</v>
      </c>
      <c r="Y854" s="55">
        <v>554.46426789967586</v>
      </c>
      <c r="Z854" s="17" t="str">
        <f>SUBSTITUTE(SUBSTITUTE(SUBSTITUTE(SUBSTITUTE(IF(E854="","",VLOOKUP(E854,[1]Esquemas_NORM!$A$2:$H$126,8,FALSE)),"PROVINCIA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854" s="17" t="str">
        <f>IF($E854="","",INDEX([1]Esquemas_NORM!$H$2:$K$126,MATCH($E854,[1]Esquemas_NORM!$A$2:$A$126,0),MATCH(AA$4,[1]Esquemas_NORM!$H$1:$K$1,0)))</f>
        <v>A la fecha no ha conformado un EAT Región</v>
      </c>
      <c r="AB854" s="17" t="str">
        <f>IF($E854="","",INDEX([1]Esquemas_NORM!$H$2:$K$126,MATCH($E854,[1]Esquemas_NORM!$A$2:$A$126,0),MATCH(AB$4,[1]Esquemas_NORM!$H$1:$K$1,0)))</f>
        <v>A la fecha no ha conformado un EAT Área Metropolitana</v>
      </c>
      <c r="AC854" s="17" t="str">
        <f>IF($E854="","",INDEX([1]Esquemas_NORM!$H$2:$K$126,MATCH($E854,[1]Esquemas_NORM!$A$2:$A$126,0),MATCH(AC$4,[1]Esquemas_NORM!$H$1:$K$1,0)))</f>
        <v>A la fecha no ha conformado un EAT asociación - unión</v>
      </c>
      <c r="AD854" s="23"/>
    </row>
    <row r="855" spans="1:30" x14ac:dyDescent="0.25">
      <c r="A855" s="51">
        <v>2021</v>
      </c>
      <c r="B855" s="52" t="s">
        <v>36</v>
      </c>
      <c r="C855" s="52" t="s">
        <v>252</v>
      </c>
      <c r="D855" s="52" t="s">
        <v>253</v>
      </c>
      <c r="E855" s="52" t="s">
        <v>260</v>
      </c>
      <c r="F855" s="52" t="s">
        <v>255</v>
      </c>
      <c r="G855" s="52" t="s">
        <v>261</v>
      </c>
      <c r="H855" s="53">
        <v>18.589855431550298</v>
      </c>
      <c r="I855" s="53">
        <v>0.69995396953091793</v>
      </c>
      <c r="J855" s="54">
        <v>19.289809401081214</v>
      </c>
      <c r="K855" s="53">
        <v>4.6599647408788458</v>
      </c>
      <c r="L855" s="53">
        <v>0.48001615837661166</v>
      </c>
      <c r="M855" s="54">
        <v>5.1399808992554572</v>
      </c>
      <c r="N855" s="53">
        <v>1.9683172134020852</v>
      </c>
      <c r="O855" s="53">
        <v>8.6914836948256706</v>
      </c>
      <c r="P855" s="53">
        <v>2.2310669670524033</v>
      </c>
      <c r="Q855" s="53">
        <v>1.524334854543552</v>
      </c>
      <c r="R855" s="53">
        <v>7.1320765411962608</v>
      </c>
      <c r="S855" s="53">
        <v>7.701080275473295</v>
      </c>
      <c r="T855" s="53">
        <v>10.442923645638304</v>
      </c>
      <c r="U855" s="53">
        <v>2.7836472880404108</v>
      </c>
      <c r="V855" s="54">
        <v>42.474930480171984</v>
      </c>
      <c r="W855" s="54">
        <v>71.042957317963541</v>
      </c>
      <c r="X855" s="53">
        <v>7.3122918828992969</v>
      </c>
      <c r="Y855" s="55">
        <v>78.340696931586749</v>
      </c>
      <c r="Z855" s="17" t="str">
        <f>SUBSTITUTE(SUBSTITUTE(SUBSTITUTE(SUBSTITUTE(IF(E855="","",VLOOKUP(E855,[1]Esquemas_NORM!$A$2:$H$126,8,FALSE)),"PROVINCIA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855" s="17" t="str">
        <f>IF($E855="","",INDEX([1]Esquemas_NORM!$H$2:$K$126,MATCH($E855,[1]Esquemas_NORM!$A$2:$A$126,0),MATCH(AA$4,[1]Esquemas_NORM!$H$1:$K$1,0)))</f>
        <v>A la fecha no ha conformado un EAT Región</v>
      </c>
      <c r="AB855" s="17" t="str">
        <f>IF($E855="","",INDEX([1]Esquemas_NORM!$H$2:$K$126,MATCH($E855,[1]Esquemas_NORM!$A$2:$A$126,0),MATCH(AB$4,[1]Esquemas_NORM!$H$1:$K$1,0)))</f>
        <v>A la fecha no ha conformado un EAT Área Metropolitana</v>
      </c>
      <c r="AC855" s="17" t="str">
        <f>IF($E855="","",INDEX([1]Esquemas_NORM!$H$2:$K$126,MATCH($E855,[1]Esquemas_NORM!$A$2:$A$126,0),MATCH(AC$4,[1]Esquemas_NORM!$H$1:$K$1,0)))</f>
        <v>A la fecha no ha conformado un EAT asociación - unión</v>
      </c>
      <c r="AD855" s="23"/>
    </row>
    <row r="856" spans="1:30" x14ac:dyDescent="0.25">
      <c r="A856" s="51">
        <v>2021</v>
      </c>
      <c r="B856" s="52" t="s">
        <v>36</v>
      </c>
      <c r="C856" s="52" t="s">
        <v>252</v>
      </c>
      <c r="D856" s="52" t="s">
        <v>257</v>
      </c>
      <c r="E856" s="52" t="s">
        <v>262</v>
      </c>
      <c r="F856" s="52" t="s">
        <v>255</v>
      </c>
      <c r="G856" s="52" t="s">
        <v>263</v>
      </c>
      <c r="H856" s="53">
        <v>84.068282863759521</v>
      </c>
      <c r="I856" s="53">
        <v>0</v>
      </c>
      <c r="J856" s="54">
        <v>84.068282863759521</v>
      </c>
      <c r="K856" s="53">
        <v>11.793702688621639</v>
      </c>
      <c r="L856" s="53">
        <v>1.393646735905917</v>
      </c>
      <c r="M856" s="54">
        <v>13.187349424527557</v>
      </c>
      <c r="N856" s="53">
        <v>1.1792332076825702</v>
      </c>
      <c r="O856" s="53">
        <v>18.032589924226439</v>
      </c>
      <c r="P856" s="53">
        <v>3.7693092760183284</v>
      </c>
      <c r="Q856" s="53">
        <v>2.4780645077976455</v>
      </c>
      <c r="R856" s="53">
        <v>11.652065820861273</v>
      </c>
      <c r="S856" s="53">
        <v>13.323123958320888</v>
      </c>
      <c r="T856" s="53">
        <v>17.289651654876774</v>
      </c>
      <c r="U856" s="53">
        <v>3.9194782464407663</v>
      </c>
      <c r="V856" s="54">
        <v>71.643516596224686</v>
      </c>
      <c r="W856" s="54">
        <v>188.5918746576985</v>
      </c>
      <c r="X856" s="53">
        <v>19.41133767938107</v>
      </c>
      <c r="Y856" s="55">
        <v>207.96458162902724</v>
      </c>
      <c r="Z856" s="17" t="str">
        <f>SUBSTITUTE(SUBSTITUTE(SUBSTITUTE(SUBSTITUTE(IF(E856="","",VLOOKUP(E856,[1]Esquemas_NORM!$A$2:$H$126,8,FALSE)),"PROVINCIA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856" s="17" t="str">
        <f>IF($E856="","",INDEX([1]Esquemas_NORM!$H$2:$K$126,MATCH($E856,[1]Esquemas_NORM!$A$2:$A$126,0),MATCH(AA$4,[1]Esquemas_NORM!$H$1:$K$1,0)))</f>
        <v>A la fecha no ha conformado un EAT Región</v>
      </c>
      <c r="AB856" s="17" t="str">
        <f>IF($E856="","",INDEX([1]Esquemas_NORM!$H$2:$K$126,MATCH($E856,[1]Esquemas_NORM!$A$2:$A$126,0),MATCH(AB$4,[1]Esquemas_NORM!$H$1:$K$1,0)))</f>
        <v>A la fecha no ha conformado un EAT Área Metropolitana</v>
      </c>
      <c r="AC856" s="17" t="str">
        <f>IF($E856="","",INDEX([1]Esquemas_NORM!$H$2:$K$126,MATCH($E856,[1]Esquemas_NORM!$A$2:$A$126,0),MATCH(AC$4,[1]Esquemas_NORM!$H$1:$K$1,0)))</f>
        <v>A la fecha no ha conformado un EAT asociación - unión</v>
      </c>
      <c r="AD856" s="23"/>
    </row>
    <row r="857" spans="1:30" x14ac:dyDescent="0.25">
      <c r="A857" s="51">
        <v>2021</v>
      </c>
      <c r="B857" s="52" t="s">
        <v>36</v>
      </c>
      <c r="C857" s="52" t="s">
        <v>252</v>
      </c>
      <c r="D857" s="52" t="s">
        <v>264</v>
      </c>
      <c r="E857" s="52" t="s">
        <v>265</v>
      </c>
      <c r="F857" s="52" t="s">
        <v>255</v>
      </c>
      <c r="G857" s="52" t="s">
        <v>266</v>
      </c>
      <c r="H857" s="53">
        <v>96.006649459619027</v>
      </c>
      <c r="I857" s="53">
        <v>0</v>
      </c>
      <c r="J857" s="54">
        <v>96.006649459619027</v>
      </c>
      <c r="K857" s="53">
        <v>11.174498303848628</v>
      </c>
      <c r="L857" s="53">
        <v>5.8463965726327061</v>
      </c>
      <c r="M857" s="54">
        <v>17.020894876481336</v>
      </c>
      <c r="N857" s="53">
        <v>1.5347748457922248</v>
      </c>
      <c r="O857" s="53">
        <v>22.035044093821348</v>
      </c>
      <c r="P857" s="53">
        <v>6.4163815081083637</v>
      </c>
      <c r="Q857" s="53">
        <v>5.9492302786754863</v>
      </c>
      <c r="R857" s="53">
        <v>16.904413402086298</v>
      </c>
      <c r="S857" s="53">
        <v>16.322173607832475</v>
      </c>
      <c r="T857" s="53">
        <v>28.873023943364487</v>
      </c>
      <c r="U857" s="53">
        <v>6.067599438337413</v>
      </c>
      <c r="V857" s="54">
        <v>104.10264111801808</v>
      </c>
      <c r="W857" s="54">
        <v>238.22523313196788</v>
      </c>
      <c r="X857" s="53">
        <v>24.51998768487185</v>
      </c>
      <c r="Y857" s="55">
        <v>262.69642333047659</v>
      </c>
      <c r="Z857" s="17" t="str">
        <f>SUBSTITUTE(SUBSTITUTE(SUBSTITUTE(SUBSTITUTE(IF(E857="","",VLOOKUP(E857,[1]Esquemas_NORM!$A$2:$H$126,8,FALSE)),"PROVINCIA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857" s="17" t="str">
        <f>IF($E857="","",INDEX([1]Esquemas_NORM!$H$2:$K$126,MATCH($E857,[1]Esquemas_NORM!$A$2:$A$126,0),MATCH(AA$4,[1]Esquemas_NORM!$H$1:$K$1,0)))</f>
        <v>A la fecha no ha conformado un EAT Región</v>
      </c>
      <c r="AB857" s="17" t="str">
        <f>IF($E857="","",INDEX([1]Esquemas_NORM!$H$2:$K$126,MATCH($E857,[1]Esquemas_NORM!$A$2:$A$126,0),MATCH(AB$4,[1]Esquemas_NORM!$H$1:$K$1,0)))</f>
        <v>A la fecha no ha conformado un EAT Área Metropolitana</v>
      </c>
      <c r="AC857" s="17" t="str">
        <f>IF($E857="","",INDEX([1]Esquemas_NORM!$H$2:$K$126,MATCH($E857,[1]Esquemas_NORM!$A$2:$A$126,0),MATCH(AC$4,[1]Esquemas_NORM!$H$1:$K$1,0)))</f>
        <v>A la fecha no ha conformado un EAT asociación - unión</v>
      </c>
      <c r="AD857" s="23"/>
    </row>
    <row r="858" spans="1:30" x14ac:dyDescent="0.25">
      <c r="A858" s="51">
        <v>2021</v>
      </c>
      <c r="B858" s="52" t="s">
        <v>36</v>
      </c>
      <c r="C858" s="52" t="s">
        <v>252</v>
      </c>
      <c r="D858" s="52" t="s">
        <v>267</v>
      </c>
      <c r="E858" s="52" t="s">
        <v>268</v>
      </c>
      <c r="F858" s="52" t="s">
        <v>255</v>
      </c>
      <c r="G858" s="52" t="s">
        <v>269</v>
      </c>
      <c r="H858" s="53">
        <v>17.477072482141988</v>
      </c>
      <c r="I858" s="53">
        <v>0</v>
      </c>
      <c r="J858" s="54">
        <v>17.477072482141988</v>
      </c>
      <c r="K858" s="53">
        <v>3.4934262499416877</v>
      </c>
      <c r="L858" s="53">
        <v>0.97071864127283913</v>
      </c>
      <c r="M858" s="54">
        <v>4.4641448912145272</v>
      </c>
      <c r="N858" s="53">
        <v>0.59441010370221248</v>
      </c>
      <c r="O858" s="53">
        <v>6.2926885003683504</v>
      </c>
      <c r="P858" s="53">
        <v>1.9277631369680757</v>
      </c>
      <c r="Q858" s="53">
        <v>1.7282156501702899</v>
      </c>
      <c r="R858" s="53">
        <v>6.5402226948950668</v>
      </c>
      <c r="S858" s="53">
        <v>5.0007780844242129</v>
      </c>
      <c r="T858" s="53">
        <v>12.097017874168889</v>
      </c>
      <c r="U858" s="53">
        <v>2.2255918286807401</v>
      </c>
      <c r="V858" s="54">
        <v>36.406687873377834</v>
      </c>
      <c r="W858" s="54">
        <v>61.491068870206981</v>
      </c>
      <c r="X858" s="53">
        <v>6.3291374788639008</v>
      </c>
      <c r="Y858" s="55">
        <v>67.807610665753955</v>
      </c>
      <c r="Z858" s="17" t="str">
        <f>SUBSTITUTE(SUBSTITUTE(SUBSTITUTE(SUBSTITUTE(IF(E858="","",VLOOKUP(E858,[1]Esquemas_NORM!$A$2:$H$126,8,FALSE)),"PROVINCIA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58" s="17" t="str">
        <f>IF($E858="","",INDEX([1]Esquemas_NORM!$H$2:$K$126,MATCH($E858,[1]Esquemas_NORM!$A$2:$A$126,0),MATCH(AA$4,[1]Esquemas_NORM!$H$1:$K$1,0)))</f>
        <v>A la fecha no ha conformado un EAT Región</v>
      </c>
      <c r="AB858" s="17" t="str">
        <f>IF($E858="","",INDEX([1]Esquemas_NORM!$H$2:$K$126,MATCH($E858,[1]Esquemas_NORM!$A$2:$A$126,0),MATCH(AB$4,[1]Esquemas_NORM!$H$1:$K$1,0)))</f>
        <v>A la fecha no ha conformado un EAT Área Metropolitana</v>
      </c>
      <c r="AC858" s="17" t="str">
        <f>IF($E858="","",INDEX([1]Esquemas_NORM!$H$2:$K$126,MATCH($E858,[1]Esquemas_NORM!$A$2:$A$126,0),MATCH(AC$4,[1]Esquemas_NORM!$H$1:$K$1,0)))</f>
        <v>A la fecha no ha conformado un EAT asociación - unión</v>
      </c>
      <c r="AD858" s="23"/>
    </row>
    <row r="859" spans="1:30" x14ac:dyDescent="0.25">
      <c r="A859" s="51">
        <v>2021</v>
      </c>
      <c r="B859" s="52" t="s">
        <v>36</v>
      </c>
      <c r="C859" s="52" t="s">
        <v>252</v>
      </c>
      <c r="D859" s="52" t="s">
        <v>257</v>
      </c>
      <c r="E859" s="52" t="s">
        <v>270</v>
      </c>
      <c r="F859" s="52" t="s">
        <v>255</v>
      </c>
      <c r="G859" s="52" t="s">
        <v>271</v>
      </c>
      <c r="H859" s="53">
        <v>80.585673940016548</v>
      </c>
      <c r="I859" s="53">
        <v>0</v>
      </c>
      <c r="J859" s="54">
        <v>80.585673940016548</v>
      </c>
      <c r="K859" s="53">
        <v>17.090019518663663</v>
      </c>
      <c r="L859" s="53">
        <v>4.8713892505630998</v>
      </c>
      <c r="M859" s="54">
        <v>21.961408769226765</v>
      </c>
      <c r="N859" s="53">
        <v>3.6069844213076276</v>
      </c>
      <c r="O859" s="53">
        <v>58.268892117820656</v>
      </c>
      <c r="P859" s="53">
        <v>8.6448229994131669</v>
      </c>
      <c r="Q859" s="53">
        <v>11.651634187573286</v>
      </c>
      <c r="R859" s="53">
        <v>24.827820603500331</v>
      </c>
      <c r="S859" s="53">
        <v>33.479555462451223</v>
      </c>
      <c r="T859" s="53">
        <v>61.431489458201483</v>
      </c>
      <c r="U859" s="53">
        <v>9.3441757494899598</v>
      </c>
      <c r="V859" s="54">
        <v>211.25537499975772</v>
      </c>
      <c r="W859" s="54">
        <v>330.13711145546932</v>
      </c>
      <c r="X859" s="53">
        <v>33.980270690804907</v>
      </c>
      <c r="Y859" s="55">
        <v>364.04975765082389</v>
      </c>
      <c r="Z859" s="17" t="str">
        <f>SUBSTITUTE(SUBSTITUTE(SUBSTITUTE(SUBSTITUTE(IF(E859="","",VLOOKUP(E859,[1]Esquemas_NORM!$A$2:$H$126,8,FALSE)),"PROVINCIA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859" s="17" t="str">
        <f>IF($E859="","",INDEX([1]Esquemas_NORM!$H$2:$K$126,MATCH($E859,[1]Esquemas_NORM!$A$2:$A$126,0),MATCH(AA$4,[1]Esquemas_NORM!$H$1:$K$1,0)))</f>
        <v>A la fecha no ha conformado un EAT Región</v>
      </c>
      <c r="AB859" s="17" t="str">
        <f>IF($E859="","",INDEX([1]Esquemas_NORM!$H$2:$K$126,MATCH($E859,[1]Esquemas_NORM!$A$2:$A$126,0),MATCH(AB$4,[1]Esquemas_NORM!$H$1:$K$1,0)))</f>
        <v>A la fecha no ha conformado un EAT Área Metropolitana</v>
      </c>
      <c r="AC859" s="17" t="str">
        <f>IF($E859="","",INDEX([1]Esquemas_NORM!$H$2:$K$126,MATCH($E859,[1]Esquemas_NORM!$A$2:$A$126,0),MATCH(AC$4,[1]Esquemas_NORM!$H$1:$K$1,0)))</f>
        <v>A la fecha no ha conformado un EAT asociación - unión</v>
      </c>
      <c r="AD859" s="23"/>
    </row>
    <row r="860" spans="1:30" x14ac:dyDescent="0.25">
      <c r="A860" s="51">
        <v>2021</v>
      </c>
      <c r="B860" s="52" t="s">
        <v>36</v>
      </c>
      <c r="C860" s="52" t="s">
        <v>252</v>
      </c>
      <c r="D860" s="52" t="s">
        <v>264</v>
      </c>
      <c r="E860" s="52" t="s">
        <v>272</v>
      </c>
      <c r="F860" s="52" t="s">
        <v>255</v>
      </c>
      <c r="G860" s="52" t="s">
        <v>273</v>
      </c>
      <c r="H860" s="53">
        <v>104.21433062210299</v>
      </c>
      <c r="I860" s="53">
        <v>0</v>
      </c>
      <c r="J860" s="54">
        <v>104.21433062210299</v>
      </c>
      <c r="K860" s="53">
        <v>16.031498481914653</v>
      </c>
      <c r="L860" s="53">
        <v>5.0621601771033466</v>
      </c>
      <c r="M860" s="54">
        <v>21.093658659018001</v>
      </c>
      <c r="N860" s="53">
        <v>5.1697889573245881</v>
      </c>
      <c r="O860" s="53">
        <v>25.545204496991992</v>
      </c>
      <c r="P860" s="53">
        <v>8.3782744169043202</v>
      </c>
      <c r="Q860" s="53">
        <v>8.0406378303013266</v>
      </c>
      <c r="R860" s="53">
        <v>23.175465117179751</v>
      </c>
      <c r="S860" s="53">
        <v>24.350612528464794</v>
      </c>
      <c r="T860" s="53">
        <v>39.984879122862786</v>
      </c>
      <c r="U860" s="53">
        <v>10.236913101750503</v>
      </c>
      <c r="V860" s="54">
        <v>144.88177557178005</v>
      </c>
      <c r="W860" s="54">
        <v>292.31340313669727</v>
      </c>
      <c r="X860" s="53">
        <v>30.087161426193141</v>
      </c>
      <c r="Y860" s="55">
        <v>322.34068778528894</v>
      </c>
      <c r="Z860" s="17" t="str">
        <f>SUBSTITUTE(SUBSTITUTE(SUBSTITUTE(SUBSTITUTE(IF(E860="","",VLOOKUP(E860,[1]Esquemas_NORM!$A$2:$H$126,8,FALSE)),"PROVINCIA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860" s="17" t="str">
        <f>IF($E860="","",INDEX([1]Esquemas_NORM!$H$2:$K$126,MATCH($E860,[1]Esquemas_NORM!$A$2:$A$126,0),MATCH(AA$4,[1]Esquemas_NORM!$H$1:$K$1,0)))</f>
        <v>A la fecha no ha conformado un EAT Región</v>
      </c>
      <c r="AB860" s="17" t="str">
        <f>IF($E860="","",INDEX([1]Esquemas_NORM!$H$2:$K$126,MATCH($E860,[1]Esquemas_NORM!$A$2:$A$126,0),MATCH(AB$4,[1]Esquemas_NORM!$H$1:$K$1,0)))</f>
        <v>A la fecha no ha conformado un EAT Área Metropolitana</v>
      </c>
      <c r="AC860" s="17" t="str">
        <f>IF($E860="","",INDEX([1]Esquemas_NORM!$H$2:$K$126,MATCH($E860,[1]Esquemas_NORM!$A$2:$A$126,0),MATCH(AC$4,[1]Esquemas_NORM!$H$1:$K$1,0)))</f>
        <v>A la fecha no ha conformado un EAT asociación - unión</v>
      </c>
      <c r="AD860" s="23"/>
    </row>
    <row r="861" spans="1:30" x14ac:dyDescent="0.25">
      <c r="A861" s="51">
        <v>2021</v>
      </c>
      <c r="B861" s="52" t="s">
        <v>36</v>
      </c>
      <c r="C861" s="52" t="s">
        <v>252</v>
      </c>
      <c r="D861" s="52" t="s">
        <v>253</v>
      </c>
      <c r="E861" s="52" t="s">
        <v>274</v>
      </c>
      <c r="F861" s="52" t="s">
        <v>255</v>
      </c>
      <c r="G861" s="52" t="s">
        <v>275</v>
      </c>
      <c r="H861" s="53">
        <v>98.538018603275219</v>
      </c>
      <c r="I861" s="53">
        <v>5.4635979178549352</v>
      </c>
      <c r="J861" s="54">
        <v>104.00161652113016</v>
      </c>
      <c r="K861" s="53">
        <v>14.916295587101182</v>
      </c>
      <c r="L861" s="53">
        <v>10.609601925429967</v>
      </c>
      <c r="M861" s="54">
        <v>25.525897512531149</v>
      </c>
      <c r="N861" s="53">
        <v>3.8479575680702154</v>
      </c>
      <c r="O861" s="53">
        <v>40.280014837690111</v>
      </c>
      <c r="P861" s="53">
        <v>9.6245548619241159</v>
      </c>
      <c r="Q861" s="53">
        <v>9.024856074808433</v>
      </c>
      <c r="R861" s="53">
        <v>31.475926058222505</v>
      </c>
      <c r="S861" s="53">
        <v>28.795935098304415</v>
      </c>
      <c r="T861" s="53">
        <v>41.793184066946203</v>
      </c>
      <c r="U861" s="53">
        <v>12.654071342620377</v>
      </c>
      <c r="V861" s="54">
        <v>177.49649990858637</v>
      </c>
      <c r="W861" s="54">
        <v>329.69235472951414</v>
      </c>
      <c r="X861" s="53">
        <v>33.934492880872405</v>
      </c>
      <c r="Y861" s="55">
        <v>363.55931421783902</v>
      </c>
      <c r="Z861" s="17" t="str">
        <f>SUBSTITUTE(SUBSTITUTE(SUBSTITUTE(SUBSTITUTE(IF(E861="","",VLOOKUP(E861,[1]Esquemas_NORM!$A$2:$H$126,8,FALSE)),"PROVINCIA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61" s="17" t="str">
        <f>IF($E861="","",INDEX([1]Esquemas_NORM!$H$2:$K$126,MATCH($E861,[1]Esquemas_NORM!$A$2:$A$126,0),MATCH(AA$4,[1]Esquemas_NORM!$H$1:$K$1,0)))</f>
        <v>A la fecha no ha conformado un EAT Región</v>
      </c>
      <c r="AB861" s="17" t="str">
        <f>IF($E861="","",INDEX([1]Esquemas_NORM!$H$2:$K$126,MATCH($E861,[1]Esquemas_NORM!$A$2:$A$126,0),MATCH(AB$4,[1]Esquemas_NORM!$H$1:$K$1,0)))</f>
        <v>A la fecha no ha conformado un EAT Área Metropolitana</v>
      </c>
      <c r="AC861" s="17" t="str">
        <f>IF($E861="","",INDEX([1]Esquemas_NORM!$H$2:$K$126,MATCH($E861,[1]Esquemas_NORM!$A$2:$A$126,0),MATCH(AC$4,[1]Esquemas_NORM!$H$1:$K$1,0)))</f>
        <v>A la fecha no ha conformado un EAT asociación - unión</v>
      </c>
      <c r="AD861" s="23"/>
    </row>
    <row r="862" spans="1:30" x14ac:dyDescent="0.25">
      <c r="A862" s="51">
        <v>2021</v>
      </c>
      <c r="B862" s="52" t="s">
        <v>36</v>
      </c>
      <c r="C862" s="52" t="s">
        <v>252</v>
      </c>
      <c r="D862" s="52" t="s">
        <v>257</v>
      </c>
      <c r="E862" s="52" t="s">
        <v>276</v>
      </c>
      <c r="F862" s="52" t="s">
        <v>255</v>
      </c>
      <c r="G862" s="52" t="s">
        <v>277</v>
      </c>
      <c r="H862" s="53">
        <v>16.400682587696171</v>
      </c>
      <c r="I862" s="53">
        <v>0</v>
      </c>
      <c r="J862" s="54">
        <v>16.400682587696171</v>
      </c>
      <c r="K862" s="53">
        <v>3.455782223527387</v>
      </c>
      <c r="L862" s="53">
        <v>1.3122533815630499</v>
      </c>
      <c r="M862" s="54">
        <v>4.7680356050904367</v>
      </c>
      <c r="N862" s="53">
        <v>1.1232009297971524</v>
      </c>
      <c r="O862" s="53">
        <v>9.4187049480612846</v>
      </c>
      <c r="P862" s="53">
        <v>1.9523405172311974</v>
      </c>
      <c r="Q862" s="53">
        <v>1.2889045522151052</v>
      </c>
      <c r="R862" s="53">
        <v>6.691572120649516</v>
      </c>
      <c r="S862" s="53">
        <v>6.4364971290220456</v>
      </c>
      <c r="T862" s="53">
        <v>11.377278435327591</v>
      </c>
      <c r="U862" s="53">
        <v>2.3875890016349541</v>
      </c>
      <c r="V862" s="54">
        <v>40.676087633938849</v>
      </c>
      <c r="W862" s="54">
        <v>64.979067196608455</v>
      </c>
      <c r="X862" s="53">
        <v>6.6881493051252772</v>
      </c>
      <c r="Y862" s="55">
        <v>71.653906345191061</v>
      </c>
      <c r="Z862" s="17" t="str">
        <f>SUBSTITUTE(SUBSTITUTE(SUBSTITUTE(SUBSTITUTE(IF(E862="","",VLOOKUP(E862,[1]Esquemas_NORM!$A$2:$H$126,8,FALSE)),"PROVINCIA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862" s="17" t="str">
        <f>IF($E862="","",INDEX([1]Esquemas_NORM!$H$2:$K$126,MATCH($E862,[1]Esquemas_NORM!$A$2:$A$126,0),MATCH(AA$4,[1]Esquemas_NORM!$H$1:$K$1,0)))</f>
        <v>A la fecha no ha conformado un EAT Región</v>
      </c>
      <c r="AB862" s="17" t="str">
        <f>IF($E862="","",INDEX([1]Esquemas_NORM!$H$2:$K$126,MATCH($E862,[1]Esquemas_NORM!$A$2:$A$126,0),MATCH(AB$4,[1]Esquemas_NORM!$H$1:$K$1,0)))</f>
        <v>A la fecha no ha conformado un EAT Área Metropolitana</v>
      </c>
      <c r="AC862" s="17" t="str">
        <f>IF($E862="","",INDEX([1]Esquemas_NORM!$H$2:$K$126,MATCH($E862,[1]Esquemas_NORM!$A$2:$A$126,0),MATCH(AC$4,[1]Esquemas_NORM!$H$1:$K$1,0)))</f>
        <v>A la fecha no ha conformado un EAT asociación - unión</v>
      </c>
      <c r="AD862" s="23"/>
    </row>
    <row r="863" spans="1:30" x14ac:dyDescent="0.25">
      <c r="A863" s="51">
        <v>2021</v>
      </c>
      <c r="B863" s="52" t="s">
        <v>36</v>
      </c>
      <c r="C863" s="52" t="s">
        <v>252</v>
      </c>
      <c r="D863" s="52" t="s">
        <v>257</v>
      </c>
      <c r="E863" s="52" t="s">
        <v>278</v>
      </c>
      <c r="F863" s="52" t="s">
        <v>255</v>
      </c>
      <c r="G863" s="52" t="s">
        <v>279</v>
      </c>
      <c r="H863" s="53">
        <v>63.818564093107021</v>
      </c>
      <c r="I863" s="53">
        <v>0</v>
      </c>
      <c r="J863" s="54">
        <v>63.818564093107021</v>
      </c>
      <c r="K863" s="53">
        <v>14.878590434477799</v>
      </c>
      <c r="L863" s="53">
        <v>2.7379366330394102</v>
      </c>
      <c r="M863" s="54">
        <v>17.616527067517207</v>
      </c>
      <c r="N863" s="53">
        <v>2.8642821532519203</v>
      </c>
      <c r="O863" s="53">
        <v>53.675033330374724</v>
      </c>
      <c r="P863" s="53">
        <v>6.6242026786746919</v>
      </c>
      <c r="Q863" s="53">
        <v>6.3663829272489814</v>
      </c>
      <c r="R863" s="53">
        <v>24.83593075710958</v>
      </c>
      <c r="S863" s="53">
        <v>23.802346170827288</v>
      </c>
      <c r="T863" s="53">
        <v>28.242185545844873</v>
      </c>
      <c r="U863" s="53">
        <v>7.1726024076728363</v>
      </c>
      <c r="V863" s="54">
        <v>153.58296597100488</v>
      </c>
      <c r="W863" s="54">
        <v>249.04656072430933</v>
      </c>
      <c r="X863" s="53">
        <v>25.633802606185167</v>
      </c>
      <c r="Y863" s="55">
        <v>274.62934922929765</v>
      </c>
      <c r="Z863" s="17" t="str">
        <f>SUBSTITUTE(SUBSTITUTE(SUBSTITUTE(SUBSTITUTE(IF(E863="","",VLOOKUP(E863,[1]Esquemas_NORM!$A$2:$H$126,8,FALSE)),"PROVINCIA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863" s="17" t="str">
        <f>IF($E863="","",INDEX([1]Esquemas_NORM!$H$2:$K$126,MATCH($E863,[1]Esquemas_NORM!$A$2:$A$126,0),MATCH(AA$4,[1]Esquemas_NORM!$H$1:$K$1,0)))</f>
        <v>A la fecha no ha conformado un EAT Región</v>
      </c>
      <c r="AB863" s="17" t="str">
        <f>IF($E863="","",INDEX([1]Esquemas_NORM!$H$2:$K$126,MATCH($E863,[1]Esquemas_NORM!$A$2:$A$126,0),MATCH(AB$4,[1]Esquemas_NORM!$H$1:$K$1,0)))</f>
        <v>A la fecha no ha conformado un EAT Área Metropolitana</v>
      </c>
      <c r="AC863" s="17" t="str">
        <f>IF($E863="","",INDEX([1]Esquemas_NORM!$H$2:$K$126,MATCH($E863,[1]Esquemas_NORM!$A$2:$A$126,0),MATCH(AC$4,[1]Esquemas_NORM!$H$1:$K$1,0)))</f>
        <v>A la fecha no ha conformado un EAT asociación - unión</v>
      </c>
      <c r="AD863" s="23"/>
    </row>
    <row r="864" spans="1:30" x14ac:dyDescent="0.25">
      <c r="A864" s="51">
        <v>2021</v>
      </c>
      <c r="B864" s="52" t="s">
        <v>36</v>
      </c>
      <c r="C864" s="52" t="s">
        <v>252</v>
      </c>
      <c r="D864" s="52" t="s">
        <v>267</v>
      </c>
      <c r="E864" s="52" t="s">
        <v>280</v>
      </c>
      <c r="F864" s="52" t="s">
        <v>255</v>
      </c>
      <c r="G864" s="52" t="s">
        <v>281</v>
      </c>
      <c r="H864" s="53">
        <v>90.826870717057943</v>
      </c>
      <c r="I864" s="53">
        <v>0</v>
      </c>
      <c r="J864" s="54">
        <v>90.826870717057943</v>
      </c>
      <c r="K864" s="53">
        <v>10.458984491930078</v>
      </c>
      <c r="L864" s="53">
        <v>6.7122453363245</v>
      </c>
      <c r="M864" s="54">
        <v>17.171229828254578</v>
      </c>
      <c r="N864" s="53">
        <v>13.288675734303245</v>
      </c>
      <c r="O864" s="53">
        <v>25.773974068161166</v>
      </c>
      <c r="P864" s="53">
        <v>4.9453957507667976</v>
      </c>
      <c r="Q864" s="53">
        <v>4.1227184299033901</v>
      </c>
      <c r="R864" s="53">
        <v>17.321334277729399</v>
      </c>
      <c r="S864" s="53">
        <v>17.270598830997891</v>
      </c>
      <c r="T864" s="53">
        <v>21.089351656091637</v>
      </c>
      <c r="U864" s="53">
        <v>5.8069380100444414</v>
      </c>
      <c r="V864" s="54">
        <v>109.61898675799799</v>
      </c>
      <c r="W864" s="54">
        <v>240.72703270125163</v>
      </c>
      <c r="X864" s="53">
        <v>24.777492290163778</v>
      </c>
      <c r="Y864" s="55">
        <v>265.45521504241873</v>
      </c>
      <c r="Z864" s="17" t="str">
        <f>SUBSTITUTE(SUBSTITUTE(SUBSTITUTE(SUBSTITUTE(IF(E864="","",VLOOKUP(E864,[1]Esquemas_NORM!$A$2:$H$126,8,FALSE)),"PROVINCIA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64" s="17" t="str">
        <f>IF($E864="","",INDEX([1]Esquemas_NORM!$H$2:$K$126,MATCH($E864,[1]Esquemas_NORM!$A$2:$A$126,0),MATCH(AA$4,[1]Esquemas_NORM!$H$1:$K$1,0)))</f>
        <v>A la fecha no ha conformado un EAT Región</v>
      </c>
      <c r="AB864" s="17" t="str">
        <f>IF($E864="","",INDEX([1]Esquemas_NORM!$H$2:$K$126,MATCH($E864,[1]Esquemas_NORM!$A$2:$A$126,0),MATCH(AB$4,[1]Esquemas_NORM!$H$1:$K$1,0)))</f>
        <v>A la fecha no ha conformado un EAT Área Metropolitana</v>
      </c>
      <c r="AC864" s="17" t="str">
        <f>IF($E864="","",INDEX([1]Esquemas_NORM!$H$2:$K$126,MATCH($E864,[1]Esquemas_NORM!$A$2:$A$126,0),MATCH(AC$4,[1]Esquemas_NORM!$H$1:$K$1,0)))</f>
        <v>A la fecha no ha conformado un EAT asociación - unión</v>
      </c>
      <c r="AD864" s="23"/>
    </row>
    <row r="865" spans="1:30" x14ac:dyDescent="0.25">
      <c r="A865" s="51">
        <v>2021</v>
      </c>
      <c r="B865" s="52" t="s">
        <v>36</v>
      </c>
      <c r="C865" s="52" t="s">
        <v>252</v>
      </c>
      <c r="D865" s="52" t="s">
        <v>267</v>
      </c>
      <c r="E865" s="52" t="s">
        <v>282</v>
      </c>
      <c r="F865" s="52" t="s">
        <v>255</v>
      </c>
      <c r="G865" s="52" t="s">
        <v>283</v>
      </c>
      <c r="H865" s="53">
        <v>2.8267782137869633</v>
      </c>
      <c r="I865" s="53">
        <v>1.9451499863141484</v>
      </c>
      <c r="J865" s="54">
        <v>4.7719282001011116</v>
      </c>
      <c r="K865" s="53">
        <v>18.821395658759169</v>
      </c>
      <c r="L865" s="53">
        <v>21.201929799320006</v>
      </c>
      <c r="M865" s="54">
        <v>40.023325458079171</v>
      </c>
      <c r="N865" s="53">
        <v>3.1551398139080686</v>
      </c>
      <c r="O865" s="53">
        <v>41.1129526621339</v>
      </c>
      <c r="P865" s="53">
        <v>3.4552826573114857</v>
      </c>
      <c r="Q865" s="53">
        <v>2.2555959316296152</v>
      </c>
      <c r="R865" s="53">
        <v>10.490023209797613</v>
      </c>
      <c r="S865" s="53">
        <v>12.513396790629633</v>
      </c>
      <c r="T865" s="53">
        <v>14.994325904017039</v>
      </c>
      <c r="U865" s="53">
        <v>4.1908935358205044</v>
      </c>
      <c r="V865" s="54">
        <v>92.16761050524785</v>
      </c>
      <c r="W865" s="54">
        <v>135.59596805039411</v>
      </c>
      <c r="X865" s="53">
        <v>13.956588153988509</v>
      </c>
      <c r="Y865" s="55">
        <v>149.52478105095022</v>
      </c>
      <c r="Z865" s="17" t="str">
        <f>SUBSTITUTE(SUBSTITUTE(SUBSTITUTE(SUBSTITUTE(IF(E865="","",VLOOKUP(E865,[1]Esquemas_NORM!$A$2:$H$126,8,FALSE)),"PROVINCIA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65" s="17" t="str">
        <f>IF($E865="","",INDEX([1]Esquemas_NORM!$H$2:$K$126,MATCH($E865,[1]Esquemas_NORM!$A$2:$A$126,0),MATCH(AA$4,[1]Esquemas_NORM!$H$1:$K$1,0)))</f>
        <v>A la fecha no ha conformado un EAT Región</v>
      </c>
      <c r="AB865" s="17" t="str">
        <f>IF($E865="","",INDEX([1]Esquemas_NORM!$H$2:$K$126,MATCH($E865,[1]Esquemas_NORM!$A$2:$A$126,0),MATCH(AB$4,[1]Esquemas_NORM!$H$1:$K$1,0)))</f>
        <v>A la fecha no ha conformado un EAT Área Metropolitana</v>
      </c>
      <c r="AC865" s="17" t="str">
        <f>IF($E865="","",INDEX([1]Esquemas_NORM!$H$2:$K$126,MATCH($E865,[1]Esquemas_NORM!$A$2:$A$126,0),MATCH(AC$4,[1]Esquemas_NORM!$H$1:$K$1,0)))</f>
        <v>A la fecha no ha conformado un EAT asociación - unión</v>
      </c>
      <c r="AD865" s="23"/>
    </row>
    <row r="866" spans="1:30" x14ac:dyDescent="0.25">
      <c r="A866" s="51">
        <v>2021</v>
      </c>
      <c r="B866" s="52" t="s">
        <v>36</v>
      </c>
      <c r="C866" s="52" t="s">
        <v>252</v>
      </c>
      <c r="D866" s="52" t="s">
        <v>267</v>
      </c>
      <c r="E866" s="52" t="s">
        <v>284</v>
      </c>
      <c r="F866" s="52" t="s">
        <v>255</v>
      </c>
      <c r="G866" s="52" t="s">
        <v>285</v>
      </c>
      <c r="H866" s="53">
        <v>17.01267548386177</v>
      </c>
      <c r="I866" s="53">
        <v>0</v>
      </c>
      <c r="J866" s="54">
        <v>17.01267548386177</v>
      </c>
      <c r="K866" s="53">
        <v>2.9370740164270077</v>
      </c>
      <c r="L866" s="53">
        <v>2.4908659000755189</v>
      </c>
      <c r="M866" s="54">
        <v>5.4279399165025266</v>
      </c>
      <c r="N866" s="53">
        <v>0.61930292721149904</v>
      </c>
      <c r="O866" s="53">
        <v>7.2943087087104779</v>
      </c>
      <c r="P866" s="53">
        <v>2.2720145766335822</v>
      </c>
      <c r="Q866" s="53">
        <v>1.7611714687410338</v>
      </c>
      <c r="R866" s="53">
        <v>10.889911834841035</v>
      </c>
      <c r="S866" s="53">
        <v>6.8653608279949694</v>
      </c>
      <c r="T866" s="53">
        <v>15.288284904299111</v>
      </c>
      <c r="U866" s="53">
        <v>2.9916939742236996</v>
      </c>
      <c r="V866" s="54">
        <v>47.982049222655412</v>
      </c>
      <c r="W866" s="54">
        <v>72.719051049200402</v>
      </c>
      <c r="X866" s="53">
        <v>7.484808442577001</v>
      </c>
      <c r="Y866" s="55">
        <v>80.188963895474586</v>
      </c>
      <c r="Z866" s="17" t="str">
        <f>SUBSTITUTE(SUBSTITUTE(SUBSTITUTE(SUBSTITUTE(IF(E866="","",VLOOKUP(E866,[1]Esquemas_NORM!$A$2:$H$126,8,FALSE)),"PROVINCIA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66" s="17" t="str">
        <f>IF($E866="","",INDEX([1]Esquemas_NORM!$H$2:$K$126,MATCH($E866,[1]Esquemas_NORM!$A$2:$A$126,0),MATCH(AA$4,[1]Esquemas_NORM!$H$1:$K$1,0)))</f>
        <v>A la fecha no ha conformado un EAT Región</v>
      </c>
      <c r="AB866" s="17" t="str">
        <f>IF($E866="","",INDEX([1]Esquemas_NORM!$H$2:$K$126,MATCH($E866,[1]Esquemas_NORM!$A$2:$A$126,0),MATCH(AB$4,[1]Esquemas_NORM!$H$1:$K$1,0)))</f>
        <v>A la fecha no ha conformado un EAT Área Metropolitana</v>
      </c>
      <c r="AC866" s="17" t="str">
        <f>IF($E866="","",INDEX([1]Esquemas_NORM!$H$2:$K$126,MATCH($E866,[1]Esquemas_NORM!$A$2:$A$126,0),MATCH(AC$4,[1]Esquemas_NORM!$H$1:$K$1,0)))</f>
        <v>A la fecha no ha conformado un EAT asociación - unión</v>
      </c>
      <c r="AD866" s="23"/>
    </row>
    <row r="867" spans="1:30" x14ac:dyDescent="0.25">
      <c r="A867" s="51">
        <v>2021</v>
      </c>
      <c r="B867" s="52" t="s">
        <v>36</v>
      </c>
      <c r="C867" s="52" t="s">
        <v>252</v>
      </c>
      <c r="D867" s="52" t="s">
        <v>267</v>
      </c>
      <c r="E867" s="52" t="s">
        <v>286</v>
      </c>
      <c r="F867" s="52" t="s">
        <v>255</v>
      </c>
      <c r="G867" s="52" t="s">
        <v>287</v>
      </c>
      <c r="H867" s="53">
        <v>28.417907804640929</v>
      </c>
      <c r="I867" s="53">
        <v>0</v>
      </c>
      <c r="J867" s="54">
        <v>28.417907804640929</v>
      </c>
      <c r="K867" s="53">
        <v>4.6035758108443572</v>
      </c>
      <c r="L867" s="53">
        <v>2.723919866602345</v>
      </c>
      <c r="M867" s="54">
        <v>7.3274956774467022</v>
      </c>
      <c r="N867" s="53">
        <v>0.8853473760310987</v>
      </c>
      <c r="O867" s="53">
        <v>8.323185340337627</v>
      </c>
      <c r="P867" s="53">
        <v>2.8879317549322598</v>
      </c>
      <c r="Q867" s="53">
        <v>2.2907532768918344</v>
      </c>
      <c r="R867" s="53">
        <v>10.17886871155393</v>
      </c>
      <c r="S867" s="53">
        <v>9.191900748508246</v>
      </c>
      <c r="T867" s="53">
        <v>21.363818731899848</v>
      </c>
      <c r="U867" s="53">
        <v>3.569735017769514</v>
      </c>
      <c r="V867" s="54">
        <v>58.69154095792436</v>
      </c>
      <c r="W867" s="54">
        <v>99.361461730461244</v>
      </c>
      <c r="X867" s="53">
        <v>10.22705187838547</v>
      </c>
      <c r="Y867" s="55">
        <v>109.56816064493081</v>
      </c>
      <c r="Z867" s="17" t="str">
        <f>SUBSTITUTE(SUBSTITUTE(SUBSTITUTE(SUBSTITUTE(IF(E867="","",VLOOKUP(E867,[1]Esquemas_NORM!$A$2:$H$126,8,FALSE)),"PROVINCIA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67" s="17" t="str">
        <f>IF($E867="","",INDEX([1]Esquemas_NORM!$H$2:$K$126,MATCH($E867,[1]Esquemas_NORM!$A$2:$A$126,0),MATCH(AA$4,[1]Esquemas_NORM!$H$1:$K$1,0)))</f>
        <v>A la fecha no ha conformado un EAT Región</v>
      </c>
      <c r="AB867" s="17" t="str">
        <f>IF($E867="","",INDEX([1]Esquemas_NORM!$H$2:$K$126,MATCH($E867,[1]Esquemas_NORM!$A$2:$A$126,0),MATCH(AB$4,[1]Esquemas_NORM!$H$1:$K$1,0)))</f>
        <v>A la fecha no ha conformado un EAT Área Metropolitana</v>
      </c>
      <c r="AC867" s="17" t="str">
        <f>IF($E867="","",INDEX([1]Esquemas_NORM!$H$2:$K$126,MATCH($E867,[1]Esquemas_NORM!$A$2:$A$126,0),MATCH(AC$4,[1]Esquemas_NORM!$H$1:$K$1,0)))</f>
        <v>A la fecha no ha conformado un EAT asociación - unión</v>
      </c>
      <c r="AD867" s="23"/>
    </row>
    <row r="868" spans="1:30" x14ac:dyDescent="0.25">
      <c r="A868" s="51">
        <v>2021</v>
      </c>
      <c r="B868" s="52" t="s">
        <v>36</v>
      </c>
      <c r="C868" s="52" t="s">
        <v>252</v>
      </c>
      <c r="D868" s="52" t="s">
        <v>264</v>
      </c>
      <c r="E868" s="52" t="s">
        <v>288</v>
      </c>
      <c r="F868" s="52" t="s">
        <v>255</v>
      </c>
      <c r="G868" s="52" t="s">
        <v>289</v>
      </c>
      <c r="H868" s="53">
        <v>125.80329272413707</v>
      </c>
      <c r="I868" s="53">
        <v>0</v>
      </c>
      <c r="J868" s="54">
        <v>125.80329272413707</v>
      </c>
      <c r="K868" s="53">
        <v>17.014146687543807</v>
      </c>
      <c r="L868" s="53">
        <v>3.9871389337378682</v>
      </c>
      <c r="M868" s="54">
        <v>21.001285621281674</v>
      </c>
      <c r="N868" s="53">
        <v>10.288895721965533</v>
      </c>
      <c r="O868" s="53">
        <v>25.13497202448313</v>
      </c>
      <c r="P868" s="53">
        <v>5.2842337118920248</v>
      </c>
      <c r="Q868" s="53">
        <v>6.090960104939608</v>
      </c>
      <c r="R868" s="53">
        <v>17.645604857289758</v>
      </c>
      <c r="S868" s="53">
        <v>18.593277077713608</v>
      </c>
      <c r="T868" s="53">
        <v>27.527383505107576</v>
      </c>
      <c r="U868" s="53">
        <v>8.1898217774461912</v>
      </c>
      <c r="V868" s="54">
        <v>118.75514878083743</v>
      </c>
      <c r="W868" s="54">
        <v>296.31101058432984</v>
      </c>
      <c r="X868" s="53">
        <v>30.498626173638392</v>
      </c>
      <c r="Y868" s="55">
        <v>326.74894112002869</v>
      </c>
      <c r="Z868" s="17" t="str">
        <f>SUBSTITUTE(SUBSTITUTE(SUBSTITUTE(SUBSTITUTE(IF(E868="","",VLOOKUP(E868,[1]Esquemas_NORM!$A$2:$H$126,8,FALSE)),"PROVINCIA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868" s="17" t="str">
        <f>IF($E868="","",INDEX([1]Esquemas_NORM!$H$2:$K$126,MATCH($E868,[1]Esquemas_NORM!$A$2:$A$126,0),MATCH(AA$4,[1]Esquemas_NORM!$H$1:$K$1,0)))</f>
        <v>A la fecha no ha conformado un EAT Región</v>
      </c>
      <c r="AB868" s="17" t="str">
        <f>IF($E868="","",INDEX([1]Esquemas_NORM!$H$2:$K$126,MATCH($E868,[1]Esquemas_NORM!$A$2:$A$126,0),MATCH(AB$4,[1]Esquemas_NORM!$H$1:$K$1,0)))</f>
        <v>A la fecha no ha conformado un EAT Área Metropolitana</v>
      </c>
      <c r="AC868" s="17" t="str">
        <f>IF($E868="","",INDEX([1]Esquemas_NORM!$H$2:$K$126,MATCH($E868,[1]Esquemas_NORM!$A$2:$A$126,0),MATCH(AC$4,[1]Esquemas_NORM!$H$1:$K$1,0)))</f>
        <v>A la fecha no ha conformado un EAT asociación - unión</v>
      </c>
      <c r="AD868" s="23"/>
    </row>
    <row r="869" spans="1:30" x14ac:dyDescent="0.25">
      <c r="A869" s="51">
        <v>2021</v>
      </c>
      <c r="B869" s="52" t="s">
        <v>36</v>
      </c>
      <c r="C869" s="52" t="s">
        <v>252</v>
      </c>
      <c r="D869" s="52" t="s">
        <v>267</v>
      </c>
      <c r="E869" s="52" t="s">
        <v>290</v>
      </c>
      <c r="F869" s="52" t="s">
        <v>255</v>
      </c>
      <c r="G869" s="52" t="s">
        <v>291</v>
      </c>
      <c r="H869" s="53">
        <v>94.596830780972667</v>
      </c>
      <c r="I869" s="53">
        <v>0.16489532469952295</v>
      </c>
      <c r="J869" s="54">
        <v>94.761726105672196</v>
      </c>
      <c r="K869" s="53">
        <v>16.149188878961702</v>
      </c>
      <c r="L869" s="53">
        <v>7.0895849044667658</v>
      </c>
      <c r="M869" s="54">
        <v>23.238773783428467</v>
      </c>
      <c r="N869" s="53">
        <v>3.1659171467291514</v>
      </c>
      <c r="O869" s="53">
        <v>45.964181719445598</v>
      </c>
      <c r="P869" s="53">
        <v>9.8636794632018212</v>
      </c>
      <c r="Q869" s="53">
        <v>8.7893185787299526</v>
      </c>
      <c r="R869" s="53">
        <v>36.454028228505884</v>
      </c>
      <c r="S869" s="53">
        <v>24.937189611844861</v>
      </c>
      <c r="T869" s="53">
        <v>38.331109788711601</v>
      </c>
      <c r="U869" s="53">
        <v>11.069425548932857</v>
      </c>
      <c r="V869" s="54">
        <v>178.57485008610175</v>
      </c>
      <c r="W869" s="54">
        <v>315.53772338956861</v>
      </c>
      <c r="X869" s="53">
        <v>32.477588498514407</v>
      </c>
      <c r="Y869" s="55">
        <v>347.95067789632799</v>
      </c>
      <c r="Z869" s="17" t="str">
        <f>SUBSTITUTE(SUBSTITUTE(SUBSTITUTE(SUBSTITUTE(IF(E869="","",VLOOKUP(E869,[1]Esquemas_NORM!$A$2:$H$126,8,FALSE)),"PROVINCIA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69" s="17" t="str">
        <f>IF($E869="","",INDEX([1]Esquemas_NORM!$H$2:$K$126,MATCH($E869,[1]Esquemas_NORM!$A$2:$A$126,0),MATCH(AA$4,[1]Esquemas_NORM!$H$1:$K$1,0)))</f>
        <v>A la fecha no ha conformado un EAT Región</v>
      </c>
      <c r="AB869" s="17" t="str">
        <f>IF($E869="","",INDEX([1]Esquemas_NORM!$H$2:$K$126,MATCH($E869,[1]Esquemas_NORM!$A$2:$A$126,0),MATCH(AB$4,[1]Esquemas_NORM!$H$1:$K$1,0)))</f>
        <v>A la fecha no ha conformado un EAT Área Metropolitana</v>
      </c>
      <c r="AC869" s="17" t="str">
        <f>IF($E869="","",INDEX([1]Esquemas_NORM!$H$2:$K$126,MATCH($E869,[1]Esquemas_NORM!$A$2:$A$126,0),MATCH(AC$4,[1]Esquemas_NORM!$H$1:$K$1,0)))</f>
        <v>A la fecha no ha conformado un EAT asociación - unión</v>
      </c>
      <c r="AD869" s="23"/>
    </row>
    <row r="870" spans="1:30" x14ac:dyDescent="0.25">
      <c r="A870" s="51">
        <v>2021</v>
      </c>
      <c r="B870" s="52" t="s">
        <v>36</v>
      </c>
      <c r="C870" s="52" t="s">
        <v>252</v>
      </c>
      <c r="D870" s="52" t="s">
        <v>267</v>
      </c>
      <c r="E870" s="52" t="s">
        <v>292</v>
      </c>
      <c r="F870" s="52" t="s">
        <v>255</v>
      </c>
      <c r="G870" s="52" t="s">
        <v>293</v>
      </c>
      <c r="H870" s="53">
        <v>79.965833358376628</v>
      </c>
      <c r="I870" s="53">
        <v>0</v>
      </c>
      <c r="J870" s="54">
        <v>79.965833358376628</v>
      </c>
      <c r="K870" s="53">
        <v>19.877614879754514</v>
      </c>
      <c r="L870" s="53">
        <v>9.0644321949380924</v>
      </c>
      <c r="M870" s="54">
        <v>28.942047074692606</v>
      </c>
      <c r="N870" s="53">
        <v>2.3351986990977838</v>
      </c>
      <c r="O870" s="53">
        <v>29.452511158857781</v>
      </c>
      <c r="P870" s="53">
        <v>5.5890621773186551</v>
      </c>
      <c r="Q870" s="53">
        <v>5.769234125600871</v>
      </c>
      <c r="R870" s="53">
        <v>21.519308316178652</v>
      </c>
      <c r="S870" s="53">
        <v>17.095715075950636</v>
      </c>
      <c r="T870" s="53">
        <v>29.28393131608015</v>
      </c>
      <c r="U870" s="53">
        <v>7.8079395352686642</v>
      </c>
      <c r="V870" s="54">
        <v>118.85290040435318</v>
      </c>
      <c r="W870" s="54">
        <v>243.65880703773573</v>
      </c>
      <c r="X870" s="53">
        <v>25.079253231604199</v>
      </c>
      <c r="Y870" s="55">
        <v>268.68814978270797</v>
      </c>
      <c r="Z870" s="17" t="str">
        <f>SUBSTITUTE(SUBSTITUTE(SUBSTITUTE(SUBSTITUTE(IF(E870="","",VLOOKUP(E870,[1]Esquemas_NORM!$A$2:$H$126,8,FALSE)),"PROVINCIA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70" s="17" t="str">
        <f>IF($E870="","",INDEX([1]Esquemas_NORM!$H$2:$K$126,MATCH($E870,[1]Esquemas_NORM!$A$2:$A$126,0),MATCH(AA$4,[1]Esquemas_NORM!$H$1:$K$1,0)))</f>
        <v>A la fecha no ha conformado un EAT Región</v>
      </c>
      <c r="AB870" s="17" t="str">
        <f>IF($E870="","",INDEX([1]Esquemas_NORM!$H$2:$K$126,MATCH($E870,[1]Esquemas_NORM!$A$2:$A$126,0),MATCH(AB$4,[1]Esquemas_NORM!$H$1:$K$1,0)))</f>
        <v>A la fecha no ha conformado un EAT Área Metropolitana</v>
      </c>
      <c r="AC870" s="17" t="str">
        <f>IF($E870="","",INDEX([1]Esquemas_NORM!$H$2:$K$126,MATCH($E870,[1]Esquemas_NORM!$A$2:$A$126,0),MATCH(AC$4,[1]Esquemas_NORM!$H$1:$K$1,0)))</f>
        <v>A la fecha no ha conformado un EAT asociación - unión</v>
      </c>
      <c r="AD870" s="23"/>
    </row>
    <row r="871" spans="1:30" x14ac:dyDescent="0.25">
      <c r="A871" s="51">
        <v>2021</v>
      </c>
      <c r="B871" s="52" t="s">
        <v>36</v>
      </c>
      <c r="C871" s="52" t="s">
        <v>252</v>
      </c>
      <c r="D871" s="52" t="s">
        <v>267</v>
      </c>
      <c r="E871" s="52" t="s">
        <v>294</v>
      </c>
      <c r="F871" s="52" t="s">
        <v>255</v>
      </c>
      <c r="G871" s="52" t="s">
        <v>295</v>
      </c>
      <c r="H871" s="53">
        <v>27.20091663281362</v>
      </c>
      <c r="I871" s="53">
        <v>0.96456423018491622</v>
      </c>
      <c r="J871" s="54">
        <v>28.165480862998535</v>
      </c>
      <c r="K871" s="53">
        <v>4.6953248527897848</v>
      </c>
      <c r="L871" s="53">
        <v>1.9291350919276764</v>
      </c>
      <c r="M871" s="54">
        <v>6.6244599447174615</v>
      </c>
      <c r="N871" s="53">
        <v>1.4908880979764529</v>
      </c>
      <c r="O871" s="53">
        <v>8.1766975661523791</v>
      </c>
      <c r="P871" s="53">
        <v>2.571272642165368</v>
      </c>
      <c r="Q871" s="53">
        <v>2.569506880510307</v>
      </c>
      <c r="R871" s="53">
        <v>8.3567674161766679</v>
      </c>
      <c r="S871" s="53">
        <v>8.6205729623140943</v>
      </c>
      <c r="T871" s="53">
        <v>16.768095763937012</v>
      </c>
      <c r="U871" s="53">
        <v>3.1217528079241426</v>
      </c>
      <c r="V871" s="54">
        <v>51.675554137156425</v>
      </c>
      <c r="W871" s="54">
        <v>92.23468909822985</v>
      </c>
      <c r="X871" s="53">
        <v>9.4935091932621667</v>
      </c>
      <c r="Y871" s="55">
        <v>101.70930515861832</v>
      </c>
      <c r="Z871" s="17" t="str">
        <f>SUBSTITUTE(SUBSTITUTE(SUBSTITUTE(SUBSTITUTE(IF(E871="","",VLOOKUP(E871,[1]Esquemas_NORM!$A$2:$H$126,8,FALSE)),"PROVINCIA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71" s="17" t="str">
        <f>IF($E871="","",INDEX([1]Esquemas_NORM!$H$2:$K$126,MATCH($E871,[1]Esquemas_NORM!$A$2:$A$126,0),MATCH(AA$4,[1]Esquemas_NORM!$H$1:$K$1,0)))</f>
        <v>A la fecha no ha conformado un EAT Región</v>
      </c>
      <c r="AB871" s="17" t="str">
        <f>IF($E871="","",INDEX([1]Esquemas_NORM!$H$2:$K$126,MATCH($E871,[1]Esquemas_NORM!$A$2:$A$126,0),MATCH(AB$4,[1]Esquemas_NORM!$H$1:$K$1,0)))</f>
        <v>A la fecha no ha conformado un EAT Área Metropolitana</v>
      </c>
      <c r="AC871" s="17" t="str">
        <f>IF($E871="","",INDEX([1]Esquemas_NORM!$H$2:$K$126,MATCH($E871,[1]Esquemas_NORM!$A$2:$A$126,0),MATCH(AC$4,[1]Esquemas_NORM!$H$1:$K$1,0)))</f>
        <v>A la fecha no ha conformado un EAT asociación - unión</v>
      </c>
      <c r="AD871" s="23"/>
    </row>
    <row r="872" spans="1:30" x14ac:dyDescent="0.25">
      <c r="A872" s="51">
        <v>2021</v>
      </c>
      <c r="B872" s="52" t="s">
        <v>36</v>
      </c>
      <c r="C872" s="52" t="s">
        <v>252</v>
      </c>
      <c r="D872" s="52" t="s">
        <v>253</v>
      </c>
      <c r="E872" s="52" t="s">
        <v>296</v>
      </c>
      <c r="F872" s="52" t="s">
        <v>255</v>
      </c>
      <c r="G872" s="52" t="s">
        <v>297</v>
      </c>
      <c r="H872" s="53">
        <v>17.296016180080482</v>
      </c>
      <c r="I872" s="53">
        <v>5.2262971002683987</v>
      </c>
      <c r="J872" s="54">
        <v>22.522313280348882</v>
      </c>
      <c r="K872" s="53">
        <v>5.0501695247006406</v>
      </c>
      <c r="L872" s="53">
        <v>2.7089612979485143</v>
      </c>
      <c r="M872" s="54">
        <v>7.7591308226491549</v>
      </c>
      <c r="N872" s="53">
        <v>1.9722195276545407</v>
      </c>
      <c r="O872" s="53">
        <v>14.28199242792922</v>
      </c>
      <c r="P872" s="53">
        <v>5.5663124627819967</v>
      </c>
      <c r="Q872" s="53">
        <v>2.7723644660596944</v>
      </c>
      <c r="R872" s="53">
        <v>14.202341509522824</v>
      </c>
      <c r="S872" s="53">
        <v>12.313652768046408</v>
      </c>
      <c r="T872" s="53">
        <v>16.832438526725589</v>
      </c>
      <c r="U872" s="53">
        <v>6.1516715794034473</v>
      </c>
      <c r="V872" s="54">
        <v>74.09299326812372</v>
      </c>
      <c r="W872" s="54">
        <v>109.27350366061761</v>
      </c>
      <c r="X872" s="53">
        <v>11.247276070686247</v>
      </c>
      <c r="Y872" s="55">
        <v>120.49839640845207</v>
      </c>
      <c r="Z872" s="17" t="str">
        <f>SUBSTITUTE(SUBSTITUTE(SUBSTITUTE(SUBSTITUTE(IF(E872="","",VLOOKUP(E872,[1]Esquemas_NORM!$A$2:$H$126,8,FALSE)),"PROVINCIA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872" s="17" t="str">
        <f>IF($E872="","",INDEX([1]Esquemas_NORM!$H$2:$K$126,MATCH($E872,[1]Esquemas_NORM!$A$2:$A$126,0),MATCH(AA$4,[1]Esquemas_NORM!$H$1:$K$1,0)))</f>
        <v>A la fecha no ha conformado un EAT Región</v>
      </c>
      <c r="AB872" s="17" t="str">
        <f>IF($E872="","",INDEX([1]Esquemas_NORM!$H$2:$K$126,MATCH($E872,[1]Esquemas_NORM!$A$2:$A$126,0),MATCH(AB$4,[1]Esquemas_NORM!$H$1:$K$1,0)))</f>
        <v>A la fecha no ha conformado un EAT Área Metropolitana</v>
      </c>
      <c r="AC872" s="17" t="str">
        <f>IF($E872="","",INDEX([1]Esquemas_NORM!$H$2:$K$126,MATCH($E872,[1]Esquemas_NORM!$A$2:$A$126,0),MATCH(AC$4,[1]Esquemas_NORM!$H$1:$K$1,0)))</f>
        <v>A la fecha no ha conformado un EAT asociación - unión</v>
      </c>
      <c r="AD872" s="23"/>
    </row>
    <row r="873" spans="1:30" x14ac:dyDescent="0.25">
      <c r="A873" s="51">
        <v>2021</v>
      </c>
      <c r="B873" s="52" t="s">
        <v>36</v>
      </c>
      <c r="C873" s="52" t="s">
        <v>252</v>
      </c>
      <c r="D873" s="52" t="s">
        <v>264</v>
      </c>
      <c r="E873" s="52" t="s">
        <v>298</v>
      </c>
      <c r="F873" s="52" t="s">
        <v>255</v>
      </c>
      <c r="G873" s="52" t="s">
        <v>299</v>
      </c>
      <c r="H873" s="53">
        <v>251.66084318539973</v>
      </c>
      <c r="I873" s="53">
        <v>2.03042710960439</v>
      </c>
      <c r="J873" s="54">
        <v>253.69127029500413</v>
      </c>
      <c r="K873" s="53">
        <v>19.070048391427317</v>
      </c>
      <c r="L873" s="53">
        <v>23.493029339896808</v>
      </c>
      <c r="M873" s="54">
        <v>42.563077731324128</v>
      </c>
      <c r="N873" s="53">
        <v>3.5086244017613537</v>
      </c>
      <c r="O873" s="53">
        <v>40.76015963497003</v>
      </c>
      <c r="P873" s="53">
        <v>11.10833493778374</v>
      </c>
      <c r="Q873" s="53">
        <v>12.585476766360653</v>
      </c>
      <c r="R873" s="53">
        <v>32.90523400051746</v>
      </c>
      <c r="S873" s="53">
        <v>31.601605454689587</v>
      </c>
      <c r="T873" s="53">
        <v>66.096270735953638</v>
      </c>
      <c r="U873" s="53">
        <v>13.785285028572734</v>
      </c>
      <c r="V873" s="54">
        <v>212.35099096060918</v>
      </c>
      <c r="W873" s="54">
        <v>566.35498048593229</v>
      </c>
      <c r="X873" s="53">
        <v>58.293644901538435</v>
      </c>
      <c r="Y873" s="55">
        <v>624.53261458931297</v>
      </c>
      <c r="Z873" s="17" t="str">
        <f>SUBSTITUTE(SUBSTITUTE(SUBSTITUTE(SUBSTITUTE(IF(E873="","",VLOOKUP(E873,[1]Esquemas_NORM!$A$2:$H$126,8,FALSE)),"PROVINCIA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873" s="17" t="str">
        <f>IF($E873="","",INDEX([1]Esquemas_NORM!$H$2:$K$126,MATCH($E873,[1]Esquemas_NORM!$A$2:$A$126,0),MATCH(AA$4,[1]Esquemas_NORM!$H$1:$K$1,0)))</f>
        <v>A la fecha no ha conformado un EAT Región</v>
      </c>
      <c r="AB873" s="17" t="str">
        <f>IF($E873="","",INDEX([1]Esquemas_NORM!$H$2:$K$126,MATCH($E873,[1]Esquemas_NORM!$A$2:$A$126,0),MATCH(AB$4,[1]Esquemas_NORM!$H$1:$K$1,0)))</f>
        <v>A la fecha no ha conformado un EAT Área Metropolitana</v>
      </c>
      <c r="AC873" s="17" t="str">
        <f>IF($E873="","",INDEX([1]Esquemas_NORM!$H$2:$K$126,MATCH($E873,[1]Esquemas_NORM!$A$2:$A$126,0),MATCH(AC$4,[1]Esquemas_NORM!$H$1:$K$1,0)))</f>
        <v>A la fecha no ha conformado un EAT asociación - unión</v>
      </c>
      <c r="AD873" s="23"/>
    </row>
    <row r="874" spans="1:30" x14ac:dyDescent="0.25">
      <c r="A874" s="51">
        <v>2021</v>
      </c>
      <c r="B874" s="52" t="s">
        <v>36</v>
      </c>
      <c r="C874" s="52" t="s">
        <v>252</v>
      </c>
      <c r="D874" s="52" t="s">
        <v>267</v>
      </c>
      <c r="E874" s="52" t="s">
        <v>300</v>
      </c>
      <c r="F874" s="52" t="s">
        <v>255</v>
      </c>
      <c r="G874" s="52" t="s">
        <v>301</v>
      </c>
      <c r="H874" s="53">
        <v>78.641746227774519</v>
      </c>
      <c r="I874" s="53">
        <v>2.0121133897076202</v>
      </c>
      <c r="J874" s="54">
        <v>80.653859617482141</v>
      </c>
      <c r="K874" s="53">
        <v>7.0697335617990298</v>
      </c>
      <c r="L874" s="53">
        <v>4.3806798002276448</v>
      </c>
      <c r="M874" s="54">
        <v>11.450413362026675</v>
      </c>
      <c r="N874" s="53">
        <v>1.012750445913958</v>
      </c>
      <c r="O874" s="53">
        <v>7.7352118621472838</v>
      </c>
      <c r="P874" s="53">
        <v>2.8164898414486124</v>
      </c>
      <c r="Q874" s="53">
        <v>1.9883226487186769</v>
      </c>
      <c r="R874" s="53">
        <v>11.209989979180657</v>
      </c>
      <c r="S874" s="53">
        <v>8.2491716399189023</v>
      </c>
      <c r="T874" s="53">
        <v>15.86243923134812</v>
      </c>
      <c r="U874" s="53">
        <v>4.4234583552392044</v>
      </c>
      <c r="V874" s="54">
        <v>53.297834003915412</v>
      </c>
      <c r="W874" s="54">
        <v>164.49275020182765</v>
      </c>
      <c r="X874" s="53">
        <v>16.930868977113398</v>
      </c>
      <c r="Y874" s="55">
        <v>181.38992487784085</v>
      </c>
      <c r="Z874" s="17" t="str">
        <f>SUBSTITUTE(SUBSTITUTE(SUBSTITUTE(SUBSTITUTE(IF(E874="","",VLOOKUP(E874,[1]Esquemas_NORM!$A$2:$H$126,8,FALSE)),"PROVINCIA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74" s="17" t="str">
        <f>IF($E874="","",INDEX([1]Esquemas_NORM!$H$2:$K$126,MATCH($E874,[1]Esquemas_NORM!$A$2:$A$126,0),MATCH(AA$4,[1]Esquemas_NORM!$H$1:$K$1,0)))</f>
        <v>A la fecha no ha conformado un EAT Región</v>
      </c>
      <c r="AB874" s="17" t="str">
        <f>IF($E874="","",INDEX([1]Esquemas_NORM!$H$2:$K$126,MATCH($E874,[1]Esquemas_NORM!$A$2:$A$126,0),MATCH(AB$4,[1]Esquemas_NORM!$H$1:$K$1,0)))</f>
        <v>A la fecha no ha conformado un EAT Área Metropolitana</v>
      </c>
      <c r="AC874" s="17" t="str">
        <f>IF($E874="","",INDEX([1]Esquemas_NORM!$H$2:$K$126,MATCH($E874,[1]Esquemas_NORM!$A$2:$A$126,0),MATCH(AC$4,[1]Esquemas_NORM!$H$1:$K$1,0)))</f>
        <v>A la fecha no ha conformado un EAT asociación - unión</v>
      </c>
      <c r="AD874" s="23"/>
    </row>
    <row r="875" spans="1:30" x14ac:dyDescent="0.25">
      <c r="A875" s="51">
        <v>2021</v>
      </c>
      <c r="B875" s="52" t="s">
        <v>36</v>
      </c>
      <c r="C875" s="52" t="s">
        <v>252</v>
      </c>
      <c r="D875" s="52" t="s">
        <v>253</v>
      </c>
      <c r="E875" s="52" t="s">
        <v>302</v>
      </c>
      <c r="F875" s="52" t="s">
        <v>255</v>
      </c>
      <c r="G875" s="52" t="s">
        <v>303</v>
      </c>
      <c r="H875" s="53">
        <v>36.984692824085876</v>
      </c>
      <c r="I875" s="53">
        <v>5.9600927289151402</v>
      </c>
      <c r="J875" s="54">
        <v>42.944785553001019</v>
      </c>
      <c r="K875" s="53">
        <v>6.7179370736122959</v>
      </c>
      <c r="L875" s="53">
        <v>5.9398957352427404</v>
      </c>
      <c r="M875" s="54">
        <v>12.657832808855037</v>
      </c>
      <c r="N875" s="53">
        <v>5.6133278321652691</v>
      </c>
      <c r="O875" s="53">
        <v>28.348381973905838</v>
      </c>
      <c r="P875" s="53">
        <v>5.9461279811356746</v>
      </c>
      <c r="Q875" s="53">
        <v>3.5893571112839666</v>
      </c>
      <c r="R875" s="53">
        <v>17.136402291199662</v>
      </c>
      <c r="S875" s="53">
        <v>17.979168148136424</v>
      </c>
      <c r="T875" s="53">
        <v>27.096793072287433</v>
      </c>
      <c r="U875" s="53">
        <v>5.5333948774368658</v>
      </c>
      <c r="V875" s="54">
        <v>111.24295328755112</v>
      </c>
      <c r="W875" s="54">
        <v>177.84806610873659</v>
      </c>
      <c r="X875" s="53">
        <v>18.305501618905716</v>
      </c>
      <c r="Y875" s="55">
        <v>196.11713775560938</v>
      </c>
      <c r="Z875" s="17" t="str">
        <f>SUBSTITUTE(SUBSTITUTE(SUBSTITUTE(SUBSTITUTE(IF(E875="","",VLOOKUP(E875,[1]Esquemas_NORM!$A$2:$H$126,8,FALSE)),"PROVINCIA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875" s="17" t="str">
        <f>IF($E875="","",INDEX([1]Esquemas_NORM!$H$2:$K$126,MATCH($E875,[1]Esquemas_NORM!$A$2:$A$126,0),MATCH(AA$4,[1]Esquemas_NORM!$H$1:$K$1,0)))</f>
        <v>A la fecha no ha conformado un EAT Región</v>
      </c>
      <c r="AB875" s="17" t="str">
        <f>IF($E875="","",INDEX([1]Esquemas_NORM!$H$2:$K$126,MATCH($E875,[1]Esquemas_NORM!$A$2:$A$126,0),MATCH(AB$4,[1]Esquemas_NORM!$H$1:$K$1,0)))</f>
        <v>A la fecha no ha conformado un EAT Área Metropolitana</v>
      </c>
      <c r="AC875" s="17" t="str">
        <f>IF($E875="","",INDEX([1]Esquemas_NORM!$H$2:$K$126,MATCH($E875,[1]Esquemas_NORM!$A$2:$A$126,0),MATCH(AC$4,[1]Esquemas_NORM!$H$1:$K$1,0)))</f>
        <v>A la fecha no ha conformado un EAT asociación - unión</v>
      </c>
      <c r="AD875" s="23"/>
    </row>
    <row r="876" spans="1:30" x14ac:dyDescent="0.25">
      <c r="A876" s="51">
        <v>2021</v>
      </c>
      <c r="B876" s="52" t="s">
        <v>36</v>
      </c>
      <c r="C876" s="52" t="s">
        <v>304</v>
      </c>
      <c r="D876" s="52" t="s">
        <v>305</v>
      </c>
      <c r="E876" s="52" t="s">
        <v>306</v>
      </c>
      <c r="F876" s="52" t="s">
        <v>307</v>
      </c>
      <c r="G876" s="52" t="s">
        <v>308</v>
      </c>
      <c r="H876" s="53">
        <v>601.22445593694351</v>
      </c>
      <c r="I876" s="53">
        <v>3.3145219321771866</v>
      </c>
      <c r="J876" s="54">
        <v>604.53897786912069</v>
      </c>
      <c r="K876" s="53">
        <v>93.709239561987445</v>
      </c>
      <c r="L876" s="53">
        <v>102.250510940921</v>
      </c>
      <c r="M876" s="54">
        <v>195.95975050290843</v>
      </c>
      <c r="N876" s="53">
        <v>27.891729600532042</v>
      </c>
      <c r="O876" s="53">
        <v>438.32893991428716</v>
      </c>
      <c r="P876" s="53">
        <v>66.708078885514496</v>
      </c>
      <c r="Q876" s="53">
        <v>72.322629108290897</v>
      </c>
      <c r="R876" s="53">
        <v>114.08513705413829</v>
      </c>
      <c r="S876" s="53">
        <v>209.43978215942838</v>
      </c>
      <c r="T876" s="53">
        <v>376.0209611312078</v>
      </c>
      <c r="U876" s="53">
        <v>58.755099748163332</v>
      </c>
      <c r="V876" s="54">
        <v>1363.5523576015623</v>
      </c>
      <c r="W876" s="54">
        <v>2295.7433383765433</v>
      </c>
      <c r="X876" s="53">
        <v>236.29570068850398</v>
      </c>
      <c r="Y876" s="55">
        <v>2531.5687844964013</v>
      </c>
      <c r="Z876" s="17" t="str">
        <f>SUBSTITUTE(SUBSTITUTE(SUBSTITUTE(SUBSTITUTE(IF(E876="","",VLOOKUP(E876,[1]Esquemas_NORM!$A$2:$H$126,8,FALSE)),"PROVINCIA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76" s="17" t="str">
        <f>IF($E876="","",INDEX([1]Esquemas_NORM!$H$2:$K$126,MATCH($E876,[1]Esquemas_NORM!$A$2:$A$126,0),MATCH(AA$4,[1]Esquemas_NORM!$H$1:$K$1,0)))</f>
        <v>Región de Planeación y Gestión de Urabá - RPG (Acuerdo de Voluntades)</v>
      </c>
      <c r="AB876" s="17" t="str">
        <f>IF($E876="","",INDEX([1]Esquemas_NORM!$H$2:$K$126,MATCH($E876,[1]Esquemas_NORM!$A$2:$A$126,0),MATCH(AB$4,[1]Esquemas_NORM!$H$1:$K$1,0)))</f>
        <v>A la fecha no ha conformado un EAT Área Metropolitana</v>
      </c>
      <c r="AC876" s="17" t="str">
        <f>IF($E876="","",INDEX([1]Esquemas_NORM!$H$2:$K$126,MATCH($E876,[1]Esquemas_NORM!$A$2:$A$126,0),MATCH(AC$4,[1]Esquemas_NORM!$H$1:$K$1,0)))</f>
        <v>ASOCIACIÓN DE MUNICIPIOS DEL URABÁ ANTIOQUEÑO - ASOMURA</v>
      </c>
      <c r="AD876" s="23"/>
    </row>
    <row r="877" spans="1:30" x14ac:dyDescent="0.25">
      <c r="A877" s="51">
        <v>2021</v>
      </c>
      <c r="B877" s="52" t="s">
        <v>36</v>
      </c>
      <c r="C877" s="52" t="s">
        <v>304</v>
      </c>
      <c r="D877" s="52" t="s">
        <v>309</v>
      </c>
      <c r="E877" s="52" t="s">
        <v>310</v>
      </c>
      <c r="F877" s="52" t="s">
        <v>307</v>
      </c>
      <c r="G877" s="52" t="s">
        <v>311</v>
      </c>
      <c r="H877" s="53">
        <v>38.336571830853991</v>
      </c>
      <c r="I877" s="53">
        <v>0</v>
      </c>
      <c r="J877" s="54">
        <v>38.336571830853991</v>
      </c>
      <c r="K877" s="53">
        <v>3.6098074933075774</v>
      </c>
      <c r="L877" s="53">
        <v>15.848045644431735</v>
      </c>
      <c r="M877" s="54">
        <v>19.457853137739313</v>
      </c>
      <c r="N877" s="53">
        <v>2.5808579852898887</v>
      </c>
      <c r="O877" s="53">
        <v>52.25026522499126</v>
      </c>
      <c r="P877" s="53">
        <v>9.9148115279163704</v>
      </c>
      <c r="Q877" s="53">
        <v>7.7942364297594651</v>
      </c>
      <c r="R877" s="53">
        <v>17.811511317124364</v>
      </c>
      <c r="S877" s="53">
        <v>26.005670060554539</v>
      </c>
      <c r="T877" s="53">
        <v>64.420411306107724</v>
      </c>
      <c r="U877" s="53">
        <v>9.2469312335041476</v>
      </c>
      <c r="V877" s="54">
        <v>190.02469508524774</v>
      </c>
      <c r="W877" s="54">
        <v>253.14649946639335</v>
      </c>
      <c r="X877" s="53">
        <v>26.055800083706988</v>
      </c>
      <c r="Y877" s="55">
        <v>279.15044562726831</v>
      </c>
      <c r="Z877" s="17" t="str">
        <f>SUBSTITUTE(SUBSTITUTE(SUBSTITUTE(SUBSTITUTE(IF(E877="","",VLOOKUP(E877,[1]Esquemas_NORM!$A$2:$H$126,8,FALSE)),"PROVINCIA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77" s="17" t="str">
        <f>IF($E877="","",INDEX([1]Esquemas_NORM!$H$2:$K$126,MATCH($E877,[1]Esquemas_NORM!$A$2:$A$126,0),MATCH(AA$4,[1]Esquemas_NORM!$H$1:$K$1,0)))</f>
        <v>Región de Planeación y Gestión de Urabá - RPG (Acuerdo de Voluntades)</v>
      </c>
      <c r="AB877" s="17" t="str">
        <f>IF($E877="","",INDEX([1]Esquemas_NORM!$H$2:$K$126,MATCH($E877,[1]Esquemas_NORM!$A$2:$A$126,0),MATCH(AB$4,[1]Esquemas_NORM!$H$1:$K$1,0)))</f>
        <v>A la fecha no ha conformado un EAT Área Metropolitana</v>
      </c>
      <c r="AC877" s="17" t="str">
        <f>IF($E877="","",INDEX([1]Esquemas_NORM!$H$2:$K$126,MATCH($E877,[1]Esquemas_NORM!$A$2:$A$126,0),MATCH(AC$4,[1]Esquemas_NORM!$H$1:$K$1,0)))</f>
        <v>ASOCIACIÓN DE MUNICIPIOS DEL URABÁ ANTIOQUEÑO - ASOMURA /ASOCIACIÓN DE MUNICIPIOS DEL URABÁ NORTE-ASOURANOR</v>
      </c>
      <c r="AD877" s="23"/>
    </row>
    <row r="878" spans="1:30" x14ac:dyDescent="0.25">
      <c r="A878" s="51">
        <v>2021</v>
      </c>
      <c r="B878" s="52" t="s">
        <v>36</v>
      </c>
      <c r="C878" s="52" t="s">
        <v>304</v>
      </c>
      <c r="D878" s="52" t="s">
        <v>305</v>
      </c>
      <c r="E878" s="52" t="s">
        <v>312</v>
      </c>
      <c r="F878" s="52" t="s">
        <v>307</v>
      </c>
      <c r="G878" s="52" t="s">
        <v>313</v>
      </c>
      <c r="H878" s="53">
        <v>526.44666230523467</v>
      </c>
      <c r="I878" s="53">
        <v>0</v>
      </c>
      <c r="J878" s="54">
        <v>526.44666230523467</v>
      </c>
      <c r="K878" s="53">
        <v>52.172506356136722</v>
      </c>
      <c r="L878" s="53">
        <v>26.302179797439319</v>
      </c>
      <c r="M878" s="54">
        <v>78.474686153576044</v>
      </c>
      <c r="N878" s="53">
        <v>10.132774853366843</v>
      </c>
      <c r="O878" s="53">
        <v>118.29345004602919</v>
      </c>
      <c r="P878" s="53">
        <v>23.380567573871527</v>
      </c>
      <c r="Q878" s="53">
        <v>17.985128315058176</v>
      </c>
      <c r="R878" s="53">
        <v>43.971314118769527</v>
      </c>
      <c r="S878" s="53">
        <v>60.130259212104619</v>
      </c>
      <c r="T878" s="53">
        <v>94.757671691076297</v>
      </c>
      <c r="U878" s="53">
        <v>18.899528677992606</v>
      </c>
      <c r="V878" s="54">
        <v>387.55069448826885</v>
      </c>
      <c r="W878" s="54">
        <v>1120.7690295162015</v>
      </c>
      <c r="X878" s="53">
        <v>115.35823657312594</v>
      </c>
      <c r="Y878" s="55">
        <v>1235.89769044482</v>
      </c>
      <c r="Z878" s="17" t="str">
        <f>SUBSTITUTE(SUBSTITUTE(SUBSTITUTE(SUBSTITUTE(IF(E878="","",VLOOKUP(E878,[1]Esquemas_NORM!$A$2:$H$126,8,FALSE)),"PROVINCIA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78" s="17" t="str">
        <f>IF($E878="","",INDEX([1]Esquemas_NORM!$H$2:$K$126,MATCH($E878,[1]Esquemas_NORM!$A$2:$A$126,0),MATCH(AA$4,[1]Esquemas_NORM!$H$1:$K$1,0)))</f>
        <v>Región de Planeación y Gestión de Urabá - RPG (Acuerdo de Voluntades)</v>
      </c>
      <c r="AB878" s="17" t="str">
        <f>IF($E878="","",INDEX([1]Esquemas_NORM!$H$2:$K$126,MATCH($E878,[1]Esquemas_NORM!$A$2:$A$126,0),MATCH(AB$4,[1]Esquemas_NORM!$H$1:$K$1,0)))</f>
        <v>A la fecha no ha conformado un EAT Área Metropolitana</v>
      </c>
      <c r="AC878" s="17" t="str">
        <f>IF($E878="","",INDEX([1]Esquemas_NORM!$H$2:$K$126,MATCH($E878,[1]Esquemas_NORM!$A$2:$A$126,0),MATCH(AC$4,[1]Esquemas_NORM!$H$1:$K$1,0)))</f>
        <v>ASOCIACIÓN DE MUNICIPIOS DEL URABÁ ANTIOQUEÑO - ASOMURA / ASOCIACIÓN DE MUNICIPIOS DEL CHOCÓ Y URABÁ - ASUMUCUR</v>
      </c>
      <c r="AD878" s="23"/>
    </row>
    <row r="879" spans="1:30" x14ac:dyDescent="0.25">
      <c r="A879" s="51">
        <v>2021</v>
      </c>
      <c r="B879" s="52" t="s">
        <v>36</v>
      </c>
      <c r="C879" s="52" t="s">
        <v>304</v>
      </c>
      <c r="D879" s="52" t="s">
        <v>305</v>
      </c>
      <c r="E879" s="52" t="s">
        <v>314</v>
      </c>
      <c r="F879" s="52" t="s">
        <v>307</v>
      </c>
      <c r="G879" s="52" t="s">
        <v>315</v>
      </c>
      <c r="H879" s="53">
        <v>285.83949245463128</v>
      </c>
      <c r="I879" s="53">
        <v>1.6568334163315686</v>
      </c>
      <c r="J879" s="54">
        <v>287.49632587096283</v>
      </c>
      <c r="K879" s="53">
        <v>22.42946368782145</v>
      </c>
      <c r="L879" s="53">
        <v>42.817413312013194</v>
      </c>
      <c r="M879" s="54">
        <v>65.24687699983464</v>
      </c>
      <c r="N879" s="53">
        <v>12.235024868143098</v>
      </c>
      <c r="O879" s="53">
        <v>145.33103367928166</v>
      </c>
      <c r="P879" s="53">
        <v>33.626946633021426</v>
      </c>
      <c r="Q879" s="53">
        <v>30.050724952514344</v>
      </c>
      <c r="R879" s="53">
        <v>52.4942885256051</v>
      </c>
      <c r="S879" s="53">
        <v>68.724200040417642</v>
      </c>
      <c r="T879" s="53">
        <v>120.18174235081955</v>
      </c>
      <c r="U879" s="53">
        <v>26.758689865394434</v>
      </c>
      <c r="V879" s="54">
        <v>489.40265091519723</v>
      </c>
      <c r="W879" s="54">
        <v>906.16076778296167</v>
      </c>
      <c r="X879" s="53">
        <v>93.269090660260773</v>
      </c>
      <c r="Y879" s="55">
        <v>999.24424264120523</v>
      </c>
      <c r="Z879" s="17" t="str">
        <f>SUBSTITUTE(SUBSTITUTE(SUBSTITUTE(SUBSTITUTE(IF(E879="","",VLOOKUP(E879,[1]Esquemas_NORM!$A$2:$H$126,8,FALSE)),"PROVINCIA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79" s="17" t="str">
        <f>IF($E879="","",INDEX([1]Esquemas_NORM!$H$2:$K$126,MATCH($E879,[1]Esquemas_NORM!$A$2:$A$126,0),MATCH(AA$4,[1]Esquemas_NORM!$H$1:$K$1,0)))</f>
        <v>Región de Planeación y Gestión de Urabá - RPG (Acuerdo de Voluntades)</v>
      </c>
      <c r="AB879" s="17" t="str">
        <f>IF($E879="","",INDEX([1]Esquemas_NORM!$H$2:$K$126,MATCH($E879,[1]Esquemas_NORM!$A$2:$A$126,0),MATCH(AB$4,[1]Esquemas_NORM!$H$1:$K$1,0)))</f>
        <v>A la fecha no ha conformado un EAT Área Metropolitana</v>
      </c>
      <c r="AC879" s="17" t="str">
        <f>IF($E879="","",INDEX([1]Esquemas_NORM!$H$2:$K$126,MATCH($E879,[1]Esquemas_NORM!$A$2:$A$126,0),MATCH(AC$4,[1]Esquemas_NORM!$H$1:$K$1,0)))</f>
        <v>ASOCIACIÓN DE MUNICIPIOS DEL URABÁ ANTIOQUEÑO - ASOMURA</v>
      </c>
      <c r="AD879" s="23"/>
    </row>
    <row r="880" spans="1:30" x14ac:dyDescent="0.25">
      <c r="A880" s="51">
        <v>2021</v>
      </c>
      <c r="B880" s="52" t="s">
        <v>36</v>
      </c>
      <c r="C880" s="52" t="s">
        <v>304</v>
      </c>
      <c r="D880" s="52" t="s">
        <v>316</v>
      </c>
      <c r="E880" s="52" t="s">
        <v>317</v>
      </c>
      <c r="F880" s="52" t="s">
        <v>307</v>
      </c>
      <c r="G880" s="52" t="s">
        <v>318</v>
      </c>
      <c r="H880" s="53">
        <v>1.6776126245034766</v>
      </c>
      <c r="I880" s="53">
        <v>0</v>
      </c>
      <c r="J880" s="54">
        <v>1.6776126245034766</v>
      </c>
      <c r="K880" s="53">
        <v>1.2129054008115578E-2</v>
      </c>
      <c r="L880" s="53">
        <v>2.7209681228472173</v>
      </c>
      <c r="M880" s="54">
        <v>2.7330971768553329</v>
      </c>
      <c r="N880" s="53">
        <v>0.17841132087965644</v>
      </c>
      <c r="O880" s="53">
        <v>4.8896805980340732</v>
      </c>
      <c r="P880" s="53">
        <v>1.5990714821811098</v>
      </c>
      <c r="Q880" s="53">
        <v>0.73588037573406395</v>
      </c>
      <c r="R880" s="53">
        <v>3.0334876556677512</v>
      </c>
      <c r="S880" s="53">
        <v>5.9251009296078312</v>
      </c>
      <c r="T880" s="53">
        <v>18.698306906055045</v>
      </c>
      <c r="U880" s="53">
        <v>1.9708071427506175</v>
      </c>
      <c r="V880" s="54">
        <v>37.030746410910147</v>
      </c>
      <c r="W880" s="54">
        <v>40.490658473205585</v>
      </c>
      <c r="X880" s="53">
        <v>4.1676124483597201</v>
      </c>
      <c r="Y880" s="55">
        <v>44.649976912032145</v>
      </c>
      <c r="Z880" s="17" t="str">
        <f>SUBSTITUTE(SUBSTITUTE(SUBSTITUTE(SUBSTITUTE(IF(E880="","",VLOOKUP(E880,[1]Esquemas_NORM!$A$2:$H$126,8,FALSE)),"PROVINCIA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80" s="17" t="str">
        <f>IF($E880="","",INDEX([1]Esquemas_NORM!$H$2:$K$126,MATCH($E880,[1]Esquemas_NORM!$A$2:$A$126,0),MATCH(AA$4,[1]Esquemas_NORM!$H$1:$K$1,0)))</f>
        <v>Región de Planeación y Gestión de Urabá - RPG (Acuerdo de Voluntades)</v>
      </c>
      <c r="AB880" s="17" t="str">
        <f>IF($E880="","",INDEX([1]Esquemas_NORM!$H$2:$K$126,MATCH($E880,[1]Esquemas_NORM!$A$2:$A$126,0),MATCH(AB$4,[1]Esquemas_NORM!$H$1:$K$1,0)))</f>
        <v>A la fecha no ha conformado un EAT Área Metropolitana</v>
      </c>
      <c r="AC880" s="17" t="str">
        <f>IF($E880="","",INDEX([1]Esquemas_NORM!$H$2:$K$126,MATCH($E880,[1]Esquemas_NORM!$A$2:$A$126,0),MATCH(AC$4,[1]Esquemas_NORM!$H$1:$K$1,0)))</f>
        <v>ASOCIACION DE MUNICIPIOS DE LA CUENCA DEL ATRATO Y DARIEN ASOATRATO / ASOCIACIÓN DE MUNICIPIOS DEL CHOCÓ Y URABÁ - ASUMUCUR</v>
      </c>
      <c r="AD880" s="23"/>
    </row>
    <row r="881" spans="1:30" x14ac:dyDescent="0.25">
      <c r="A881" s="51">
        <v>2021</v>
      </c>
      <c r="B881" s="52" t="s">
        <v>36</v>
      </c>
      <c r="C881" s="52" t="s">
        <v>304</v>
      </c>
      <c r="D881" s="52" t="s">
        <v>305</v>
      </c>
      <c r="E881" s="52" t="s">
        <v>319</v>
      </c>
      <c r="F881" s="52" t="s">
        <v>307</v>
      </c>
      <c r="G881" s="52" t="s">
        <v>320</v>
      </c>
      <c r="H881" s="53">
        <v>38.512740789185898</v>
      </c>
      <c r="I881" s="53">
        <v>10.100673567633024</v>
      </c>
      <c r="J881" s="54">
        <v>48.613414356818922</v>
      </c>
      <c r="K881" s="53">
        <v>5.588803633304809</v>
      </c>
      <c r="L881" s="53">
        <v>7.1870961475748665</v>
      </c>
      <c r="M881" s="54">
        <v>12.775899780879676</v>
      </c>
      <c r="N881" s="53">
        <v>1.7832920818836355</v>
      </c>
      <c r="O881" s="53">
        <v>31.84184798805034</v>
      </c>
      <c r="P881" s="53">
        <v>4.6900497368401961</v>
      </c>
      <c r="Q881" s="53">
        <v>4.26886263230542</v>
      </c>
      <c r="R881" s="53">
        <v>9.3847645200942242</v>
      </c>
      <c r="S881" s="53">
        <v>15.504985700033123</v>
      </c>
      <c r="T881" s="53">
        <v>38.032767842897847</v>
      </c>
      <c r="U881" s="53">
        <v>4.0960004360078637</v>
      </c>
      <c r="V881" s="54">
        <v>109.60257093811265</v>
      </c>
      <c r="W881" s="54">
        <v>184.81506305477495</v>
      </c>
      <c r="X881" s="53">
        <v>19.022598951841466</v>
      </c>
      <c r="Y881" s="55">
        <v>203.79980493161051</v>
      </c>
      <c r="Z881" s="17" t="str">
        <f>SUBSTITUTE(SUBSTITUTE(SUBSTITUTE(SUBSTITUTE(IF(E881="","",VLOOKUP(E881,[1]Esquemas_NORM!$A$2:$H$126,8,FALSE)),"PROVINCIA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81" s="17" t="str">
        <f>IF($E881="","",INDEX([1]Esquemas_NORM!$H$2:$K$126,MATCH($E881,[1]Esquemas_NORM!$A$2:$A$126,0),MATCH(AA$4,[1]Esquemas_NORM!$H$1:$K$1,0)))</f>
        <v>Región de Planeación y Gestión de Urabá - RPG (Acuerdo de Voluntades)</v>
      </c>
      <c r="AB881" s="17" t="str">
        <f>IF($E881="","",INDEX([1]Esquemas_NORM!$H$2:$K$126,MATCH($E881,[1]Esquemas_NORM!$A$2:$A$126,0),MATCH(AB$4,[1]Esquemas_NORM!$H$1:$K$1,0)))</f>
        <v>A la fecha no ha conformado un EAT Área Metropolitana</v>
      </c>
      <c r="AC881" s="17" t="str">
        <f>IF($E881="","",INDEX([1]Esquemas_NORM!$H$2:$K$126,MATCH($E881,[1]Esquemas_NORM!$A$2:$A$126,0),MATCH(AC$4,[1]Esquemas_NORM!$H$1:$K$1,0)))</f>
        <v>ASOCIACIÓN DE MUNICIPIOS DEL URABÁ ANTIOQUEÑO - ASOMURA / ASOCIACIÓN DE MUNICIPIOS DEL CHOCÓ Y URABÁ - ASUMUCUR</v>
      </c>
      <c r="AD881" s="23"/>
    </row>
    <row r="882" spans="1:30" x14ac:dyDescent="0.25">
      <c r="A882" s="51">
        <v>2021</v>
      </c>
      <c r="B882" s="52" t="s">
        <v>36</v>
      </c>
      <c r="C882" s="52" t="s">
        <v>304</v>
      </c>
      <c r="D882" s="52" t="s">
        <v>309</v>
      </c>
      <c r="E882" s="52" t="s">
        <v>321</v>
      </c>
      <c r="F882" s="52" t="s">
        <v>307</v>
      </c>
      <c r="G882" s="52" t="s">
        <v>322</v>
      </c>
      <c r="H882" s="53">
        <v>131.44830633717774</v>
      </c>
      <c r="I882" s="53">
        <v>0</v>
      </c>
      <c r="J882" s="54">
        <v>131.44830633717774</v>
      </c>
      <c r="K882" s="53">
        <v>4.972088112703676</v>
      </c>
      <c r="L882" s="53">
        <v>33.497136587042974</v>
      </c>
      <c r="M882" s="54">
        <v>38.469224699746647</v>
      </c>
      <c r="N882" s="53">
        <v>4.3729047705903135</v>
      </c>
      <c r="O882" s="53">
        <v>94.350483174875166</v>
      </c>
      <c r="P882" s="53">
        <v>14.353823203647943</v>
      </c>
      <c r="Q882" s="53">
        <v>12.902034861255951</v>
      </c>
      <c r="R882" s="53">
        <v>29.311158498752828</v>
      </c>
      <c r="S882" s="53">
        <v>45.652482027344547</v>
      </c>
      <c r="T882" s="53">
        <v>110.27792993986279</v>
      </c>
      <c r="U882" s="53">
        <v>14.116850665846211</v>
      </c>
      <c r="V882" s="54">
        <v>325.33766714217575</v>
      </c>
      <c r="W882" s="54">
        <v>521.96066674853228</v>
      </c>
      <c r="X882" s="53">
        <v>53.724237992736235</v>
      </c>
      <c r="Y882" s="55">
        <v>575.57798756804254</v>
      </c>
      <c r="Z882" s="17" t="str">
        <f>SUBSTITUTE(SUBSTITUTE(SUBSTITUTE(SUBSTITUTE(IF(E882="","",VLOOKUP(E882,[1]Esquemas_NORM!$A$2:$H$126,8,FALSE)),"PROVINCIA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82" s="17" t="str">
        <f>IF($E882="","",INDEX([1]Esquemas_NORM!$H$2:$K$126,MATCH($E882,[1]Esquemas_NORM!$A$2:$A$126,0),MATCH(AA$4,[1]Esquemas_NORM!$H$1:$K$1,0)))</f>
        <v>Región de Planeación y Gestión de Urabá - RPG (Acuerdo de Voluntades)</v>
      </c>
      <c r="AB882" s="17" t="str">
        <f>IF($E882="","",INDEX([1]Esquemas_NORM!$H$2:$K$126,MATCH($E882,[1]Esquemas_NORM!$A$2:$A$126,0),MATCH(AB$4,[1]Esquemas_NORM!$H$1:$K$1,0)))</f>
        <v>A la fecha no ha conformado un EAT Área Metropolitana</v>
      </c>
      <c r="AC882" s="17" t="str">
        <f>IF($E882="","",INDEX([1]Esquemas_NORM!$H$2:$K$126,MATCH($E882,[1]Esquemas_NORM!$A$2:$A$126,0),MATCH(AC$4,[1]Esquemas_NORM!$H$1:$K$1,0)))</f>
        <v>ASOCIACIÓN DE MUNICIPIOS DEL URABÁ NORTE-ASOURANOR</v>
      </c>
      <c r="AD882" s="23"/>
    </row>
    <row r="883" spans="1:30" x14ac:dyDescent="0.25">
      <c r="A883" s="51">
        <v>2021</v>
      </c>
      <c r="B883" s="52" t="s">
        <v>36</v>
      </c>
      <c r="C883" s="52" t="s">
        <v>304</v>
      </c>
      <c r="D883" s="52" t="s">
        <v>309</v>
      </c>
      <c r="E883" s="52" t="s">
        <v>323</v>
      </c>
      <c r="F883" s="52" t="s">
        <v>307</v>
      </c>
      <c r="G883" s="52" t="s">
        <v>324</v>
      </c>
      <c r="H883" s="53">
        <v>33.140796649555242</v>
      </c>
      <c r="I883" s="53">
        <v>0</v>
      </c>
      <c r="J883" s="54">
        <v>33.140796649555242</v>
      </c>
      <c r="K883" s="53">
        <v>6.4367266270148935</v>
      </c>
      <c r="L883" s="53">
        <v>6.7069637993559317</v>
      </c>
      <c r="M883" s="54">
        <v>13.143690426370824</v>
      </c>
      <c r="N883" s="53">
        <v>1.7311278427144479</v>
      </c>
      <c r="O883" s="53">
        <v>27.219903574005041</v>
      </c>
      <c r="P883" s="53">
        <v>6.9965030449100736</v>
      </c>
      <c r="Q883" s="53">
        <v>5.3955393175616191</v>
      </c>
      <c r="R883" s="53">
        <v>10.181745701979613</v>
      </c>
      <c r="S883" s="53">
        <v>19.03286310881612</v>
      </c>
      <c r="T883" s="53">
        <v>46.376804925938963</v>
      </c>
      <c r="U883" s="53">
        <v>6.252798425502049</v>
      </c>
      <c r="V883" s="54">
        <v>123.18728594142792</v>
      </c>
      <c r="W883" s="54">
        <v>174.54758746541265</v>
      </c>
      <c r="X883" s="53">
        <v>17.965790772059286</v>
      </c>
      <c r="Y883" s="55">
        <v>192.47762432758171</v>
      </c>
      <c r="Z883" s="17" t="str">
        <f>SUBSTITUTE(SUBSTITUTE(SUBSTITUTE(SUBSTITUTE(IF(E883="","",VLOOKUP(E883,[1]Esquemas_NORM!$A$2:$H$126,8,FALSE)),"PROVINCIA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83" s="17" t="str">
        <f>IF($E883="","",INDEX([1]Esquemas_NORM!$H$2:$K$126,MATCH($E883,[1]Esquemas_NORM!$A$2:$A$126,0),MATCH(AA$4,[1]Esquemas_NORM!$H$1:$K$1,0)))</f>
        <v>Región de Planeación y Gestión de Urabá - RPG (Acuerdo de Voluntades)</v>
      </c>
      <c r="AB883" s="17" t="str">
        <f>IF($E883="","",INDEX([1]Esquemas_NORM!$H$2:$K$126,MATCH($E883,[1]Esquemas_NORM!$A$2:$A$126,0),MATCH(AB$4,[1]Esquemas_NORM!$H$1:$K$1,0)))</f>
        <v>A la fecha no ha conformado un EAT Área Metropolitana</v>
      </c>
      <c r="AC883" s="17" t="str">
        <f>IF($E883="","",INDEX([1]Esquemas_NORM!$H$2:$K$126,MATCH($E883,[1]Esquemas_NORM!$A$2:$A$126,0),MATCH(AC$4,[1]Esquemas_NORM!$H$1:$K$1,0)))</f>
        <v>ASOCIACIÓN DE MUNICIPIOS DEL URABÁ ANTIOQUEÑO - ASOMURA / ASOCIACIÓN DE MUNICIPIOS DEL CHOCÓ Y URABÁ - ASUMUCUR</v>
      </c>
      <c r="AD883" s="23"/>
    </row>
    <row r="884" spans="1:30" x14ac:dyDescent="0.25">
      <c r="A884" s="51">
        <v>2021</v>
      </c>
      <c r="B884" s="52" t="s">
        <v>36</v>
      </c>
      <c r="C884" s="52" t="s">
        <v>304</v>
      </c>
      <c r="D884" s="52" t="s">
        <v>309</v>
      </c>
      <c r="E884" s="52" t="s">
        <v>325</v>
      </c>
      <c r="F884" s="52" t="s">
        <v>307</v>
      </c>
      <c r="G884" s="52" t="s">
        <v>326</v>
      </c>
      <c r="H884" s="53">
        <v>42.112873915823023</v>
      </c>
      <c r="I884" s="53">
        <v>0</v>
      </c>
      <c r="J884" s="54">
        <v>42.112873915823023</v>
      </c>
      <c r="K884" s="53">
        <v>3.197036632680756</v>
      </c>
      <c r="L884" s="53">
        <v>16.829331922031034</v>
      </c>
      <c r="M884" s="54">
        <v>20.026368554711791</v>
      </c>
      <c r="N884" s="53">
        <v>3.4972975031514353</v>
      </c>
      <c r="O884" s="53">
        <v>49.435989600203996</v>
      </c>
      <c r="P884" s="53">
        <v>11.723675502424314</v>
      </c>
      <c r="Q884" s="53">
        <v>7.1859643434627278</v>
      </c>
      <c r="R884" s="53">
        <v>15.526966395402663</v>
      </c>
      <c r="S884" s="53">
        <v>27.361895308437774</v>
      </c>
      <c r="T884" s="53">
        <v>69.540859509676409</v>
      </c>
      <c r="U884" s="53">
        <v>6.7141772661831434</v>
      </c>
      <c r="V884" s="54">
        <v>190.98682542894247</v>
      </c>
      <c r="W884" s="54">
        <v>259.48292238210598</v>
      </c>
      <c r="X884" s="53">
        <v>26.707993849315052</v>
      </c>
      <c r="Y884" s="55">
        <v>286.13776437089058</v>
      </c>
      <c r="Z884" s="17" t="str">
        <f>SUBSTITUTE(SUBSTITUTE(SUBSTITUTE(SUBSTITUTE(IF(E884="","",VLOOKUP(E884,[1]Esquemas_NORM!$A$2:$H$126,8,FALSE)),"PROVINCIA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84" s="17" t="str">
        <f>IF($E884="","",INDEX([1]Esquemas_NORM!$H$2:$K$126,MATCH($E884,[1]Esquemas_NORM!$A$2:$A$126,0),MATCH(AA$4,[1]Esquemas_NORM!$H$1:$K$1,0)))</f>
        <v>Región de Planeación y Gestión de Urabá - RPG (Acuerdo de Voluntades)</v>
      </c>
      <c r="AB884" s="17" t="str">
        <f>IF($E884="","",INDEX([1]Esquemas_NORM!$H$2:$K$126,MATCH($E884,[1]Esquemas_NORM!$A$2:$A$126,0),MATCH(AB$4,[1]Esquemas_NORM!$H$1:$K$1,0)))</f>
        <v>A la fecha no ha conformado un EAT Área Metropolitana</v>
      </c>
      <c r="AC884" s="17" t="str">
        <f>IF($E884="","",INDEX([1]Esquemas_NORM!$H$2:$K$126,MATCH($E884,[1]Esquemas_NORM!$A$2:$A$126,0),MATCH(AC$4,[1]Esquemas_NORM!$H$1:$K$1,0)))</f>
        <v>ASOCIACIÓN DE MUNICIPIOS DEL URABÁ NORTE-ASOURANOR</v>
      </c>
      <c r="AD884" s="23"/>
    </row>
    <row r="885" spans="1:30" x14ac:dyDescent="0.25">
      <c r="A885" s="51">
        <v>2021</v>
      </c>
      <c r="B885" s="52" t="s">
        <v>36</v>
      </c>
      <c r="C885" s="52" t="s">
        <v>304</v>
      </c>
      <c r="D885" s="52" t="s">
        <v>305</v>
      </c>
      <c r="E885" s="52" t="s">
        <v>327</v>
      </c>
      <c r="F885" s="52" t="s">
        <v>307</v>
      </c>
      <c r="G885" s="52" t="s">
        <v>328</v>
      </c>
      <c r="H885" s="53">
        <v>616.57593072169698</v>
      </c>
      <c r="I885" s="53">
        <v>0.81529033203298595</v>
      </c>
      <c r="J885" s="54">
        <v>617.39122105372996</v>
      </c>
      <c r="K885" s="53">
        <v>59.182896788145449</v>
      </c>
      <c r="L885" s="53">
        <v>95.272761184950852</v>
      </c>
      <c r="M885" s="54">
        <v>154.45565797309629</v>
      </c>
      <c r="N885" s="53">
        <v>19.498526776882766</v>
      </c>
      <c r="O885" s="53">
        <v>318.30512545975654</v>
      </c>
      <c r="P885" s="53">
        <v>59.071546918272645</v>
      </c>
      <c r="Q885" s="53">
        <v>48.365362170956196</v>
      </c>
      <c r="R885" s="53">
        <v>101.94470094852882</v>
      </c>
      <c r="S885" s="53">
        <v>183.30791628202789</v>
      </c>
      <c r="T885" s="53">
        <v>470.21861439632124</v>
      </c>
      <c r="U885" s="53">
        <v>42.161009417607445</v>
      </c>
      <c r="V885" s="54">
        <v>1242.8728023703536</v>
      </c>
      <c r="W885" s="54">
        <v>2145.5053128675199</v>
      </c>
      <c r="X885" s="53">
        <v>220.83203847755823</v>
      </c>
      <c r="Y885" s="55">
        <v>2365.8978711738564</v>
      </c>
      <c r="Z885" s="17" t="str">
        <f>SUBSTITUTE(SUBSTITUTE(SUBSTITUTE(SUBSTITUTE(IF(E885="","",VLOOKUP(E885,[1]Esquemas_NORM!$A$2:$H$126,8,FALSE)),"PROVINCIA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85" s="17" t="str">
        <f>IF($E885="","",INDEX([1]Esquemas_NORM!$H$2:$K$126,MATCH($E885,[1]Esquemas_NORM!$A$2:$A$126,0),MATCH(AA$4,[1]Esquemas_NORM!$H$1:$K$1,0)))</f>
        <v>Región de Planeación y Gestión de Urabá - RPG (Acuerdo de Voluntades)</v>
      </c>
      <c r="AB885" s="17" t="str">
        <f>IF($E885="","",INDEX([1]Esquemas_NORM!$H$2:$K$126,MATCH($E885,[1]Esquemas_NORM!$A$2:$A$126,0),MATCH(AB$4,[1]Esquemas_NORM!$H$1:$K$1,0)))</f>
        <v>A la fecha no ha conformado un EAT Área Metropolitana</v>
      </c>
      <c r="AC885" s="17" t="str">
        <f>IF($E885="","",INDEX([1]Esquemas_NORM!$H$2:$K$126,MATCH($E885,[1]Esquemas_NORM!$A$2:$A$126,0),MATCH(AC$4,[1]Esquemas_NORM!$H$1:$K$1,0)))</f>
        <v>ASOCIACIÓN DE MUNICIPIOS DEL URABÁ ANTIOQUEÑO - ASOMURA</v>
      </c>
      <c r="AD885" s="23"/>
    </row>
    <row r="886" spans="1:30" ht="15.75" thickBot="1" x14ac:dyDescent="0.3">
      <c r="A886" s="56">
        <v>2021</v>
      </c>
      <c r="B886" s="57" t="s">
        <v>36</v>
      </c>
      <c r="C886" s="57" t="s">
        <v>304</v>
      </c>
      <c r="D886" s="57" t="s">
        <v>316</v>
      </c>
      <c r="E886" s="57" t="s">
        <v>329</v>
      </c>
      <c r="F886" s="57" t="s">
        <v>307</v>
      </c>
      <c r="G886" s="57" t="s">
        <v>330</v>
      </c>
      <c r="H886" s="58">
        <v>10.717857514866983</v>
      </c>
      <c r="I886" s="58">
        <v>7.9984859457303811E-2</v>
      </c>
      <c r="J886" s="59">
        <v>10.797842374324286</v>
      </c>
      <c r="K886" s="58">
        <v>0.67032493723656283</v>
      </c>
      <c r="L886" s="58">
        <v>4.4075310761532833</v>
      </c>
      <c r="M886" s="59">
        <v>5.0778560133898463</v>
      </c>
      <c r="N886" s="58">
        <v>0.92722899729156749</v>
      </c>
      <c r="O886" s="58">
        <v>12.39321018285181</v>
      </c>
      <c r="P886" s="58">
        <v>2.5270675818452886</v>
      </c>
      <c r="Q886" s="58">
        <v>1.6263066162820636</v>
      </c>
      <c r="R886" s="58">
        <v>5.1605096915359745</v>
      </c>
      <c r="S886" s="58">
        <v>8.9905164933558481</v>
      </c>
      <c r="T886" s="58">
        <v>24.441434879655567</v>
      </c>
      <c r="U886" s="58">
        <v>2.6516041041462532</v>
      </c>
      <c r="V886" s="59">
        <v>58.717878546964371</v>
      </c>
      <c r="W886" s="59">
        <v>75.829325373332296</v>
      </c>
      <c r="X886" s="58">
        <v>7.8049419864558187</v>
      </c>
      <c r="Y886" s="60">
        <v>83.618734662339875</v>
      </c>
      <c r="Z886" s="17" t="str">
        <f>SUBSTITUTE(SUBSTITUTE(SUBSTITUTE(SUBSTITUTE(IF(E886="","",VLOOKUP(E886,[1]Esquemas_NORM!$A$2:$H$126,8,FALSE)),"PROVINCIA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86" s="17" t="str">
        <f>IF($E886="","",INDEX([1]Esquemas_NORM!$H$2:$K$126,MATCH($E886,[1]Esquemas_NORM!$A$2:$A$126,0),MATCH(AA$4,[1]Esquemas_NORM!$H$1:$K$1,0)))</f>
        <v>Región de Planeación y Gestión de Urabá - RPG (Acuerdo de Voluntades)</v>
      </c>
      <c r="AB886" s="17" t="str">
        <f>IF($E886="","",INDEX([1]Esquemas_NORM!$H$2:$K$126,MATCH($E886,[1]Esquemas_NORM!$A$2:$A$126,0),MATCH(AB$4,[1]Esquemas_NORM!$H$1:$K$1,0)))</f>
        <v>A la fecha no ha conformado un EAT Área Metropolitana</v>
      </c>
      <c r="AC886" s="17" t="str">
        <f>IF($E886="","",INDEX([1]Esquemas_NORM!$H$2:$K$126,MATCH($E886,[1]Esquemas_NORM!$A$2:$A$126,0),MATCH(AC$4,[1]Esquemas_NORM!$H$1:$K$1,0)))</f>
        <v>ASOCIACION DE MUNICIPIOS DE LA CUENCA DEL ATRATO Y DARIEN ASOATRATO</v>
      </c>
      <c r="AD886" s="23"/>
    </row>
    <row r="887" spans="1:30" ht="15.75" thickBot="1" x14ac:dyDescent="0.3">
      <c r="A887" s="42">
        <v>2022</v>
      </c>
      <c r="B887" s="43" t="s">
        <v>36</v>
      </c>
      <c r="C887" s="43"/>
      <c r="D887" s="43"/>
      <c r="E887" s="43"/>
      <c r="F887" s="43"/>
      <c r="G887" s="43" t="s">
        <v>37</v>
      </c>
      <c r="H887" s="44">
        <v>7319.3969864981291</v>
      </c>
      <c r="I887" s="44">
        <v>3233.2019505093763</v>
      </c>
      <c r="J887" s="44">
        <v>10552.598937007506</v>
      </c>
      <c r="K887" s="44">
        <v>22852.357401475518</v>
      </c>
      <c r="L887" s="44">
        <v>6290.5052776406237</v>
      </c>
      <c r="M887" s="44">
        <v>29142.86267911614</v>
      </c>
      <c r="N887" s="44">
        <v>5968.6385275267494</v>
      </c>
      <c r="O887" s="44">
        <v>25350.029266986385</v>
      </c>
      <c r="P887" s="44">
        <v>4357.0761938490223</v>
      </c>
      <c r="Q887" s="44">
        <v>7601.951303167787</v>
      </c>
      <c r="R887" s="44">
        <v>12635.038241787986</v>
      </c>
      <c r="S887" s="44">
        <v>13026.117160356383</v>
      </c>
      <c r="T887" s="44">
        <v>16621.719985838903</v>
      </c>
      <c r="U887" s="44">
        <v>5151.8286014221185</v>
      </c>
      <c r="V887" s="44">
        <v>90712.399280935337</v>
      </c>
      <c r="W887" s="44">
        <v>131150.88915922001</v>
      </c>
      <c r="X887" s="44">
        <v>14975.166590528896</v>
      </c>
      <c r="Y887" s="45">
        <v>146040.20836687976</v>
      </c>
      <c r="Z887" s="17" t="str">
        <f>SUBSTITUTE(SUBSTITUTE(SUBSTITUTE(SUBSTITUTE(IF(E887="","",VLOOKUP(E887,[1]Esquemas_NORM!$A$2:$H$126,8,FALSE)),"PROVINCIA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887" s="17" t="str">
        <f>IF($E887="","",INDEX([1]Esquemas_NORM!$H$2:$K$126,MATCH($E887,[1]Esquemas_NORM!$A$2:$A$126,0),MATCH(AA$4,[1]Esquemas_NORM!$H$1:$K$1,0)))</f>
        <v/>
      </c>
      <c r="AB887" s="17" t="str">
        <f>IF($E887="","",INDEX([1]Esquemas_NORM!$H$2:$K$126,MATCH($E887,[1]Esquemas_NORM!$A$2:$A$126,0),MATCH(AB$4,[1]Esquemas_NORM!$H$1:$K$1,0)))</f>
        <v/>
      </c>
      <c r="AC887" s="17" t="str">
        <f>IF($E887="","",INDEX([1]Esquemas_NORM!$H$2:$K$126,MATCH($E887,[1]Esquemas_NORM!$A$2:$A$126,0),MATCH(AC$4,[1]Esquemas_NORM!$H$1:$K$1,0)))</f>
        <v/>
      </c>
      <c r="AD887" s="23"/>
    </row>
    <row r="888" spans="1:30" x14ac:dyDescent="0.25">
      <c r="A888" s="46">
        <v>2022</v>
      </c>
      <c r="B888" s="47" t="s">
        <v>36</v>
      </c>
      <c r="C888" s="47" t="s">
        <v>38</v>
      </c>
      <c r="D888" s="47" t="s">
        <v>39</v>
      </c>
      <c r="E888" s="47" t="s">
        <v>40</v>
      </c>
      <c r="F888" s="47" t="s">
        <v>41</v>
      </c>
      <c r="G888" s="47" t="s">
        <v>42</v>
      </c>
      <c r="H888" s="48">
        <v>98.98399279658355</v>
      </c>
      <c r="I888" s="48">
        <v>7.8553346379785713</v>
      </c>
      <c r="J888" s="49">
        <v>106.83932743456212</v>
      </c>
      <c r="K888" s="48">
        <v>7965.8565623161312</v>
      </c>
      <c r="L888" s="48">
        <v>2887.4170228948551</v>
      </c>
      <c r="M888" s="49">
        <v>10853.273585210987</v>
      </c>
      <c r="N888" s="48">
        <v>1916.9653361502553</v>
      </c>
      <c r="O888" s="48">
        <v>12318.449442098328</v>
      </c>
      <c r="P888" s="48">
        <v>2049.2592012852906</v>
      </c>
      <c r="Q888" s="48">
        <v>5526.2124457675582</v>
      </c>
      <c r="R888" s="48">
        <v>5941.8084646482703</v>
      </c>
      <c r="S888" s="48">
        <v>6358.9836746321498</v>
      </c>
      <c r="T888" s="48">
        <v>8178.0608564194081</v>
      </c>
      <c r="U888" s="48">
        <v>2360.06984007132</v>
      </c>
      <c r="V888" s="49">
        <v>44649.80926107258</v>
      </c>
      <c r="W888" s="49">
        <v>52726.472297991168</v>
      </c>
      <c r="X888" s="48">
        <v>6020.4525600641973</v>
      </c>
      <c r="Y888" s="50">
        <v>58712.411713053305</v>
      </c>
      <c r="Z888" s="17" t="str">
        <f>SUBSTITUTE(SUBSTITUTE(SUBSTITUTE(SUBSTITUTE(IF(E888="","",VLOOKUP(E888,[1]Esquemas_NORM!$A$2:$H$126,8,FALSE)),"PROVINCIA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88" s="17" t="str">
        <f>IF($E888="","",INDEX([1]Esquemas_NORM!$H$2:$K$126,MATCH($E888,[1]Esquemas_NORM!$A$2:$A$126,0),MATCH(AA$4,[1]Esquemas_NORM!$H$1:$K$1,0)))</f>
        <v>A la fecha no ha conformado un EAT Región</v>
      </c>
      <c r="AB888" s="17" t="str">
        <f>IF($E888="","",INDEX([1]Esquemas_NORM!$H$2:$K$126,MATCH($E888,[1]Esquemas_NORM!$A$2:$A$126,0),MATCH(AB$4,[1]Esquemas_NORM!$H$1:$K$1,0)))</f>
        <v>Área Metropolitana del Valle de Aburrá</v>
      </c>
      <c r="AC888" s="17" t="str">
        <f>IF($E888="","",INDEX([1]Esquemas_NORM!$H$2:$K$126,MATCH($E888,[1]Esquemas_NORM!$A$2:$A$126,0),MATCH(AC$4,[1]Esquemas_NORM!$H$1:$K$1,0)))</f>
        <v>A la fecha no ha conformado un EAT asociación - unión</v>
      </c>
      <c r="AD888" s="23"/>
    </row>
    <row r="889" spans="1:30" x14ac:dyDescent="0.25">
      <c r="A889" s="51">
        <v>2022</v>
      </c>
      <c r="B889" s="52" t="s">
        <v>36</v>
      </c>
      <c r="C889" s="52" t="s">
        <v>38</v>
      </c>
      <c r="D889" s="52" t="s">
        <v>43</v>
      </c>
      <c r="E889" s="52" t="s">
        <v>44</v>
      </c>
      <c r="F889" s="52" t="s">
        <v>41</v>
      </c>
      <c r="G889" s="52" t="s">
        <v>45</v>
      </c>
      <c r="H889" s="53">
        <v>86.663715522411707</v>
      </c>
      <c r="I889" s="53">
        <v>1.6377889348828836</v>
      </c>
      <c r="J889" s="54">
        <v>88.301504457294584</v>
      </c>
      <c r="K889" s="53">
        <v>403.78894307458984</v>
      </c>
      <c r="L889" s="53">
        <v>70.129592542175047</v>
      </c>
      <c r="M889" s="54">
        <v>473.91853561676487</v>
      </c>
      <c r="N889" s="53">
        <v>137.38133420881229</v>
      </c>
      <c r="O889" s="53">
        <v>159.99542881524974</v>
      </c>
      <c r="P889" s="53">
        <v>11.660491245631938</v>
      </c>
      <c r="Q889" s="53">
        <v>7.3134473168903691</v>
      </c>
      <c r="R889" s="53">
        <v>37.178535127202935</v>
      </c>
      <c r="S889" s="53">
        <v>60.400580616444628</v>
      </c>
      <c r="T889" s="53">
        <v>30.541066722152589</v>
      </c>
      <c r="U889" s="53">
        <v>17.636199494635541</v>
      </c>
      <c r="V889" s="54">
        <v>462.10708354702001</v>
      </c>
      <c r="W889" s="54">
        <v>1065.0993695599775</v>
      </c>
      <c r="X889" s="53">
        <v>121.6159539357817</v>
      </c>
      <c r="Y889" s="55">
        <v>1186.0181418452321</v>
      </c>
      <c r="Z889" s="17" t="str">
        <f>SUBSTITUTE(SUBSTITUTE(SUBSTITUTE(SUBSTITUTE(IF(E889="","",VLOOKUP(E889,[1]Esquemas_NORM!$A$2:$H$126,8,FALSE)),"PROVINCIA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89" s="17" t="str">
        <f>IF($E889="","",INDEX([1]Esquemas_NORM!$H$2:$K$126,MATCH($E889,[1]Esquemas_NORM!$A$2:$A$126,0),MATCH(AA$4,[1]Esquemas_NORM!$H$1:$K$1,0)))</f>
        <v>A la fecha no ha conformado un EAT Región</v>
      </c>
      <c r="AB889" s="17" t="str">
        <f>IF($E889="","",INDEX([1]Esquemas_NORM!$H$2:$K$126,MATCH($E889,[1]Esquemas_NORM!$A$2:$A$126,0),MATCH(AB$4,[1]Esquemas_NORM!$H$1:$K$1,0)))</f>
        <v>Área Metropolitana del Valle de Aburrá</v>
      </c>
      <c r="AC889" s="17" t="str">
        <f>IF($E889="","",INDEX([1]Esquemas_NORM!$H$2:$K$126,MATCH($E889,[1]Esquemas_NORM!$A$2:$A$126,0),MATCH(AC$4,[1]Esquemas_NORM!$H$1:$K$1,0)))</f>
        <v>A la fecha no ha conformado un EAT asociación - unión</v>
      </c>
      <c r="AD889" s="23"/>
    </row>
    <row r="890" spans="1:30" x14ac:dyDescent="0.25">
      <c r="A890" s="51">
        <v>2022</v>
      </c>
      <c r="B890" s="52" t="s">
        <v>36</v>
      </c>
      <c r="C890" s="52" t="s">
        <v>38</v>
      </c>
      <c r="D890" s="52" t="s">
        <v>43</v>
      </c>
      <c r="E890" s="52" t="s">
        <v>46</v>
      </c>
      <c r="F890" s="52" t="s">
        <v>41</v>
      </c>
      <c r="G890" s="52" t="s">
        <v>47</v>
      </c>
      <c r="H890" s="53">
        <v>31.807922806166438</v>
      </c>
      <c r="I890" s="53">
        <v>2.4778693081329979</v>
      </c>
      <c r="J890" s="54">
        <v>34.285792114299433</v>
      </c>
      <c r="K890" s="53">
        <v>757.08298760881519</v>
      </c>
      <c r="L890" s="53">
        <v>245.164377691467</v>
      </c>
      <c r="M890" s="54">
        <v>1002.2473653002821</v>
      </c>
      <c r="N890" s="53">
        <v>193.51262303044922</v>
      </c>
      <c r="O890" s="53">
        <v>1440.093346120869</v>
      </c>
      <c r="P890" s="53">
        <v>279.95531527407536</v>
      </c>
      <c r="Q890" s="53">
        <v>186.50233723095269</v>
      </c>
      <c r="R890" s="53">
        <v>757.66494184045223</v>
      </c>
      <c r="S890" s="53">
        <v>661.16649026856851</v>
      </c>
      <c r="T890" s="53">
        <v>814.98033125449274</v>
      </c>
      <c r="U890" s="53">
        <v>327.8371404148532</v>
      </c>
      <c r="V890" s="54">
        <v>4661.7125254347129</v>
      </c>
      <c r="W890" s="54">
        <v>5462.7729361111351</v>
      </c>
      <c r="X890" s="53">
        <v>623.7543282316733</v>
      </c>
      <c r="Y890" s="55">
        <v>6082.9514993382436</v>
      </c>
      <c r="Z890" s="17" t="str">
        <f>SUBSTITUTE(SUBSTITUTE(SUBSTITUTE(SUBSTITUTE(IF(E890="","",VLOOKUP(E890,[1]Esquemas_NORM!$A$2:$H$126,8,FALSE)),"PROVINCIA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0" s="17" t="str">
        <f>IF($E890="","",INDEX([1]Esquemas_NORM!$H$2:$K$126,MATCH($E890,[1]Esquemas_NORM!$A$2:$A$126,0),MATCH(AA$4,[1]Esquemas_NORM!$H$1:$K$1,0)))</f>
        <v>A la fecha no ha conformado un EAT Región</v>
      </c>
      <c r="AB890" s="17" t="str">
        <f>IF($E890="","",INDEX([1]Esquemas_NORM!$H$2:$K$126,MATCH($E890,[1]Esquemas_NORM!$A$2:$A$126,0),MATCH(AB$4,[1]Esquemas_NORM!$H$1:$K$1,0)))</f>
        <v>Área Metropolitana del Valle de Aburrá</v>
      </c>
      <c r="AC890" s="17" t="str">
        <f>IF($E890="","",INDEX([1]Esquemas_NORM!$H$2:$K$126,MATCH($E890,[1]Esquemas_NORM!$A$2:$A$126,0),MATCH(AC$4,[1]Esquemas_NORM!$H$1:$K$1,0)))</f>
        <v>A la fecha no ha conformado un EAT asociación - unión</v>
      </c>
      <c r="AD890" s="23"/>
    </row>
    <row r="891" spans="1:30" x14ac:dyDescent="0.25">
      <c r="A891" s="51">
        <v>2022</v>
      </c>
      <c r="B891" s="52" t="s">
        <v>36</v>
      </c>
      <c r="C891" s="52" t="s">
        <v>38</v>
      </c>
      <c r="D891" s="52" t="s">
        <v>48</v>
      </c>
      <c r="E891" s="52" t="s">
        <v>49</v>
      </c>
      <c r="F891" s="52" t="s">
        <v>41</v>
      </c>
      <c r="G891" s="52" t="s">
        <v>50</v>
      </c>
      <c r="H891" s="53">
        <v>44.407917498128278</v>
      </c>
      <c r="I891" s="53">
        <v>0.13883348510135457</v>
      </c>
      <c r="J891" s="54">
        <v>44.546750983229629</v>
      </c>
      <c r="K891" s="53">
        <v>277.98017576127444</v>
      </c>
      <c r="L891" s="53">
        <v>33.07908808542318</v>
      </c>
      <c r="M891" s="54">
        <v>311.0592638466976</v>
      </c>
      <c r="N891" s="53">
        <v>35.480905379631857</v>
      </c>
      <c r="O891" s="53">
        <v>199.49775462182882</v>
      </c>
      <c r="P891" s="53">
        <v>49.330992464344078</v>
      </c>
      <c r="Q891" s="53">
        <v>36.291289636449413</v>
      </c>
      <c r="R891" s="53">
        <v>123.10728972109665</v>
      </c>
      <c r="S891" s="53">
        <v>128.37570707659506</v>
      </c>
      <c r="T891" s="53">
        <v>163.72100750287564</v>
      </c>
      <c r="U891" s="53">
        <v>57.147565340145981</v>
      </c>
      <c r="V891" s="54">
        <v>792.95251174296754</v>
      </c>
      <c r="W891" s="54">
        <v>1113.6839462985383</v>
      </c>
      <c r="X891" s="53">
        <v>127.16347355273867</v>
      </c>
      <c r="Y891" s="55">
        <v>1240.1184362145982</v>
      </c>
      <c r="Z891" s="17" t="str">
        <f>SUBSTITUTE(SUBSTITUTE(SUBSTITUTE(SUBSTITUTE(IF(E891="","",VLOOKUP(E891,[1]Esquemas_NORM!$A$2:$H$126,8,FALSE)),"PROVINCIA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1" s="17" t="str">
        <f>IF($E891="","",INDEX([1]Esquemas_NORM!$H$2:$K$126,MATCH($E891,[1]Esquemas_NORM!$A$2:$A$126,0),MATCH(AA$4,[1]Esquemas_NORM!$H$1:$K$1,0)))</f>
        <v>A la fecha no ha conformado un EAT Región</v>
      </c>
      <c r="AB891" s="17" t="str">
        <f>IF($E891="","",INDEX([1]Esquemas_NORM!$H$2:$K$126,MATCH($E891,[1]Esquemas_NORM!$A$2:$A$126,0),MATCH(AB$4,[1]Esquemas_NORM!$H$1:$K$1,0)))</f>
        <v>Área Metropolitana del Valle de Aburrá</v>
      </c>
      <c r="AC891" s="17" t="str">
        <f>IF($E891="","",INDEX([1]Esquemas_NORM!$H$2:$K$126,MATCH($E891,[1]Esquemas_NORM!$A$2:$A$126,0),MATCH(AC$4,[1]Esquemas_NORM!$H$1:$K$1,0)))</f>
        <v>A la fecha no ha conformado un EAT asociación - unión</v>
      </c>
      <c r="AD891" s="23"/>
    </row>
    <row r="892" spans="1:30" x14ac:dyDescent="0.25">
      <c r="A892" s="51">
        <v>2022</v>
      </c>
      <c r="B892" s="52" t="s">
        <v>36</v>
      </c>
      <c r="C892" s="52" t="s">
        <v>38</v>
      </c>
      <c r="D892" s="52" t="s">
        <v>43</v>
      </c>
      <c r="E892" s="52" t="s">
        <v>51</v>
      </c>
      <c r="F892" s="52" t="s">
        <v>41</v>
      </c>
      <c r="G892" s="52" t="s">
        <v>52</v>
      </c>
      <c r="H892" s="53">
        <v>10.456163954640356</v>
      </c>
      <c r="I892" s="53">
        <v>4.8377149964232577E-2</v>
      </c>
      <c r="J892" s="54">
        <v>10.50454110460459</v>
      </c>
      <c r="K892" s="53">
        <v>603.4802371401895</v>
      </c>
      <c r="L892" s="53">
        <v>102.70464372933331</v>
      </c>
      <c r="M892" s="54">
        <v>706.18488086952277</v>
      </c>
      <c r="N892" s="53">
        <v>42.484907596508378</v>
      </c>
      <c r="O892" s="53">
        <v>226.01862149051621</v>
      </c>
      <c r="P892" s="53">
        <v>51.249459657234951</v>
      </c>
      <c r="Q892" s="53">
        <v>31.191590069291358</v>
      </c>
      <c r="R892" s="53">
        <v>130.99984451818656</v>
      </c>
      <c r="S892" s="53">
        <v>124.93698031778436</v>
      </c>
      <c r="T892" s="53">
        <v>114.33683299820095</v>
      </c>
      <c r="U892" s="53">
        <v>53.6820424089155</v>
      </c>
      <c r="V892" s="54">
        <v>774.9002790566384</v>
      </c>
      <c r="W892" s="54">
        <v>1406.3794436211538</v>
      </c>
      <c r="X892" s="53">
        <v>160.58424455021085</v>
      </c>
      <c r="Y892" s="55">
        <v>1566.0431149649628</v>
      </c>
      <c r="Z892" s="17" t="str">
        <f>SUBSTITUTE(SUBSTITUTE(SUBSTITUTE(SUBSTITUTE(IF(E892="","",VLOOKUP(E892,[1]Esquemas_NORM!$A$2:$H$126,8,FALSE)),"PROVINCIA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2" s="17" t="str">
        <f>IF($E892="","",INDEX([1]Esquemas_NORM!$H$2:$K$126,MATCH($E892,[1]Esquemas_NORM!$A$2:$A$126,0),MATCH(AA$4,[1]Esquemas_NORM!$H$1:$K$1,0)))</f>
        <v>A la fecha no ha conformado un EAT Región</v>
      </c>
      <c r="AB892" s="17" t="str">
        <f>IF($E892="","",INDEX([1]Esquemas_NORM!$H$2:$K$126,MATCH($E892,[1]Esquemas_NORM!$A$2:$A$126,0),MATCH(AB$4,[1]Esquemas_NORM!$H$1:$K$1,0)))</f>
        <v>Área Metropolitana del Valle de Aburrá</v>
      </c>
      <c r="AC892" s="17" t="str">
        <f>IF($E892="","",INDEX([1]Esquemas_NORM!$H$2:$K$126,MATCH($E892,[1]Esquemas_NORM!$A$2:$A$126,0),MATCH(AC$4,[1]Esquemas_NORM!$H$1:$K$1,0)))</f>
        <v>A la fecha no ha conformado un EAT asociación - unión</v>
      </c>
      <c r="AD892" s="23"/>
    </row>
    <row r="893" spans="1:30" x14ac:dyDescent="0.25">
      <c r="A893" s="51">
        <v>2022</v>
      </c>
      <c r="B893" s="52" t="s">
        <v>36</v>
      </c>
      <c r="C893" s="52" t="s">
        <v>38</v>
      </c>
      <c r="D893" s="52" t="s">
        <v>48</v>
      </c>
      <c r="E893" s="52" t="s">
        <v>53</v>
      </c>
      <c r="F893" s="52" t="s">
        <v>41</v>
      </c>
      <c r="G893" s="52" t="s">
        <v>54</v>
      </c>
      <c r="H893" s="53">
        <v>13.255727725540448</v>
      </c>
      <c r="I893" s="53">
        <v>0</v>
      </c>
      <c r="J893" s="54">
        <v>13.255727725540448</v>
      </c>
      <c r="K893" s="53">
        <v>1939.0959737624119</v>
      </c>
      <c r="L893" s="53">
        <v>152.09447456098516</v>
      </c>
      <c r="M893" s="54">
        <v>2091.190448323397</v>
      </c>
      <c r="N893" s="53">
        <v>353.69582141515457</v>
      </c>
      <c r="O893" s="53">
        <v>1649.4447947063325</v>
      </c>
      <c r="P893" s="53">
        <v>319.96852534603988</v>
      </c>
      <c r="Q893" s="53">
        <v>465.78486079502716</v>
      </c>
      <c r="R893" s="53">
        <v>1195.0672136243675</v>
      </c>
      <c r="S893" s="53">
        <v>925.54911832385835</v>
      </c>
      <c r="T893" s="53">
        <v>951.10411075218155</v>
      </c>
      <c r="U893" s="53">
        <v>444.49738438070659</v>
      </c>
      <c r="V893" s="54">
        <v>6305.1118293436684</v>
      </c>
      <c r="W893" s="54">
        <v>7984.7564630727657</v>
      </c>
      <c r="X893" s="53">
        <v>911.72129282442177</v>
      </c>
      <c r="Y893" s="55">
        <v>8891.2511771862373</v>
      </c>
      <c r="Z893" s="17" t="str">
        <f>SUBSTITUTE(SUBSTITUTE(SUBSTITUTE(SUBSTITUTE(IF(E893="","",VLOOKUP(E893,[1]Esquemas_NORM!$A$2:$H$126,8,FALSE)),"PROVINCIA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3" s="17" t="str">
        <f>IF($E893="","",INDEX([1]Esquemas_NORM!$H$2:$K$126,MATCH($E893,[1]Esquemas_NORM!$A$2:$A$126,0),MATCH(AA$4,[1]Esquemas_NORM!$H$1:$K$1,0)))</f>
        <v>A la fecha no ha conformado un EAT Región</v>
      </c>
      <c r="AB893" s="17" t="str">
        <f>IF($E893="","",INDEX([1]Esquemas_NORM!$H$2:$K$126,MATCH($E893,[1]Esquemas_NORM!$A$2:$A$126,0),MATCH(AB$4,[1]Esquemas_NORM!$H$1:$K$1,0)))</f>
        <v>Área Metropolitana del Valle de Aburrá</v>
      </c>
      <c r="AC893" s="17" t="str">
        <f>IF($E893="","",INDEX([1]Esquemas_NORM!$H$2:$K$126,MATCH($E893,[1]Esquemas_NORM!$A$2:$A$126,0),MATCH(AC$4,[1]Esquemas_NORM!$H$1:$K$1,0)))</f>
        <v>A la fecha no ha conformado un EAT asociación - unión</v>
      </c>
      <c r="AD893" s="23"/>
    </row>
    <row r="894" spans="1:30" x14ac:dyDescent="0.25">
      <c r="A894" s="51">
        <v>2022</v>
      </c>
      <c r="B894" s="52" t="s">
        <v>36</v>
      </c>
      <c r="C894" s="52" t="s">
        <v>38</v>
      </c>
      <c r="D894" s="52" t="s">
        <v>43</v>
      </c>
      <c r="E894" s="52" t="s">
        <v>55</v>
      </c>
      <c r="F894" s="52" t="s">
        <v>41</v>
      </c>
      <c r="G894" s="52" t="s">
        <v>56</v>
      </c>
      <c r="H894" s="53">
        <v>43.758396877654093</v>
      </c>
      <c r="I894" s="53">
        <v>21.254546837952436</v>
      </c>
      <c r="J894" s="54">
        <v>65.012943715606525</v>
      </c>
      <c r="K894" s="53">
        <v>1337.7606927134175</v>
      </c>
      <c r="L894" s="53">
        <v>330.15237033604802</v>
      </c>
      <c r="M894" s="54">
        <v>1667.9130630494656</v>
      </c>
      <c r="N894" s="53">
        <v>116.76384820518518</v>
      </c>
      <c r="O894" s="53">
        <v>256.27994720973709</v>
      </c>
      <c r="P894" s="53">
        <v>30.864858670455774</v>
      </c>
      <c r="Q894" s="53">
        <v>23.200890170866689</v>
      </c>
      <c r="R894" s="53">
        <v>90.627174755216387</v>
      </c>
      <c r="S894" s="53">
        <v>96.861769748281517</v>
      </c>
      <c r="T894" s="53">
        <v>79.578923113725054</v>
      </c>
      <c r="U894" s="53">
        <v>36.36975533448549</v>
      </c>
      <c r="V894" s="54">
        <v>730.54716720795318</v>
      </c>
      <c r="W894" s="54">
        <v>2353.850015536339</v>
      </c>
      <c r="X894" s="53">
        <v>268.76902122243479</v>
      </c>
      <c r="Y894" s="55">
        <v>2621.0782781349048</v>
      </c>
      <c r="Z894" s="17" t="str">
        <f>SUBSTITUTE(SUBSTITUTE(SUBSTITUTE(SUBSTITUTE(IF(E894="","",VLOOKUP(E894,[1]Esquemas_NORM!$A$2:$H$126,8,FALSE)),"PROVINCIA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4" s="17" t="str">
        <f>IF($E894="","",INDEX([1]Esquemas_NORM!$H$2:$K$126,MATCH($E894,[1]Esquemas_NORM!$A$2:$A$126,0),MATCH(AA$4,[1]Esquemas_NORM!$H$1:$K$1,0)))</f>
        <v>A la fecha no ha conformado un EAT Región</v>
      </c>
      <c r="AB894" s="17" t="str">
        <f>IF($E894="","",INDEX([1]Esquemas_NORM!$H$2:$K$126,MATCH($E894,[1]Esquemas_NORM!$A$2:$A$126,0),MATCH(AB$4,[1]Esquemas_NORM!$H$1:$K$1,0)))</f>
        <v>Área Metropolitana del Valle de Aburrá</v>
      </c>
      <c r="AC894" s="17" t="str">
        <f>IF($E894="","",INDEX([1]Esquemas_NORM!$H$2:$K$126,MATCH($E894,[1]Esquemas_NORM!$A$2:$A$126,0),MATCH(AC$4,[1]Esquemas_NORM!$H$1:$K$1,0)))</f>
        <v>A la fecha no ha conformado un EAT asociación - unión</v>
      </c>
      <c r="AD894" s="23"/>
    </row>
    <row r="895" spans="1:30" x14ac:dyDescent="0.25">
      <c r="A895" s="51">
        <v>2022</v>
      </c>
      <c r="B895" s="52" t="s">
        <v>36</v>
      </c>
      <c r="C895" s="52" t="s">
        <v>38</v>
      </c>
      <c r="D895" s="52" t="s">
        <v>48</v>
      </c>
      <c r="E895" s="52" t="s">
        <v>57</v>
      </c>
      <c r="F895" s="52" t="s">
        <v>41</v>
      </c>
      <c r="G895" s="52" t="s">
        <v>58</v>
      </c>
      <c r="H895" s="53">
        <v>0.82603042430954798</v>
      </c>
      <c r="I895" s="53">
        <v>0.23079846556917405</v>
      </c>
      <c r="J895" s="54">
        <v>1.0568288898787221</v>
      </c>
      <c r="K895" s="53">
        <v>2700.9711150307021</v>
      </c>
      <c r="L895" s="53">
        <v>521.13026445174637</v>
      </c>
      <c r="M895" s="54">
        <v>3222.1013794824485</v>
      </c>
      <c r="N895" s="53">
        <v>286.21949401554986</v>
      </c>
      <c r="O895" s="53">
        <v>1526.2511738439405</v>
      </c>
      <c r="P895" s="53">
        <v>247.82166957312108</v>
      </c>
      <c r="Q895" s="53">
        <v>242.23235663411603</v>
      </c>
      <c r="R895" s="53">
        <v>724.72634440516686</v>
      </c>
      <c r="S895" s="53">
        <v>661.88174416289201</v>
      </c>
      <c r="T895" s="53">
        <v>671.61707643566717</v>
      </c>
      <c r="U895" s="53">
        <v>275.95717846973696</v>
      </c>
      <c r="V895" s="54">
        <v>4636.7070375401909</v>
      </c>
      <c r="W895" s="54">
        <v>7449.068167761423</v>
      </c>
      <c r="X895" s="53">
        <v>850.55494073705972</v>
      </c>
      <c r="Y895" s="55">
        <v>8294.7471750517852</v>
      </c>
      <c r="Z895" s="17" t="str">
        <f>SUBSTITUTE(SUBSTITUTE(SUBSTITUTE(SUBSTITUTE(IF(E895="","",VLOOKUP(E895,[1]Esquemas_NORM!$A$2:$H$126,8,FALSE)),"PROVINCIA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5" s="17" t="str">
        <f>IF($E895="","",INDEX([1]Esquemas_NORM!$H$2:$K$126,MATCH($E895,[1]Esquemas_NORM!$A$2:$A$126,0),MATCH(AA$4,[1]Esquemas_NORM!$H$1:$K$1,0)))</f>
        <v>A la fecha no ha conformado un EAT Región</v>
      </c>
      <c r="AB895" s="17" t="str">
        <f>IF($E895="","",INDEX([1]Esquemas_NORM!$H$2:$K$126,MATCH($E895,[1]Esquemas_NORM!$A$2:$A$126,0),MATCH(AB$4,[1]Esquemas_NORM!$H$1:$K$1,0)))</f>
        <v>Área Metropolitana del Valle de Aburrá</v>
      </c>
      <c r="AC895" s="17" t="str">
        <f>IF($E895="","",INDEX([1]Esquemas_NORM!$H$2:$K$126,MATCH($E895,[1]Esquemas_NORM!$A$2:$A$126,0),MATCH(AC$4,[1]Esquemas_NORM!$H$1:$K$1,0)))</f>
        <v>A la fecha no ha conformado un EAT asociación - unión</v>
      </c>
      <c r="AD895" s="23"/>
    </row>
    <row r="896" spans="1:30" x14ac:dyDescent="0.25">
      <c r="A896" s="51">
        <v>2022</v>
      </c>
      <c r="B896" s="52" t="s">
        <v>36</v>
      </c>
      <c r="C896" s="52" t="s">
        <v>38</v>
      </c>
      <c r="D896" s="52" t="s">
        <v>48</v>
      </c>
      <c r="E896" s="52" t="s">
        <v>59</v>
      </c>
      <c r="F896" s="52" t="s">
        <v>41</v>
      </c>
      <c r="G896" s="52" t="s">
        <v>60</v>
      </c>
      <c r="H896" s="53">
        <v>4.7804813474570702</v>
      </c>
      <c r="I896" s="53">
        <v>7.5784887294422033E-6</v>
      </c>
      <c r="J896" s="54">
        <v>4.7804889259457992</v>
      </c>
      <c r="K896" s="53">
        <v>942.60570941337551</v>
      </c>
      <c r="L896" s="53">
        <v>83.238903792267266</v>
      </c>
      <c r="M896" s="54">
        <v>1025.8446132056429</v>
      </c>
      <c r="N896" s="53">
        <v>94.542847796525578</v>
      </c>
      <c r="O896" s="53">
        <v>301.62698177172399</v>
      </c>
      <c r="P896" s="53">
        <v>69.685558525174855</v>
      </c>
      <c r="Q896" s="53">
        <v>36.855592589253071</v>
      </c>
      <c r="R896" s="53">
        <v>193.45200373347737</v>
      </c>
      <c r="S896" s="53">
        <v>161.7054680538142</v>
      </c>
      <c r="T896" s="53">
        <v>122.56808115996935</v>
      </c>
      <c r="U896" s="53">
        <v>69.469589602483737</v>
      </c>
      <c r="V896" s="54">
        <v>1049.906123232422</v>
      </c>
      <c r="W896" s="54">
        <v>1969.5222979630978</v>
      </c>
      <c r="X896" s="53">
        <v>224.88543314374471</v>
      </c>
      <c r="Y896" s="55">
        <v>2193.1185417169245</v>
      </c>
      <c r="Z896" s="17" t="str">
        <f>SUBSTITUTE(SUBSTITUTE(SUBSTITUTE(SUBSTITUTE(IF(E896="","",VLOOKUP(E896,[1]Esquemas_NORM!$A$2:$H$126,8,FALSE)),"PROVINCIA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6" s="17" t="str">
        <f>IF($E896="","",INDEX([1]Esquemas_NORM!$H$2:$K$126,MATCH($E896,[1]Esquemas_NORM!$A$2:$A$126,0),MATCH(AA$4,[1]Esquemas_NORM!$H$1:$K$1,0)))</f>
        <v>A la fecha no ha conformado un EAT Región</v>
      </c>
      <c r="AB896" s="17" t="str">
        <f>IF($E896="","",INDEX([1]Esquemas_NORM!$H$2:$K$126,MATCH($E896,[1]Esquemas_NORM!$A$2:$A$126,0),MATCH(AB$4,[1]Esquemas_NORM!$H$1:$K$1,0)))</f>
        <v>Área Metropolitana del Valle de Aburrá</v>
      </c>
      <c r="AC896" s="17" t="str">
        <f>IF($E896="","",INDEX([1]Esquemas_NORM!$H$2:$K$126,MATCH($E896,[1]Esquemas_NORM!$A$2:$A$126,0),MATCH(AC$4,[1]Esquemas_NORM!$H$1:$K$1,0)))</f>
        <v>A la fecha no ha conformado un EAT asociación - unión</v>
      </c>
      <c r="AD896" s="23"/>
    </row>
    <row r="897" spans="1:30" x14ac:dyDescent="0.25">
      <c r="A897" s="51">
        <v>2022</v>
      </c>
      <c r="B897" s="52" t="s">
        <v>36</v>
      </c>
      <c r="C897" s="52" t="s">
        <v>38</v>
      </c>
      <c r="D897" s="52" t="s">
        <v>48</v>
      </c>
      <c r="E897" s="52" t="s">
        <v>61</v>
      </c>
      <c r="F897" s="52" t="s">
        <v>41</v>
      </c>
      <c r="G897" s="52" t="s">
        <v>62</v>
      </c>
      <c r="H897" s="53">
        <v>4.4019162878292475</v>
      </c>
      <c r="I897" s="53">
        <v>0</v>
      </c>
      <c r="J897" s="54">
        <v>4.4019162878292475</v>
      </c>
      <c r="K897" s="53">
        <v>910.70845942276264</v>
      </c>
      <c r="L897" s="53">
        <v>96.072472556339036</v>
      </c>
      <c r="M897" s="54">
        <v>1006.7809319791016</v>
      </c>
      <c r="N897" s="53">
        <v>114.94686733315653</v>
      </c>
      <c r="O897" s="53">
        <v>579.42370400950108</v>
      </c>
      <c r="P897" s="53">
        <v>101.07438804743674</v>
      </c>
      <c r="Q897" s="53">
        <v>85.278481769520539</v>
      </c>
      <c r="R897" s="53">
        <v>328.59563099674068</v>
      </c>
      <c r="S897" s="53">
        <v>281.01253802169157</v>
      </c>
      <c r="T897" s="53">
        <v>371.51649495348477</v>
      </c>
      <c r="U897" s="53">
        <v>111.99565222428728</v>
      </c>
      <c r="V897" s="54">
        <v>1973.8437573558194</v>
      </c>
      <c r="W897" s="54">
        <v>2840.0829399134104</v>
      </c>
      <c r="X897" s="53">
        <v>324.2884240341586</v>
      </c>
      <c r="Y897" s="55">
        <v>3162.5123320409944</v>
      </c>
      <c r="Z897" s="17" t="str">
        <f>SUBSTITUTE(SUBSTITUTE(SUBSTITUTE(SUBSTITUTE(IF(E897="","",VLOOKUP(E897,[1]Esquemas_NORM!$A$2:$H$126,8,FALSE)),"PROVINCIA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7" s="17" t="str">
        <f>IF($E897="","",INDEX([1]Esquemas_NORM!$H$2:$K$126,MATCH($E897,[1]Esquemas_NORM!$A$2:$A$126,0),MATCH(AA$4,[1]Esquemas_NORM!$H$1:$K$1,0)))</f>
        <v>A la fecha no ha conformado un EAT Región</v>
      </c>
      <c r="AB897" s="17" t="str">
        <f>IF($E897="","",INDEX([1]Esquemas_NORM!$H$2:$K$126,MATCH($E897,[1]Esquemas_NORM!$A$2:$A$126,0),MATCH(AB$4,[1]Esquemas_NORM!$H$1:$K$1,0)))</f>
        <v>Área Metropolitana del Valle de Aburrá</v>
      </c>
      <c r="AC897" s="17" t="str">
        <f>IF($E897="","",INDEX([1]Esquemas_NORM!$H$2:$K$126,MATCH($E897,[1]Esquemas_NORM!$A$2:$A$126,0),MATCH(AC$4,[1]Esquemas_NORM!$H$1:$K$1,0)))</f>
        <v>A la fecha no ha conformado un EAT asociación - unión</v>
      </c>
      <c r="AD897" s="23"/>
    </row>
    <row r="898" spans="1:30" x14ac:dyDescent="0.25">
      <c r="A898" s="51">
        <v>2022</v>
      </c>
      <c r="B898" s="52" t="s">
        <v>36</v>
      </c>
      <c r="C898" s="52" t="s">
        <v>63</v>
      </c>
      <c r="D898" s="52" t="s">
        <v>64</v>
      </c>
      <c r="E898" s="52" t="s">
        <v>65</v>
      </c>
      <c r="F898" s="52" t="s">
        <v>66</v>
      </c>
      <c r="G898" s="52" t="s">
        <v>67</v>
      </c>
      <c r="H898" s="53">
        <v>38.704000488324347</v>
      </c>
      <c r="I898" s="53">
        <v>7.061022256354601</v>
      </c>
      <c r="J898" s="54">
        <v>45.765022744678944</v>
      </c>
      <c r="K898" s="53">
        <v>5.4448989590971681</v>
      </c>
      <c r="L898" s="53">
        <v>10.84538600629617</v>
      </c>
      <c r="M898" s="54">
        <v>16.29028496539334</v>
      </c>
      <c r="N898" s="53">
        <v>5.1241412640537565</v>
      </c>
      <c r="O898" s="53">
        <v>71.158647562948374</v>
      </c>
      <c r="P898" s="53">
        <v>10.627304396555692</v>
      </c>
      <c r="Q898" s="53">
        <v>6.3034225415357295</v>
      </c>
      <c r="R898" s="53">
        <v>20.337552721271269</v>
      </c>
      <c r="S898" s="53">
        <v>27.185506757710087</v>
      </c>
      <c r="T898" s="53">
        <v>60.773409068815411</v>
      </c>
      <c r="U898" s="53">
        <v>14.233464930460624</v>
      </c>
      <c r="V898" s="54">
        <v>215.74344924335094</v>
      </c>
      <c r="W898" s="54">
        <v>296.39020609577665</v>
      </c>
      <c r="X898" s="53">
        <v>33.842642932415352</v>
      </c>
      <c r="Y898" s="55">
        <v>330.0388410144879</v>
      </c>
      <c r="Z898" s="17" t="str">
        <f>SUBSTITUTE(SUBSTITUTE(SUBSTITUTE(SUBSTITUTE(IF(E898="","",VLOOKUP(E898,[1]Esquemas_NORM!$A$2:$H$126,8,FALSE)),"PROVINCIA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8" s="17" t="str">
        <f>IF($E898="","",INDEX([1]Esquemas_NORM!$H$2:$K$126,MATCH($E898,[1]Esquemas_NORM!$A$2:$A$126,0),MATCH(AA$4,[1]Esquemas_NORM!$H$1:$K$1,0)))</f>
        <v>Región de Planeación y Gestión del Bajo Cauca</v>
      </c>
      <c r="AB898" s="17" t="str">
        <f>IF($E898="","",INDEX([1]Esquemas_NORM!$H$2:$K$126,MATCH($E898,[1]Esquemas_NORM!$A$2:$A$126,0),MATCH(AB$4,[1]Esquemas_NORM!$H$1:$K$1,0)))</f>
        <v>A la fecha no ha conformado un EAT Área Metropolitana</v>
      </c>
      <c r="AC898" s="17" t="str">
        <f>IF($E898="","",INDEX([1]Esquemas_NORM!$H$2:$K$126,MATCH($E898,[1]Esquemas_NORM!$A$2:$A$126,0),MATCH(AC$4,[1]Esquemas_NORM!$H$1:$K$1,0)))</f>
        <v>A la fecha no ha conformado un EAT asociación - unión</v>
      </c>
      <c r="AD898" s="23"/>
    </row>
    <row r="899" spans="1:30" x14ac:dyDescent="0.25">
      <c r="A899" s="51">
        <v>2022</v>
      </c>
      <c r="B899" s="52" t="s">
        <v>36</v>
      </c>
      <c r="C899" s="52" t="s">
        <v>63</v>
      </c>
      <c r="D899" s="52" t="s">
        <v>64</v>
      </c>
      <c r="E899" s="52" t="s">
        <v>68</v>
      </c>
      <c r="F899" s="52" t="s">
        <v>66</v>
      </c>
      <c r="G899" s="52" t="s">
        <v>69</v>
      </c>
      <c r="H899" s="53">
        <v>30.177798978008965</v>
      </c>
      <c r="I899" s="53">
        <v>551.76821149903662</v>
      </c>
      <c r="J899" s="54">
        <v>581.94601047704555</v>
      </c>
      <c r="K899" s="53">
        <v>19.183445420229418</v>
      </c>
      <c r="L899" s="53">
        <v>34.047949693023625</v>
      </c>
      <c r="M899" s="54">
        <v>53.231395113253043</v>
      </c>
      <c r="N899" s="53">
        <v>39.505234849664262</v>
      </c>
      <c r="O899" s="53">
        <v>296.79109566336399</v>
      </c>
      <c r="P899" s="53">
        <v>33.215411353741722</v>
      </c>
      <c r="Q899" s="53">
        <v>26.901294420455638</v>
      </c>
      <c r="R899" s="53">
        <v>62.675125778296618</v>
      </c>
      <c r="S899" s="53">
        <v>141.97703785771287</v>
      </c>
      <c r="T899" s="53">
        <v>196.0539927829829</v>
      </c>
      <c r="U899" s="53">
        <v>37.258687399928412</v>
      </c>
      <c r="V899" s="54">
        <v>834.37788010614634</v>
      </c>
      <c r="W899" s="54">
        <v>1827.9285636382506</v>
      </c>
      <c r="X899" s="53">
        <v>208.71787398166879</v>
      </c>
      <c r="Y899" s="55">
        <v>2035.4499311816669</v>
      </c>
      <c r="Z899" s="17" t="str">
        <f>SUBSTITUTE(SUBSTITUTE(SUBSTITUTE(SUBSTITUTE(IF(E899="","",VLOOKUP(E899,[1]Esquemas_NORM!$A$2:$H$126,8,FALSE)),"PROVINCIA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899" s="17" t="str">
        <f>IF($E899="","",INDEX([1]Esquemas_NORM!$H$2:$K$126,MATCH($E899,[1]Esquemas_NORM!$A$2:$A$126,0),MATCH(AA$4,[1]Esquemas_NORM!$H$1:$K$1,0)))</f>
        <v>Región de Planeación y Gestión del Bajo Cauca</v>
      </c>
      <c r="AB899" s="17" t="str">
        <f>IF($E899="","",INDEX([1]Esquemas_NORM!$H$2:$K$126,MATCH($E899,[1]Esquemas_NORM!$A$2:$A$126,0),MATCH(AB$4,[1]Esquemas_NORM!$H$1:$K$1,0)))</f>
        <v>A la fecha no ha conformado un EAT Área Metropolitana</v>
      </c>
      <c r="AC899" s="17" t="str">
        <f>IF($E899="","",INDEX([1]Esquemas_NORM!$H$2:$K$126,MATCH($E899,[1]Esquemas_NORM!$A$2:$A$126,0),MATCH(AC$4,[1]Esquemas_NORM!$H$1:$K$1,0)))</f>
        <v>A la fecha no ha conformado un EAT asociación - unión</v>
      </c>
      <c r="AD899" s="23"/>
    </row>
    <row r="900" spans="1:30" x14ac:dyDescent="0.25">
      <c r="A900" s="51">
        <v>2022</v>
      </c>
      <c r="B900" s="52" t="s">
        <v>36</v>
      </c>
      <c r="C900" s="52" t="s">
        <v>63</v>
      </c>
      <c r="D900" s="52" t="s">
        <v>64</v>
      </c>
      <c r="E900" s="52" t="s">
        <v>70</v>
      </c>
      <c r="F900" s="52" t="s">
        <v>66</v>
      </c>
      <c r="G900" s="52" t="s">
        <v>71</v>
      </c>
      <c r="H900" s="53">
        <v>12.446462983612477</v>
      </c>
      <c r="I900" s="53">
        <v>252.74888659992834</v>
      </c>
      <c r="J900" s="54">
        <v>265.1953495835408</v>
      </c>
      <c r="K900" s="53">
        <v>10.486102340481448</v>
      </c>
      <c r="L900" s="53">
        <v>14.984842749980949</v>
      </c>
      <c r="M900" s="54">
        <v>25.470945090462397</v>
      </c>
      <c r="N900" s="53">
        <v>20.632581258184221</v>
      </c>
      <c r="O900" s="53">
        <v>119.80766735429562</v>
      </c>
      <c r="P900" s="53">
        <v>21.659870335555677</v>
      </c>
      <c r="Q900" s="53">
        <v>10.734112107474372</v>
      </c>
      <c r="R900" s="53">
        <v>36.095695885336134</v>
      </c>
      <c r="S900" s="53">
        <v>67.138656032497337</v>
      </c>
      <c r="T900" s="53">
        <v>91.714968158244119</v>
      </c>
      <c r="U900" s="53">
        <v>23.913678962937965</v>
      </c>
      <c r="V900" s="54">
        <v>391.69723009452548</v>
      </c>
      <c r="W900" s="54">
        <v>842.09683932818257</v>
      </c>
      <c r="X900" s="53">
        <v>96.152916195714141</v>
      </c>
      <c r="Y900" s="55">
        <v>937.69854454665654</v>
      </c>
      <c r="Z900" s="17" t="str">
        <f>SUBSTITUTE(SUBSTITUTE(SUBSTITUTE(SUBSTITUTE(IF(E900="","",VLOOKUP(E900,[1]Esquemas_NORM!$A$2:$H$126,8,FALSE)),"PROVINCIA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0" s="17" t="str">
        <f>IF($E900="","",INDEX([1]Esquemas_NORM!$H$2:$K$126,MATCH($E900,[1]Esquemas_NORM!$A$2:$A$126,0),MATCH(AA$4,[1]Esquemas_NORM!$H$1:$K$1,0)))</f>
        <v>Región de Planeación y Gestión del Bajo Cauca</v>
      </c>
      <c r="AB900" s="17" t="str">
        <f>IF($E900="","",INDEX([1]Esquemas_NORM!$H$2:$K$126,MATCH($E900,[1]Esquemas_NORM!$A$2:$A$126,0),MATCH(AB$4,[1]Esquemas_NORM!$H$1:$K$1,0)))</f>
        <v>A la fecha no ha conformado un EAT Área Metropolitana</v>
      </c>
      <c r="AC900" s="17" t="str">
        <f>IF($E900="","",INDEX([1]Esquemas_NORM!$H$2:$K$126,MATCH($E900,[1]Esquemas_NORM!$A$2:$A$126,0),MATCH(AC$4,[1]Esquemas_NORM!$H$1:$K$1,0)))</f>
        <v>A la fecha no ha conformado un EAT asociación - unión</v>
      </c>
      <c r="AD900" s="23"/>
    </row>
    <row r="901" spans="1:30" x14ac:dyDescent="0.25">
      <c r="A901" s="51">
        <v>2022</v>
      </c>
      <c r="B901" s="52" t="s">
        <v>36</v>
      </c>
      <c r="C901" s="52" t="s">
        <v>63</v>
      </c>
      <c r="D901" s="52" t="s">
        <v>64</v>
      </c>
      <c r="E901" s="52" t="s">
        <v>72</v>
      </c>
      <c r="F901" s="52" t="s">
        <v>66</v>
      </c>
      <c r="G901" s="52" t="s">
        <v>73</v>
      </c>
      <c r="H901" s="53">
        <v>21.32782118306525</v>
      </c>
      <c r="I901" s="53">
        <v>3.8922678131625719</v>
      </c>
      <c r="J901" s="54">
        <v>25.220088996227823</v>
      </c>
      <c r="K901" s="53">
        <v>8.5942003708057246</v>
      </c>
      <c r="L901" s="53">
        <v>4.4700116760690962</v>
      </c>
      <c r="M901" s="54">
        <v>13.064212046874822</v>
      </c>
      <c r="N901" s="53">
        <v>8.452514764094591</v>
      </c>
      <c r="O901" s="53">
        <v>53.813469601012827</v>
      </c>
      <c r="P901" s="53">
        <v>7.9623483458920603</v>
      </c>
      <c r="Q901" s="53">
        <v>5.2353126820571445</v>
      </c>
      <c r="R901" s="53">
        <v>15.751379428992818</v>
      </c>
      <c r="S901" s="53">
        <v>23.848376924745398</v>
      </c>
      <c r="T901" s="53">
        <v>61.910046762657558</v>
      </c>
      <c r="U901" s="53">
        <v>10.538900466945188</v>
      </c>
      <c r="V901" s="54">
        <v>187.51234897639759</v>
      </c>
      <c r="W901" s="54">
        <v>234.41438637402447</v>
      </c>
      <c r="X901" s="53">
        <v>26.76607463107398</v>
      </c>
      <c r="Y901" s="55">
        <v>261.02702047788529</v>
      </c>
      <c r="Z901" s="17" t="str">
        <f>SUBSTITUTE(SUBSTITUTE(SUBSTITUTE(SUBSTITUTE(IF(E901="","",VLOOKUP(E901,[1]Esquemas_NORM!$A$2:$H$126,8,FALSE)),"PROVINCIA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1" s="17" t="str">
        <f>IF($E901="","",INDEX([1]Esquemas_NORM!$H$2:$K$126,MATCH($E901,[1]Esquemas_NORM!$A$2:$A$126,0),MATCH(AA$4,[1]Esquemas_NORM!$H$1:$K$1,0)))</f>
        <v>Región de Planeación y Gestión del Bajo Cauca</v>
      </c>
      <c r="AB901" s="17" t="str">
        <f>IF($E901="","",INDEX([1]Esquemas_NORM!$H$2:$K$126,MATCH($E901,[1]Esquemas_NORM!$A$2:$A$126,0),MATCH(AB$4,[1]Esquemas_NORM!$H$1:$K$1,0)))</f>
        <v>A la fecha no ha conformado un EAT Área Metropolitana</v>
      </c>
      <c r="AC901" s="17" t="str">
        <f>IF($E901="","",INDEX([1]Esquemas_NORM!$H$2:$K$126,MATCH($E901,[1]Esquemas_NORM!$A$2:$A$126,0),MATCH(AC$4,[1]Esquemas_NORM!$H$1:$K$1,0)))</f>
        <v>A la fecha no ha conformado un EAT asociación - unión</v>
      </c>
      <c r="AD901" s="23"/>
    </row>
    <row r="902" spans="1:30" x14ac:dyDescent="0.25">
      <c r="A902" s="51">
        <v>2022</v>
      </c>
      <c r="B902" s="52" t="s">
        <v>36</v>
      </c>
      <c r="C902" s="52" t="s">
        <v>63</v>
      </c>
      <c r="D902" s="52" t="s">
        <v>64</v>
      </c>
      <c r="E902" s="52" t="s">
        <v>74</v>
      </c>
      <c r="F902" s="52" t="s">
        <v>66</v>
      </c>
      <c r="G902" s="52" t="s">
        <v>75</v>
      </c>
      <c r="H902" s="53">
        <v>18.405342609537851</v>
      </c>
      <c r="I902" s="53">
        <v>13.642698751504703</v>
      </c>
      <c r="J902" s="54">
        <v>32.04804136104255</v>
      </c>
      <c r="K902" s="53">
        <v>3.2025459313845457</v>
      </c>
      <c r="L902" s="53">
        <v>12.846454005184215</v>
      </c>
      <c r="M902" s="54">
        <v>16.048999936568762</v>
      </c>
      <c r="N902" s="53">
        <v>9.4642541858170404</v>
      </c>
      <c r="O902" s="53">
        <v>64.824105662395709</v>
      </c>
      <c r="P902" s="53">
        <v>13.575480751970344</v>
      </c>
      <c r="Q902" s="53">
        <v>8.6352996011124858</v>
      </c>
      <c r="R902" s="53">
        <v>23.31390445191316</v>
      </c>
      <c r="S902" s="53">
        <v>28.951930708164312</v>
      </c>
      <c r="T902" s="53">
        <v>71.214131972695142</v>
      </c>
      <c r="U902" s="53">
        <v>13.452698358459422</v>
      </c>
      <c r="V902" s="54">
        <v>233.43180569252763</v>
      </c>
      <c r="W902" s="54">
        <v>291.12415114233164</v>
      </c>
      <c r="X902" s="53">
        <v>33.241350400534841</v>
      </c>
      <c r="Y902" s="55">
        <v>324.17494052855858</v>
      </c>
      <c r="Z902" s="17" t="str">
        <f>SUBSTITUTE(SUBSTITUTE(SUBSTITUTE(SUBSTITUTE(IF(E902="","",VLOOKUP(E902,[1]Esquemas_NORM!$A$2:$H$126,8,FALSE)),"PROVINCIA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2" s="17" t="str">
        <f>IF($E902="","",INDEX([1]Esquemas_NORM!$H$2:$K$126,MATCH($E902,[1]Esquemas_NORM!$A$2:$A$126,0),MATCH(AA$4,[1]Esquemas_NORM!$H$1:$K$1,0)))</f>
        <v>Región de Planeación y Gestión del Bajo Cauca</v>
      </c>
      <c r="AB902" s="17" t="str">
        <f>IF($E902="","",INDEX([1]Esquemas_NORM!$H$2:$K$126,MATCH($E902,[1]Esquemas_NORM!$A$2:$A$126,0),MATCH(AB$4,[1]Esquemas_NORM!$H$1:$K$1,0)))</f>
        <v>A la fecha no ha conformado un EAT Área Metropolitana</v>
      </c>
      <c r="AC902" s="17" t="str">
        <f>IF($E902="","",INDEX([1]Esquemas_NORM!$H$2:$K$126,MATCH($E902,[1]Esquemas_NORM!$A$2:$A$126,0),MATCH(AC$4,[1]Esquemas_NORM!$H$1:$K$1,0)))</f>
        <v>A la fecha no ha conformado un EAT asociación - unión</v>
      </c>
      <c r="AD902" s="23"/>
    </row>
    <row r="903" spans="1:30" x14ac:dyDescent="0.25">
      <c r="A903" s="51">
        <v>2022</v>
      </c>
      <c r="B903" s="52" t="s">
        <v>36</v>
      </c>
      <c r="C903" s="52" t="s">
        <v>63</v>
      </c>
      <c r="D903" s="52" t="s">
        <v>64</v>
      </c>
      <c r="E903" s="52" t="s">
        <v>76</v>
      </c>
      <c r="F903" s="52" t="s">
        <v>66</v>
      </c>
      <c r="G903" s="52" t="s">
        <v>77</v>
      </c>
      <c r="H903" s="53">
        <v>20.967629706528452</v>
      </c>
      <c r="I903" s="53">
        <v>51.938456354329475</v>
      </c>
      <c r="J903" s="54">
        <v>72.90608606085793</v>
      </c>
      <c r="K903" s="53">
        <v>3.2680821569976759</v>
      </c>
      <c r="L903" s="53">
        <v>10.125062564557942</v>
      </c>
      <c r="M903" s="54">
        <v>13.393144721555618</v>
      </c>
      <c r="N903" s="53">
        <v>3.3705232497517215</v>
      </c>
      <c r="O903" s="53">
        <v>56.038184364802269</v>
      </c>
      <c r="P903" s="53">
        <v>7.9311652345020187</v>
      </c>
      <c r="Q903" s="53">
        <v>4.8328451797711134</v>
      </c>
      <c r="R903" s="53">
        <v>15.253349773979936</v>
      </c>
      <c r="S903" s="53">
        <v>24.355688875288532</v>
      </c>
      <c r="T903" s="53">
        <v>57.230320827395616</v>
      </c>
      <c r="U903" s="53">
        <v>8.1692125834035902</v>
      </c>
      <c r="V903" s="54">
        <v>177.1812900888948</v>
      </c>
      <c r="W903" s="54">
        <v>302.13232145779745</v>
      </c>
      <c r="X903" s="53">
        <v>34.498293341534705</v>
      </c>
      <c r="Y903" s="55">
        <v>336.43284817156677</v>
      </c>
      <c r="Z903" s="17" t="str">
        <f>SUBSTITUTE(SUBSTITUTE(SUBSTITUTE(SUBSTITUTE(IF(E903="","",VLOOKUP(E903,[1]Esquemas_NORM!$A$2:$H$126,8,FALSE)),"PROVINCIA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3" s="17" t="str">
        <f>IF($E903="","",INDEX([1]Esquemas_NORM!$H$2:$K$126,MATCH($E903,[1]Esquemas_NORM!$A$2:$A$126,0),MATCH(AA$4,[1]Esquemas_NORM!$H$1:$K$1,0)))</f>
        <v>Región de Planeación y Gestión del Bajo Cauca</v>
      </c>
      <c r="AB903" s="17" t="str">
        <f>IF($E903="","",INDEX([1]Esquemas_NORM!$H$2:$K$126,MATCH($E903,[1]Esquemas_NORM!$A$2:$A$126,0),MATCH(AB$4,[1]Esquemas_NORM!$H$1:$K$1,0)))</f>
        <v>A la fecha no ha conformado un EAT Área Metropolitana</v>
      </c>
      <c r="AC903" s="17" t="str">
        <f>IF($E903="","",INDEX([1]Esquemas_NORM!$H$2:$K$126,MATCH($E903,[1]Esquemas_NORM!$A$2:$A$126,0),MATCH(AC$4,[1]Esquemas_NORM!$H$1:$K$1,0)))</f>
        <v>A la fecha no ha conformado un EAT asociación - unión</v>
      </c>
      <c r="AD903" s="23"/>
    </row>
    <row r="904" spans="1:30" x14ac:dyDescent="0.25">
      <c r="A904" s="51">
        <v>2022</v>
      </c>
      <c r="B904" s="52" t="s">
        <v>36</v>
      </c>
      <c r="C904" s="52" t="s">
        <v>78</v>
      </c>
      <c r="D904" s="52" t="s">
        <v>79</v>
      </c>
      <c r="E904" s="52" t="s">
        <v>80</v>
      </c>
      <c r="F904" s="52" t="s">
        <v>81</v>
      </c>
      <c r="G904" s="52" t="s">
        <v>82</v>
      </c>
      <c r="H904" s="53">
        <v>6.5803344296545383</v>
      </c>
      <c r="I904" s="53">
        <v>0.21152295864525683</v>
      </c>
      <c r="J904" s="54">
        <v>6.7918573882997952</v>
      </c>
      <c r="K904" s="53">
        <v>1.1371476409113459</v>
      </c>
      <c r="L904" s="53">
        <v>1.7954538174761459</v>
      </c>
      <c r="M904" s="54">
        <v>2.9326014583874915</v>
      </c>
      <c r="N904" s="53">
        <v>0.96428494030751433</v>
      </c>
      <c r="O904" s="53">
        <v>8.8884056536996798</v>
      </c>
      <c r="P904" s="53">
        <v>1.9355483117087098</v>
      </c>
      <c r="Q904" s="53">
        <v>1.4591364156050446</v>
      </c>
      <c r="R904" s="53">
        <v>6.6898835608035023</v>
      </c>
      <c r="S904" s="53">
        <v>5.8601314684214394</v>
      </c>
      <c r="T904" s="53">
        <v>11.122911196115814</v>
      </c>
      <c r="U904" s="53">
        <v>3.1247530020007885</v>
      </c>
      <c r="V904" s="54">
        <v>40.045054548662492</v>
      </c>
      <c r="W904" s="54">
        <v>51.276080774798096</v>
      </c>
      <c r="X904" s="53">
        <v>5.8548428961055317</v>
      </c>
      <c r="Y904" s="55">
        <v>57.097359908076619</v>
      </c>
      <c r="Z904" s="17" t="str">
        <f>SUBSTITUTE(SUBSTITUTE(SUBSTITUTE(SUBSTITUTE(IF(E904="","",VLOOKUP(E904,[1]Esquemas_NORM!$A$2:$H$126,8,FALSE)),"PROVINCIA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4" s="17" t="str">
        <f>IF($E904="","",INDEX([1]Esquemas_NORM!$H$2:$K$126,MATCH($E904,[1]Esquemas_NORM!$A$2:$A$126,0),MATCH(AA$4,[1]Esquemas_NORM!$H$1:$K$1,0)))</f>
        <v>A la fecha no ha conformado un EAT Región</v>
      </c>
      <c r="AB904" s="17" t="str">
        <f>IF($E904="","",INDEX([1]Esquemas_NORM!$H$2:$K$126,MATCH($E904,[1]Esquemas_NORM!$A$2:$A$126,0),MATCH(AB$4,[1]Esquemas_NORM!$H$1:$K$1,0)))</f>
        <v>A la fecha no ha conformado un EAT Área Metropolitana</v>
      </c>
      <c r="AC904" s="17" t="str">
        <f>IF($E904="","",INDEX([1]Esquemas_NORM!$H$2:$K$126,MATCH($E904,[1]Esquemas_NORM!$A$2:$A$126,0),MATCH(AC$4,[1]Esquemas_NORM!$H$1:$K$1,0)))</f>
        <v>ASOCIACIÓN DE MUNICIPIOS DEL MAGDALENA MEDIO ANTIOQUEÑO - AMMA</v>
      </c>
      <c r="AD904" s="23"/>
    </row>
    <row r="905" spans="1:30" x14ac:dyDescent="0.25">
      <c r="A905" s="51">
        <v>2022</v>
      </c>
      <c r="B905" s="52" t="s">
        <v>36</v>
      </c>
      <c r="C905" s="52" t="s">
        <v>78</v>
      </c>
      <c r="D905" s="52" t="s">
        <v>79</v>
      </c>
      <c r="E905" s="52" t="s">
        <v>83</v>
      </c>
      <c r="F905" s="52" t="s">
        <v>81</v>
      </c>
      <c r="G905" s="52" t="s">
        <v>84</v>
      </c>
      <c r="H905" s="53">
        <v>23.562038931758728</v>
      </c>
      <c r="I905" s="53">
        <v>2.2850235374570995</v>
      </c>
      <c r="J905" s="54">
        <v>25.847062469215828</v>
      </c>
      <c r="K905" s="53">
        <v>1.3050560987458522</v>
      </c>
      <c r="L905" s="53">
        <v>4.8244929803976708</v>
      </c>
      <c r="M905" s="54">
        <v>6.1295490791435228</v>
      </c>
      <c r="N905" s="53">
        <v>2.0333191842076026</v>
      </c>
      <c r="O905" s="53">
        <v>17.732186236682345</v>
      </c>
      <c r="P905" s="53">
        <v>2.3485530963801171</v>
      </c>
      <c r="Q905" s="53">
        <v>2.1585596215931329</v>
      </c>
      <c r="R905" s="53">
        <v>9.6349369694410871</v>
      </c>
      <c r="S905" s="53">
        <v>10.1036791593607</v>
      </c>
      <c r="T905" s="53">
        <v>20.925578476502345</v>
      </c>
      <c r="U905" s="53">
        <v>5.6054250947906752</v>
      </c>
      <c r="V905" s="54">
        <v>70.542237838958002</v>
      </c>
      <c r="W905" s="54">
        <v>113.85836909246056</v>
      </c>
      <c r="X905" s="53">
        <v>13.000659437502275</v>
      </c>
      <c r="Y905" s="55">
        <v>126.78450030474866</v>
      </c>
      <c r="Z905" s="17" t="str">
        <f>SUBSTITUTE(SUBSTITUTE(SUBSTITUTE(SUBSTITUTE(IF(E905="","",VLOOKUP(E905,[1]Esquemas_NORM!$A$2:$H$126,8,FALSE)),"PROVINCIA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5" s="17" t="str">
        <f>IF($E905="","",INDEX([1]Esquemas_NORM!$H$2:$K$126,MATCH($E905,[1]Esquemas_NORM!$A$2:$A$126,0),MATCH(AA$4,[1]Esquemas_NORM!$H$1:$K$1,0)))</f>
        <v>A la fecha no ha conformado un EAT Región</v>
      </c>
      <c r="AB905" s="17" t="str">
        <f>IF($E905="","",INDEX([1]Esquemas_NORM!$H$2:$K$126,MATCH($E905,[1]Esquemas_NORM!$A$2:$A$126,0),MATCH(AB$4,[1]Esquemas_NORM!$H$1:$K$1,0)))</f>
        <v>A la fecha no ha conformado un EAT Área Metropolitana</v>
      </c>
      <c r="AC905" s="17" t="str">
        <f>IF($E905="","",INDEX([1]Esquemas_NORM!$H$2:$K$126,MATCH($E905,[1]Esquemas_NORM!$A$2:$A$126,0),MATCH(AC$4,[1]Esquemas_NORM!$H$1:$K$1,0)))</f>
        <v>ASOCIACIÓN DE MUNICIPIOS DEL MAGDALENA MEDIO ANTIOQUEÑO - AMMA</v>
      </c>
      <c r="AD905" s="23"/>
    </row>
    <row r="906" spans="1:30" x14ac:dyDescent="0.25">
      <c r="A906" s="51">
        <v>2022</v>
      </c>
      <c r="B906" s="52" t="s">
        <v>36</v>
      </c>
      <c r="C906" s="52" t="s">
        <v>78</v>
      </c>
      <c r="D906" s="52" t="s">
        <v>85</v>
      </c>
      <c r="E906" s="52" t="s">
        <v>86</v>
      </c>
      <c r="F906" s="52" t="s">
        <v>81</v>
      </c>
      <c r="G906" s="52" t="s">
        <v>87</v>
      </c>
      <c r="H906" s="53">
        <v>24.918451953662025</v>
      </c>
      <c r="I906" s="53">
        <v>29.213964627127318</v>
      </c>
      <c r="J906" s="54">
        <v>54.132416580789339</v>
      </c>
      <c r="K906" s="53">
        <v>44.036550854552253</v>
      </c>
      <c r="L906" s="53">
        <v>5.7632408559562061</v>
      </c>
      <c r="M906" s="54">
        <v>49.799791710508458</v>
      </c>
      <c r="N906" s="53">
        <v>38.014049053130428</v>
      </c>
      <c r="O906" s="53">
        <v>164.04769480641835</v>
      </c>
      <c r="P906" s="53">
        <v>23.718027423938128</v>
      </c>
      <c r="Q906" s="53">
        <v>25.735591096951431</v>
      </c>
      <c r="R906" s="53">
        <v>59.15899606589204</v>
      </c>
      <c r="S906" s="53">
        <v>87.303437390032542</v>
      </c>
      <c r="T906" s="53">
        <v>74.661237886437988</v>
      </c>
      <c r="U906" s="53">
        <v>30.906420707148563</v>
      </c>
      <c r="V906" s="54">
        <v>503.54545442994953</v>
      </c>
      <c r="W906" s="54">
        <v>629.146692161435</v>
      </c>
      <c r="X906" s="53">
        <v>71.837686998533329</v>
      </c>
      <c r="Y906" s="55">
        <v>700.57255887183226</v>
      </c>
      <c r="Z906" s="17" t="str">
        <f>SUBSTITUTE(SUBSTITUTE(SUBSTITUTE(SUBSTITUTE(IF(E906="","",VLOOKUP(E906,[1]Esquemas_NORM!$A$2:$H$126,8,FALSE)),"PROVINCIA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6" s="17" t="str">
        <f>IF($E906="","",INDEX([1]Esquemas_NORM!$H$2:$K$126,MATCH($E906,[1]Esquemas_NORM!$A$2:$A$126,0),MATCH(AA$4,[1]Esquemas_NORM!$H$1:$K$1,0)))</f>
        <v>A la fecha no ha conformado un EAT Región</v>
      </c>
      <c r="AB906" s="17" t="str">
        <f>IF($E906="","",INDEX([1]Esquemas_NORM!$H$2:$K$126,MATCH($E906,[1]Esquemas_NORM!$A$2:$A$126,0),MATCH(AB$4,[1]Esquemas_NORM!$H$1:$K$1,0)))</f>
        <v>A la fecha no ha conformado un EAT Área Metropolitana</v>
      </c>
      <c r="AC906" s="17" t="str">
        <f>IF($E906="","",INDEX([1]Esquemas_NORM!$H$2:$K$126,MATCH($E906,[1]Esquemas_NORM!$A$2:$A$126,0),MATCH(AC$4,[1]Esquemas_NORM!$H$1:$K$1,0)))</f>
        <v>ASOCIACIÓN DE MUNICIPIOS DEL MAGDALENA MEDIO ANTIOQUEÑO - AMMA</v>
      </c>
      <c r="AD906" s="23"/>
    </row>
    <row r="907" spans="1:30" x14ac:dyDescent="0.25">
      <c r="A907" s="51">
        <v>2022</v>
      </c>
      <c r="B907" s="52" t="s">
        <v>36</v>
      </c>
      <c r="C907" s="52" t="s">
        <v>78</v>
      </c>
      <c r="D907" s="52" t="s">
        <v>85</v>
      </c>
      <c r="E907" s="52" t="s">
        <v>88</v>
      </c>
      <c r="F907" s="52" t="s">
        <v>81</v>
      </c>
      <c r="G907" s="52" t="s">
        <v>89</v>
      </c>
      <c r="H907" s="53">
        <v>9.1494599029982275</v>
      </c>
      <c r="I907" s="53">
        <v>73.470185432838363</v>
      </c>
      <c r="J907" s="54">
        <v>82.619645335836594</v>
      </c>
      <c r="K907" s="53">
        <v>41.633273088137571</v>
      </c>
      <c r="L907" s="53">
        <v>2.1111905874697912</v>
      </c>
      <c r="M907" s="54">
        <v>43.744463675607363</v>
      </c>
      <c r="N907" s="53">
        <v>135.29187853284094</v>
      </c>
      <c r="O907" s="53">
        <v>20.0264061086331</v>
      </c>
      <c r="P907" s="53">
        <v>4.2834088440028655</v>
      </c>
      <c r="Q907" s="53">
        <v>2.7475552679862356</v>
      </c>
      <c r="R907" s="53">
        <v>11.629128834997147</v>
      </c>
      <c r="S907" s="53">
        <v>33.200759061803204</v>
      </c>
      <c r="T907" s="53">
        <v>20.775932919049982</v>
      </c>
      <c r="U907" s="53">
        <v>7.7575556485531791</v>
      </c>
      <c r="V907" s="54">
        <v>235.71262521786667</v>
      </c>
      <c r="W907" s="54">
        <v>443.0488853715259</v>
      </c>
      <c r="X907" s="53">
        <v>50.588531337658026</v>
      </c>
      <c r="Y907" s="55">
        <v>493.34741038489415</v>
      </c>
      <c r="Z907" s="17" t="str">
        <f>SUBSTITUTE(SUBSTITUTE(SUBSTITUTE(SUBSTITUTE(IF(E907="","",VLOOKUP(E907,[1]Esquemas_NORM!$A$2:$H$126,8,FALSE)),"PROVINCIA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7" s="17" t="str">
        <f>IF($E907="","",INDEX([1]Esquemas_NORM!$H$2:$K$126,MATCH($E907,[1]Esquemas_NORM!$A$2:$A$126,0),MATCH(AA$4,[1]Esquemas_NORM!$H$1:$K$1,0)))</f>
        <v>A la fecha no ha conformado un EAT Región</v>
      </c>
      <c r="AB907" s="17" t="str">
        <f>IF($E907="","",INDEX([1]Esquemas_NORM!$H$2:$K$126,MATCH($E907,[1]Esquemas_NORM!$A$2:$A$126,0),MATCH(AB$4,[1]Esquemas_NORM!$H$1:$K$1,0)))</f>
        <v>A la fecha no ha conformado un EAT Área Metropolitana</v>
      </c>
      <c r="AC907" s="17" t="str">
        <f>IF($E907="","",INDEX([1]Esquemas_NORM!$H$2:$K$126,MATCH($E907,[1]Esquemas_NORM!$A$2:$A$126,0),MATCH(AC$4,[1]Esquemas_NORM!$H$1:$K$1,0)))</f>
        <v>ASOCIACIÓN DE MUNICIPIOS DEL MAGDALENA MEDIO ANTIOQUEÑO - AMMA</v>
      </c>
      <c r="AD907" s="23"/>
    </row>
    <row r="908" spans="1:30" x14ac:dyDescent="0.25">
      <c r="A908" s="51">
        <v>2022</v>
      </c>
      <c r="B908" s="52" t="s">
        <v>36</v>
      </c>
      <c r="C908" s="52" t="s">
        <v>78</v>
      </c>
      <c r="D908" s="52" t="s">
        <v>85</v>
      </c>
      <c r="E908" s="52" t="s">
        <v>90</v>
      </c>
      <c r="F908" s="52" t="s">
        <v>81</v>
      </c>
      <c r="G908" s="52" t="s">
        <v>91</v>
      </c>
      <c r="H908" s="53">
        <v>7.2870769610994373</v>
      </c>
      <c r="I908" s="53">
        <v>5.5582163991339835</v>
      </c>
      <c r="J908" s="54">
        <v>12.84529336023342</v>
      </c>
      <c r="K908" s="53">
        <v>18.993470886728787</v>
      </c>
      <c r="L908" s="53">
        <v>7.1142556542427933</v>
      </c>
      <c r="M908" s="54">
        <v>26.10772654097158</v>
      </c>
      <c r="N908" s="53">
        <v>8.0747781310723052</v>
      </c>
      <c r="O908" s="53">
        <v>67.775142481553601</v>
      </c>
      <c r="P908" s="53">
        <v>4.4444142411220424</v>
      </c>
      <c r="Q908" s="53">
        <v>3.0233141034248554</v>
      </c>
      <c r="R908" s="53">
        <v>14.79587540825619</v>
      </c>
      <c r="S908" s="53">
        <v>23.289609043399302</v>
      </c>
      <c r="T908" s="53">
        <v>24.329426186422477</v>
      </c>
      <c r="U908" s="53">
        <v>7.3474346652746778</v>
      </c>
      <c r="V908" s="54">
        <v>153.07999426052544</v>
      </c>
      <c r="W908" s="54">
        <v>197.53429423284473</v>
      </c>
      <c r="X908" s="53">
        <v>22.555005020883936</v>
      </c>
      <c r="Y908" s="55">
        <v>219.9599993130611</v>
      </c>
      <c r="Z908" s="17" t="str">
        <f>SUBSTITUTE(SUBSTITUTE(SUBSTITUTE(SUBSTITUTE(IF(E908="","",VLOOKUP(E908,[1]Esquemas_NORM!$A$2:$H$126,8,FALSE)),"PROVINCIA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8" s="17" t="str">
        <f>IF($E908="","",INDEX([1]Esquemas_NORM!$H$2:$K$126,MATCH($E908,[1]Esquemas_NORM!$A$2:$A$126,0),MATCH(AA$4,[1]Esquemas_NORM!$H$1:$K$1,0)))</f>
        <v>A la fecha no ha conformado un EAT Región</v>
      </c>
      <c r="AB908" s="17" t="str">
        <f>IF($E908="","",INDEX([1]Esquemas_NORM!$H$2:$K$126,MATCH($E908,[1]Esquemas_NORM!$A$2:$A$126,0),MATCH(AB$4,[1]Esquemas_NORM!$H$1:$K$1,0)))</f>
        <v>A la fecha no ha conformado un EAT Área Metropolitana</v>
      </c>
      <c r="AC908" s="17" t="str">
        <f>IF($E908="","",INDEX([1]Esquemas_NORM!$H$2:$K$126,MATCH($E908,[1]Esquemas_NORM!$A$2:$A$126,0),MATCH(AC$4,[1]Esquemas_NORM!$H$1:$K$1,0)))</f>
        <v>ASOCIACIÓN DE MUNICIPIOS DEL MAGDALENA MEDIO ANTIOQUEÑO - AMMA</v>
      </c>
      <c r="AD908" s="23"/>
    </row>
    <row r="909" spans="1:30" x14ac:dyDescent="0.25">
      <c r="A909" s="51">
        <v>2022</v>
      </c>
      <c r="B909" s="52" t="s">
        <v>36</v>
      </c>
      <c r="C909" s="52" t="s">
        <v>78</v>
      </c>
      <c r="D909" s="52" t="s">
        <v>85</v>
      </c>
      <c r="E909" s="52" t="s">
        <v>92</v>
      </c>
      <c r="F909" s="52" t="s">
        <v>81</v>
      </c>
      <c r="G909" s="52" t="s">
        <v>93</v>
      </c>
      <c r="H909" s="53">
        <v>35.223994199557673</v>
      </c>
      <c r="I909" s="53">
        <v>466.48205844178858</v>
      </c>
      <c r="J909" s="54">
        <v>501.70605264134628</v>
      </c>
      <c r="K909" s="53">
        <v>4.4405680216447863</v>
      </c>
      <c r="L909" s="53">
        <v>8.9444480359279162</v>
      </c>
      <c r="M909" s="54">
        <v>13.385016057572702</v>
      </c>
      <c r="N909" s="53">
        <v>14.137207576914779</v>
      </c>
      <c r="O909" s="53">
        <v>26.485036857635919</v>
      </c>
      <c r="P909" s="53">
        <v>5.554916686025611</v>
      </c>
      <c r="Q909" s="53">
        <v>2.9316390131800971</v>
      </c>
      <c r="R909" s="53">
        <v>16.892155650926842</v>
      </c>
      <c r="S909" s="53">
        <v>52.345181445396022</v>
      </c>
      <c r="T909" s="53">
        <v>26.169674515540851</v>
      </c>
      <c r="U909" s="53">
        <v>9.0490520131472074</v>
      </c>
      <c r="V909" s="54">
        <v>153.56486375876733</v>
      </c>
      <c r="W909" s="54">
        <v>986.62498798992954</v>
      </c>
      <c r="X909" s="53">
        <v>112.65553479879028</v>
      </c>
      <c r="Y909" s="55">
        <v>1098.6347080814273</v>
      </c>
      <c r="Z909" s="17" t="str">
        <f>SUBSTITUTE(SUBSTITUTE(SUBSTITUTE(SUBSTITUTE(IF(E909="","",VLOOKUP(E909,[1]Esquemas_NORM!$A$2:$H$126,8,FALSE)),"PROVINCIA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09" s="17" t="str">
        <f>IF($E909="","",INDEX([1]Esquemas_NORM!$H$2:$K$126,MATCH($E909,[1]Esquemas_NORM!$A$2:$A$126,0),MATCH(AA$4,[1]Esquemas_NORM!$H$1:$K$1,0)))</f>
        <v>A la fecha no ha conformado un EAT Región</v>
      </c>
      <c r="AB909" s="17" t="str">
        <f>IF($E909="","",INDEX([1]Esquemas_NORM!$H$2:$K$126,MATCH($E909,[1]Esquemas_NORM!$A$2:$A$126,0),MATCH(AB$4,[1]Esquemas_NORM!$H$1:$K$1,0)))</f>
        <v>A la fecha no ha conformado un EAT Área Metropolitana</v>
      </c>
      <c r="AC909" s="17" t="str">
        <f>IF($E909="","",INDEX([1]Esquemas_NORM!$H$2:$K$126,MATCH($E909,[1]Esquemas_NORM!$A$2:$A$126,0),MATCH(AC$4,[1]Esquemas_NORM!$H$1:$K$1,0)))</f>
        <v>ASOCIACIÓN DE MUNICIPIOS DEL MAGDALENA MEDIO ANTIOQUEÑO - AMMA</v>
      </c>
      <c r="AD909" s="23"/>
    </row>
    <row r="910" spans="1:30" x14ac:dyDescent="0.25">
      <c r="A910" s="51">
        <v>2022</v>
      </c>
      <c r="B910" s="52" t="s">
        <v>36</v>
      </c>
      <c r="C910" s="52" t="s">
        <v>94</v>
      </c>
      <c r="D910" s="52" t="s">
        <v>95</v>
      </c>
      <c r="E910" s="52" t="s">
        <v>96</v>
      </c>
      <c r="F910" s="52" t="s">
        <v>97</v>
      </c>
      <c r="G910" s="52" t="s">
        <v>98</v>
      </c>
      <c r="H910" s="53">
        <v>30.980710942934508</v>
      </c>
      <c r="I910" s="53">
        <v>8.6674771105337651</v>
      </c>
      <c r="J910" s="54">
        <v>39.648188053468274</v>
      </c>
      <c r="K910" s="53">
        <v>13.141935598322087</v>
      </c>
      <c r="L910" s="53">
        <v>25.454868988147915</v>
      </c>
      <c r="M910" s="54">
        <v>38.59680458647</v>
      </c>
      <c r="N910" s="53">
        <v>415.20864882522801</v>
      </c>
      <c r="O910" s="53">
        <v>39.545729129394253</v>
      </c>
      <c r="P910" s="53">
        <v>5.622598449577862</v>
      </c>
      <c r="Q910" s="53">
        <v>4.6918241316447871</v>
      </c>
      <c r="R910" s="53">
        <v>18.64410883770385</v>
      </c>
      <c r="S910" s="53">
        <v>39.552213652682724</v>
      </c>
      <c r="T910" s="53">
        <v>26.790212015019922</v>
      </c>
      <c r="U910" s="53">
        <v>10.505585163766012</v>
      </c>
      <c r="V910" s="54">
        <v>560.56092020501751</v>
      </c>
      <c r="W910" s="54">
        <v>764.93492411239276</v>
      </c>
      <c r="X910" s="53">
        <v>87.342358049809349</v>
      </c>
      <c r="Y910" s="55">
        <v>851.77657902765895</v>
      </c>
      <c r="Z910" s="17" t="str">
        <f>SUBSTITUTE(SUBSTITUTE(SUBSTITUTE(SUBSTITUTE(IF(E910="","",VLOOKUP(E910,[1]Esquemas_NORM!$A$2:$H$126,8,FALSE)),"PROVINCIA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910" s="17" t="str">
        <f>IF($E910="","",INDEX([1]Esquemas_NORM!$H$2:$K$126,MATCH($E910,[1]Esquemas_NORM!$A$2:$A$126,0),MATCH(AA$4,[1]Esquemas_NORM!$H$1:$K$1,0)))</f>
        <v>A la fecha no ha conformado un EAT Región</v>
      </c>
      <c r="AB910" s="17" t="str">
        <f>IF($E910="","",INDEX([1]Esquemas_NORM!$H$2:$K$126,MATCH($E910,[1]Esquemas_NORM!$A$2:$A$126,0),MATCH(AB$4,[1]Esquemas_NORM!$H$1:$K$1,0)))</f>
        <v>A la fecha no ha conformado un EAT Área Metropolitana</v>
      </c>
      <c r="AC910" s="17" t="str">
        <f>IF($E910="","",INDEX([1]Esquemas_NORM!$H$2:$K$126,MATCH($E910,[1]Esquemas_NORM!$A$2:$A$126,0),MATCH(AC$4,[1]Esquemas_NORM!$H$1:$K$1,0)))</f>
        <v>A la fecha no ha conformado un EAT asociación - unión</v>
      </c>
      <c r="AD910" s="23"/>
    </row>
    <row r="911" spans="1:30" x14ac:dyDescent="0.25">
      <c r="A911" s="51">
        <v>2022</v>
      </c>
      <c r="B911" s="52" t="s">
        <v>36</v>
      </c>
      <c r="C911" s="52" t="s">
        <v>94</v>
      </c>
      <c r="D911" s="52" t="s">
        <v>99</v>
      </c>
      <c r="E911" s="52" t="s">
        <v>100</v>
      </c>
      <c r="F911" s="52" t="s">
        <v>97</v>
      </c>
      <c r="G911" s="52" t="s">
        <v>101</v>
      </c>
      <c r="H911" s="53">
        <v>24.145870306178018</v>
      </c>
      <c r="I911" s="53">
        <v>48.209698484113105</v>
      </c>
      <c r="J911" s="54">
        <v>72.35556879029113</v>
      </c>
      <c r="K911" s="53">
        <v>1.585112776507853</v>
      </c>
      <c r="L911" s="53">
        <v>7.6533970478451128</v>
      </c>
      <c r="M911" s="54">
        <v>9.2385098243529651</v>
      </c>
      <c r="N911" s="53">
        <v>79.279046288615632</v>
      </c>
      <c r="O911" s="53">
        <v>5.5626696774772366</v>
      </c>
      <c r="P911" s="53">
        <v>0.93934838904430518</v>
      </c>
      <c r="Q911" s="53">
        <v>0.59948746899712602</v>
      </c>
      <c r="R911" s="53">
        <v>2.4933253781991938</v>
      </c>
      <c r="S911" s="53">
        <v>7.4068260955405734</v>
      </c>
      <c r="T911" s="53">
        <v>5.3699434013785527</v>
      </c>
      <c r="U911" s="53">
        <v>1.41897662701052</v>
      </c>
      <c r="V911" s="54">
        <v>103.06962332626313</v>
      </c>
      <c r="W911" s="54">
        <v>249.27030082227532</v>
      </c>
      <c r="X911" s="53">
        <v>28.462363502211872</v>
      </c>
      <c r="Y911" s="55">
        <v>277.56949956754295</v>
      </c>
      <c r="Z911" s="17" t="str">
        <f>SUBSTITUTE(SUBSTITUTE(SUBSTITUTE(SUBSTITUTE(IF(E911="","",VLOOKUP(E911,[1]Esquemas_NORM!$A$2:$H$126,8,FALSE)),"PROVINCIA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11" s="17" t="str">
        <f>IF($E911="","",INDEX([1]Esquemas_NORM!$H$2:$K$126,MATCH($E911,[1]Esquemas_NORM!$A$2:$A$126,0),MATCH(AA$4,[1]Esquemas_NORM!$H$1:$K$1,0)))</f>
        <v>A la fecha no ha conformado un EAT Región</v>
      </c>
      <c r="AB911" s="17" t="str">
        <f>IF($E911="","",INDEX([1]Esquemas_NORM!$H$2:$K$126,MATCH($E911,[1]Esquemas_NORM!$A$2:$A$126,0),MATCH(AB$4,[1]Esquemas_NORM!$H$1:$K$1,0)))</f>
        <v>A la fecha no ha conformado un EAT Área Metropolitana</v>
      </c>
      <c r="AC911" s="17" t="str">
        <f>IF($E911="","",INDEX([1]Esquemas_NORM!$H$2:$K$126,MATCH($E911,[1]Esquemas_NORM!$A$2:$A$126,0),MATCH(AC$4,[1]Esquemas_NORM!$H$1:$K$1,0)))</f>
        <v>A la fecha no ha conformado un EAT asociación - unión</v>
      </c>
      <c r="AD911" s="23"/>
    </row>
    <row r="912" spans="1:30" x14ac:dyDescent="0.25">
      <c r="A912" s="51">
        <v>2022</v>
      </c>
      <c r="B912" s="52" t="s">
        <v>36</v>
      </c>
      <c r="C912" s="52" t="s">
        <v>94</v>
      </c>
      <c r="D912" s="52" t="s">
        <v>79</v>
      </c>
      <c r="E912" s="52" t="s">
        <v>102</v>
      </c>
      <c r="F912" s="52" t="s">
        <v>97</v>
      </c>
      <c r="G912" s="52" t="s">
        <v>103</v>
      </c>
      <c r="H912" s="53">
        <v>3.8841329122449166</v>
      </c>
      <c r="I912" s="53">
        <v>0.13844238073777354</v>
      </c>
      <c r="J912" s="54">
        <v>4.0225752929826903</v>
      </c>
      <c r="K912" s="53">
        <v>4.9707789776700313</v>
      </c>
      <c r="L912" s="53">
        <v>1.2349488084073277</v>
      </c>
      <c r="M912" s="54">
        <v>6.2057277860773592</v>
      </c>
      <c r="N912" s="53">
        <v>10.356763679516101</v>
      </c>
      <c r="O912" s="53">
        <v>27.852278291135899</v>
      </c>
      <c r="P912" s="53">
        <v>5.7226767332719106</v>
      </c>
      <c r="Q912" s="53">
        <v>3.4844159256734977</v>
      </c>
      <c r="R912" s="53">
        <v>13.11003730409718</v>
      </c>
      <c r="S912" s="53">
        <v>14.94494933715105</v>
      </c>
      <c r="T912" s="53">
        <v>19.060352042885228</v>
      </c>
      <c r="U912" s="53">
        <v>6.8741673374467327</v>
      </c>
      <c r="V912" s="54">
        <v>101.40564065117759</v>
      </c>
      <c r="W912" s="54">
        <v>111.98251082610564</v>
      </c>
      <c r="X912" s="53">
        <v>12.786468819212937</v>
      </c>
      <c r="Y912" s="55">
        <v>124.69567929986799</v>
      </c>
      <c r="Z912" s="17" t="str">
        <f>SUBSTITUTE(SUBSTITUTE(SUBSTITUTE(SUBSTITUTE(IF(E912="","",VLOOKUP(E912,[1]Esquemas_NORM!$A$2:$H$126,8,FALSE)),"PROVINCIA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12" s="17" t="str">
        <f>IF($E912="","",INDEX([1]Esquemas_NORM!$H$2:$K$126,MATCH($E912,[1]Esquemas_NORM!$A$2:$A$126,0),MATCH(AA$4,[1]Esquemas_NORM!$H$1:$K$1,0)))</f>
        <v>A la fecha no ha conformado un EAT Región</v>
      </c>
      <c r="AB912" s="17" t="str">
        <f>IF($E912="","",INDEX([1]Esquemas_NORM!$H$2:$K$126,MATCH($E912,[1]Esquemas_NORM!$A$2:$A$126,0),MATCH(AB$4,[1]Esquemas_NORM!$H$1:$K$1,0)))</f>
        <v>A la fecha no ha conformado un EAT Área Metropolitana</v>
      </c>
      <c r="AC912" s="17" t="str">
        <f>IF($E912="","",INDEX([1]Esquemas_NORM!$H$2:$K$126,MATCH($E912,[1]Esquemas_NORM!$A$2:$A$126,0),MATCH(AC$4,[1]Esquemas_NORM!$H$1:$K$1,0)))</f>
        <v>A la fecha no ha conformado un EAT asociación - unión</v>
      </c>
      <c r="AD912" s="23"/>
    </row>
    <row r="913" spans="1:30" x14ac:dyDescent="0.25">
      <c r="A913" s="51">
        <v>2022</v>
      </c>
      <c r="B913" s="52" t="s">
        <v>36</v>
      </c>
      <c r="C913" s="52" t="s">
        <v>94</v>
      </c>
      <c r="D913" s="52" t="s">
        <v>104</v>
      </c>
      <c r="E913" s="52" t="s">
        <v>105</v>
      </c>
      <c r="F913" s="52" t="s">
        <v>97</v>
      </c>
      <c r="G913" s="52" t="s">
        <v>106</v>
      </c>
      <c r="H913" s="53">
        <v>72.892476939658138</v>
      </c>
      <c r="I913" s="53">
        <v>284.80618771594794</v>
      </c>
      <c r="J913" s="54">
        <v>357.69866465560608</v>
      </c>
      <c r="K913" s="53">
        <v>15.686587190916276</v>
      </c>
      <c r="L913" s="53">
        <v>0.90709986350290328</v>
      </c>
      <c r="M913" s="54">
        <v>16.593687054419178</v>
      </c>
      <c r="N913" s="53">
        <v>14.427493391536419</v>
      </c>
      <c r="O913" s="53">
        <v>58.665633986229182</v>
      </c>
      <c r="P913" s="53">
        <v>9.8569137005832985</v>
      </c>
      <c r="Q913" s="53">
        <v>6.2057916187604159</v>
      </c>
      <c r="R913" s="53">
        <v>29.276236002719067</v>
      </c>
      <c r="S913" s="53">
        <v>54.121467744526754</v>
      </c>
      <c r="T913" s="53">
        <v>40.619797496831282</v>
      </c>
      <c r="U913" s="53">
        <v>15.71720798415104</v>
      </c>
      <c r="V913" s="54">
        <v>228.89054192533743</v>
      </c>
      <c r="W913" s="54">
        <v>822.81816688498009</v>
      </c>
      <c r="X913" s="53">
        <v>93.951624741788322</v>
      </c>
      <c r="Y913" s="55">
        <v>916.23119988211624</v>
      </c>
      <c r="Z913" s="17" t="str">
        <f>SUBSTITUTE(SUBSTITUTE(SUBSTITUTE(SUBSTITUTE(IF(E913="","",VLOOKUP(E913,[1]Esquemas_NORM!$A$2:$H$126,8,FALSE)),"PROVINCIA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913" s="17" t="str">
        <f>IF($E913="","",INDEX([1]Esquemas_NORM!$H$2:$K$126,MATCH($E913,[1]Esquemas_NORM!$A$2:$A$126,0),MATCH(AA$4,[1]Esquemas_NORM!$H$1:$K$1,0)))</f>
        <v>A la fecha no ha conformado un EAT Región</v>
      </c>
      <c r="AB913" s="17" t="str">
        <f>IF($E913="","",INDEX([1]Esquemas_NORM!$H$2:$K$126,MATCH($E913,[1]Esquemas_NORM!$A$2:$A$126,0),MATCH(AB$4,[1]Esquemas_NORM!$H$1:$K$1,0)))</f>
        <v>A la fecha no ha conformado un EAT Área Metropolitana</v>
      </c>
      <c r="AC913" s="17" t="str">
        <f>IF($E913="","",INDEX([1]Esquemas_NORM!$H$2:$K$126,MATCH($E913,[1]Esquemas_NORM!$A$2:$A$126,0),MATCH(AC$4,[1]Esquemas_NORM!$H$1:$K$1,0)))</f>
        <v>A la fecha no ha conformado un EAT asociación - unión</v>
      </c>
      <c r="AD913" s="23"/>
    </row>
    <row r="914" spans="1:30" x14ac:dyDescent="0.25">
      <c r="A914" s="51">
        <v>2022</v>
      </c>
      <c r="B914" s="52" t="s">
        <v>36</v>
      </c>
      <c r="C914" s="52" t="s">
        <v>94</v>
      </c>
      <c r="D914" s="52" t="s">
        <v>79</v>
      </c>
      <c r="E914" s="52" t="s">
        <v>107</v>
      </c>
      <c r="F914" s="52" t="s">
        <v>97</v>
      </c>
      <c r="G914" s="52" t="s">
        <v>108</v>
      </c>
      <c r="H914" s="53">
        <v>40.238412579943414</v>
      </c>
      <c r="I914" s="53">
        <v>1.099900766525902</v>
      </c>
      <c r="J914" s="54">
        <v>41.338313346469313</v>
      </c>
      <c r="K914" s="53">
        <v>3.6703999763773312</v>
      </c>
      <c r="L914" s="53">
        <v>9.0932367741761979</v>
      </c>
      <c r="M914" s="54">
        <v>12.763636750553529</v>
      </c>
      <c r="N914" s="53">
        <v>23.297206541075269</v>
      </c>
      <c r="O914" s="53">
        <v>30.250421850409726</v>
      </c>
      <c r="P914" s="53">
        <v>6.247580291603656</v>
      </c>
      <c r="Q914" s="53">
        <v>3.8053960635906559</v>
      </c>
      <c r="R914" s="53">
        <v>20.556902744551536</v>
      </c>
      <c r="S914" s="53">
        <v>22.248489200757767</v>
      </c>
      <c r="T914" s="53">
        <v>35.506470166301817</v>
      </c>
      <c r="U914" s="53">
        <v>9.4617518997695491</v>
      </c>
      <c r="V914" s="54">
        <v>151.37421875805998</v>
      </c>
      <c r="W914" s="54">
        <v>226.90690953407699</v>
      </c>
      <c r="X914" s="53">
        <v>25.908850428669322</v>
      </c>
      <c r="Y914" s="55">
        <v>252.66723360152048</v>
      </c>
      <c r="Z914" s="17" t="str">
        <f>SUBSTITUTE(SUBSTITUTE(SUBSTITUTE(SUBSTITUTE(IF(E914="","",VLOOKUP(E914,[1]Esquemas_NORM!$A$2:$H$126,8,FALSE)),"PROVINCIA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14" s="17" t="str">
        <f>IF($E914="","",INDEX([1]Esquemas_NORM!$H$2:$K$126,MATCH($E914,[1]Esquemas_NORM!$A$2:$A$126,0),MATCH(AA$4,[1]Esquemas_NORM!$H$1:$K$1,0)))</f>
        <v>A la fecha no ha conformado un EAT Región</v>
      </c>
      <c r="AB914" s="17" t="str">
        <f>IF($E914="","",INDEX([1]Esquemas_NORM!$H$2:$K$126,MATCH($E914,[1]Esquemas_NORM!$A$2:$A$126,0),MATCH(AB$4,[1]Esquemas_NORM!$H$1:$K$1,0)))</f>
        <v>A la fecha no ha conformado un EAT Área Metropolitana</v>
      </c>
      <c r="AC914" s="17" t="str">
        <f>IF($E914="","",INDEX([1]Esquemas_NORM!$H$2:$K$126,MATCH($E914,[1]Esquemas_NORM!$A$2:$A$126,0),MATCH(AC$4,[1]Esquemas_NORM!$H$1:$K$1,0)))</f>
        <v>A la fecha no ha conformado un EAT asociación - unión</v>
      </c>
      <c r="AD914" s="23"/>
    </row>
    <row r="915" spans="1:30" x14ac:dyDescent="0.25">
      <c r="A915" s="51">
        <v>2022</v>
      </c>
      <c r="B915" s="52" t="s">
        <v>36</v>
      </c>
      <c r="C915" s="52" t="s">
        <v>94</v>
      </c>
      <c r="D915" s="52" t="s">
        <v>79</v>
      </c>
      <c r="E915" s="52" t="s">
        <v>109</v>
      </c>
      <c r="F915" s="52" t="s">
        <v>97</v>
      </c>
      <c r="G915" s="52" t="s">
        <v>110</v>
      </c>
      <c r="H915" s="53">
        <v>93.913365691267131</v>
      </c>
      <c r="I915" s="53">
        <v>57.025882705197525</v>
      </c>
      <c r="J915" s="54">
        <v>150.93924839646465</v>
      </c>
      <c r="K915" s="53">
        <v>9.0634638553649722</v>
      </c>
      <c r="L915" s="53">
        <v>1.7487806329631506</v>
      </c>
      <c r="M915" s="54">
        <v>10.812244488328123</v>
      </c>
      <c r="N915" s="53">
        <v>22.749599763232599</v>
      </c>
      <c r="O915" s="53">
        <v>15.26676545582041</v>
      </c>
      <c r="P915" s="53">
        <v>2.6257641281572064</v>
      </c>
      <c r="Q915" s="53">
        <v>1.9493335272000771</v>
      </c>
      <c r="R915" s="53">
        <v>10.045243881371498</v>
      </c>
      <c r="S915" s="53">
        <v>16.787187553462903</v>
      </c>
      <c r="T915" s="53">
        <v>16.130663661198202</v>
      </c>
      <c r="U915" s="53">
        <v>4.5050374845675636</v>
      </c>
      <c r="V915" s="54">
        <v>90.059595455010452</v>
      </c>
      <c r="W915" s="54">
        <v>344.5851338670027</v>
      </c>
      <c r="X915" s="53">
        <v>39.345671366473638</v>
      </c>
      <c r="Y915" s="55">
        <v>383.70525028598223</v>
      </c>
      <c r="Z915" s="17" t="str">
        <f>SUBSTITUTE(SUBSTITUTE(SUBSTITUTE(SUBSTITUTE(IF(E915="","",VLOOKUP(E915,[1]Esquemas_NORM!$A$2:$H$126,8,FALSE)),"PROVINCIA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15" s="17" t="str">
        <f>IF($E915="","",INDEX([1]Esquemas_NORM!$H$2:$K$126,MATCH($E915,[1]Esquemas_NORM!$A$2:$A$126,0),MATCH(AA$4,[1]Esquemas_NORM!$H$1:$K$1,0)))</f>
        <v>A la fecha no ha conformado un EAT Región</v>
      </c>
      <c r="AB915" s="17" t="str">
        <f>IF($E915="","",INDEX([1]Esquemas_NORM!$H$2:$K$126,MATCH($E915,[1]Esquemas_NORM!$A$2:$A$126,0),MATCH(AB$4,[1]Esquemas_NORM!$H$1:$K$1,0)))</f>
        <v>A la fecha no ha conformado un EAT Área Metropolitana</v>
      </c>
      <c r="AC915" s="17" t="str">
        <f>IF($E915="","",INDEX([1]Esquemas_NORM!$H$2:$K$126,MATCH($E915,[1]Esquemas_NORM!$A$2:$A$126,0),MATCH(AC$4,[1]Esquemas_NORM!$H$1:$K$1,0)))</f>
        <v>A la fecha no ha conformado un EAT asociación - unión</v>
      </c>
      <c r="AD915" s="23"/>
    </row>
    <row r="916" spans="1:30" x14ac:dyDescent="0.25">
      <c r="A916" s="51">
        <v>2022</v>
      </c>
      <c r="B916" s="52" t="s">
        <v>36</v>
      </c>
      <c r="C916" s="52" t="s">
        <v>94</v>
      </c>
      <c r="D916" s="52" t="s">
        <v>104</v>
      </c>
      <c r="E916" s="52" t="s">
        <v>111</v>
      </c>
      <c r="F916" s="52" t="s">
        <v>97</v>
      </c>
      <c r="G916" s="52" t="s">
        <v>112</v>
      </c>
      <c r="H916" s="53">
        <v>21.069920223733288</v>
      </c>
      <c r="I916" s="53">
        <v>458.14953593023182</v>
      </c>
      <c r="J916" s="54">
        <v>479.2194561539651</v>
      </c>
      <c r="K916" s="53">
        <v>19.677560688270848</v>
      </c>
      <c r="L916" s="53">
        <v>2.1455266801637083</v>
      </c>
      <c r="M916" s="54">
        <v>21.823087368434557</v>
      </c>
      <c r="N916" s="53">
        <v>25.369488126765727</v>
      </c>
      <c r="O916" s="53">
        <v>93.276073645123077</v>
      </c>
      <c r="P916" s="53">
        <v>16.908852789676253</v>
      </c>
      <c r="Q916" s="53">
        <v>10.820393741944613</v>
      </c>
      <c r="R916" s="53">
        <v>47.82287195230645</v>
      </c>
      <c r="S916" s="53">
        <v>78.992887149295825</v>
      </c>
      <c r="T916" s="53">
        <v>63.678712527269425</v>
      </c>
      <c r="U916" s="53">
        <v>25.736065749774735</v>
      </c>
      <c r="V916" s="54">
        <v>362.6053456821561</v>
      </c>
      <c r="W916" s="54">
        <v>1162.5380667905026</v>
      </c>
      <c r="X916" s="53">
        <v>132.7417704116726</v>
      </c>
      <c r="Y916" s="55">
        <v>1294.5188751441917</v>
      </c>
      <c r="Z916" s="17" t="str">
        <f>SUBSTITUTE(SUBSTITUTE(SUBSTITUTE(SUBSTITUTE(IF(E916="","",VLOOKUP(E916,[1]Esquemas_NORM!$A$2:$H$126,8,FALSE)),"PROVINCIA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916" s="17" t="str">
        <f>IF($E916="","",INDEX([1]Esquemas_NORM!$H$2:$K$126,MATCH($E916,[1]Esquemas_NORM!$A$2:$A$126,0),MATCH(AA$4,[1]Esquemas_NORM!$H$1:$K$1,0)))</f>
        <v>A la fecha no ha conformado un EAT Región</v>
      </c>
      <c r="AB916" s="17" t="str">
        <f>IF($E916="","",INDEX([1]Esquemas_NORM!$H$2:$K$126,MATCH($E916,[1]Esquemas_NORM!$A$2:$A$126,0),MATCH(AB$4,[1]Esquemas_NORM!$H$1:$K$1,0)))</f>
        <v>A la fecha no ha conformado un EAT Área Metropolitana</v>
      </c>
      <c r="AC916" s="17" t="str">
        <f>IF($E916="","",INDEX([1]Esquemas_NORM!$H$2:$K$126,MATCH($E916,[1]Esquemas_NORM!$A$2:$A$126,0),MATCH(AC$4,[1]Esquemas_NORM!$H$1:$K$1,0)))</f>
        <v>A la fecha no ha conformado un EAT asociación - unión</v>
      </c>
      <c r="AD916" s="23"/>
    </row>
    <row r="917" spans="1:30" x14ac:dyDescent="0.25">
      <c r="A917" s="51">
        <v>2022</v>
      </c>
      <c r="B917" s="52" t="s">
        <v>36</v>
      </c>
      <c r="C917" s="52" t="s">
        <v>94</v>
      </c>
      <c r="D917" s="52" t="s">
        <v>95</v>
      </c>
      <c r="E917" s="52" t="s">
        <v>113</v>
      </c>
      <c r="F917" s="52" t="s">
        <v>97</v>
      </c>
      <c r="G917" s="52" t="s">
        <v>114</v>
      </c>
      <c r="H917" s="53">
        <v>40.364436753462158</v>
      </c>
      <c r="I917" s="53">
        <v>42.088888980132282</v>
      </c>
      <c r="J917" s="54">
        <v>82.45332573359444</v>
      </c>
      <c r="K917" s="53">
        <v>1.0385850033134707</v>
      </c>
      <c r="L917" s="53">
        <v>5.8708570738867536</v>
      </c>
      <c r="M917" s="54">
        <v>6.9094420772002243</v>
      </c>
      <c r="N917" s="53">
        <v>3.0773303988481215</v>
      </c>
      <c r="O917" s="53">
        <v>23.537891506977022</v>
      </c>
      <c r="P917" s="53">
        <v>3.8501908148578394</v>
      </c>
      <c r="Q917" s="53">
        <v>3.3798375953779831</v>
      </c>
      <c r="R917" s="53">
        <v>12.26173296187182</v>
      </c>
      <c r="S917" s="53">
        <v>17.574352608628235</v>
      </c>
      <c r="T917" s="53">
        <v>24.889640996650385</v>
      </c>
      <c r="U917" s="53">
        <v>6.83547977562068</v>
      </c>
      <c r="V917" s="54">
        <v>95.406456658832099</v>
      </c>
      <c r="W917" s="54">
        <v>230.56533034837889</v>
      </c>
      <c r="X917" s="53">
        <v>26.326578905443522</v>
      </c>
      <c r="Y917" s="55">
        <v>256.74098820160765</v>
      </c>
      <c r="Z917" s="17" t="str">
        <f>SUBSTITUTE(SUBSTITUTE(SUBSTITUTE(SUBSTITUTE(IF(E917="","",VLOOKUP(E917,[1]Esquemas_NORM!$A$2:$H$126,8,FALSE)),"PROVINCIA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917" s="17" t="str">
        <f>IF($E917="","",INDEX([1]Esquemas_NORM!$H$2:$K$126,MATCH($E917,[1]Esquemas_NORM!$A$2:$A$126,0),MATCH(AA$4,[1]Esquemas_NORM!$H$1:$K$1,0)))</f>
        <v>A la fecha no ha conformado un EAT Región</v>
      </c>
      <c r="AB917" s="17" t="str">
        <f>IF($E917="","",INDEX([1]Esquemas_NORM!$H$2:$K$126,MATCH($E917,[1]Esquemas_NORM!$A$2:$A$126,0),MATCH(AB$4,[1]Esquemas_NORM!$H$1:$K$1,0)))</f>
        <v>A la fecha no ha conformado un EAT Área Metropolitana</v>
      </c>
      <c r="AC917" s="17" t="str">
        <f>IF($E917="","",INDEX([1]Esquemas_NORM!$H$2:$K$126,MATCH($E917,[1]Esquemas_NORM!$A$2:$A$126,0),MATCH(AC$4,[1]Esquemas_NORM!$H$1:$K$1,0)))</f>
        <v>A la fecha no ha conformado un EAT asociación - unión</v>
      </c>
      <c r="AD917" s="23"/>
    </row>
    <row r="918" spans="1:30" x14ac:dyDescent="0.25">
      <c r="A918" s="51">
        <v>2022</v>
      </c>
      <c r="B918" s="52" t="s">
        <v>36</v>
      </c>
      <c r="C918" s="52" t="s">
        <v>94</v>
      </c>
      <c r="D918" s="52" t="s">
        <v>95</v>
      </c>
      <c r="E918" s="52" t="s">
        <v>115</v>
      </c>
      <c r="F918" s="52" t="s">
        <v>97</v>
      </c>
      <c r="G918" s="52" t="s">
        <v>116</v>
      </c>
      <c r="H918" s="53">
        <v>9.2609402596860892</v>
      </c>
      <c r="I918" s="53">
        <v>0.49671268008455016</v>
      </c>
      <c r="J918" s="54">
        <v>9.7576529397706402</v>
      </c>
      <c r="K918" s="53">
        <v>2.1601094343822602</v>
      </c>
      <c r="L918" s="53">
        <v>1.9792869919298233</v>
      </c>
      <c r="M918" s="54">
        <v>4.1393964263120839</v>
      </c>
      <c r="N918" s="53">
        <v>1.6486852360962365</v>
      </c>
      <c r="O918" s="53">
        <v>13.297489747178341</v>
      </c>
      <c r="P918" s="53">
        <v>2.1410705899033946</v>
      </c>
      <c r="Q918" s="53">
        <v>1.5677663022994068</v>
      </c>
      <c r="R918" s="53">
        <v>6.99920400343595</v>
      </c>
      <c r="S918" s="53">
        <v>8.3031345283841489</v>
      </c>
      <c r="T918" s="53">
        <v>16.913703815967466</v>
      </c>
      <c r="U918" s="53">
        <v>4.6648732322562934</v>
      </c>
      <c r="V918" s="54">
        <v>55.535927455521239</v>
      </c>
      <c r="W918" s="54">
        <v>72.294712811421434</v>
      </c>
      <c r="X918" s="53">
        <v>8.2548076868228595</v>
      </c>
      <c r="Y918" s="55">
        <v>80.502198578203135</v>
      </c>
      <c r="Z918" s="17" t="str">
        <f>SUBSTITUTE(SUBSTITUTE(SUBSTITUTE(SUBSTITUTE(IF(E918="","",VLOOKUP(E918,[1]Esquemas_NORM!$A$2:$H$126,8,FALSE)),"PROVINCIA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918" s="17" t="str">
        <f>IF($E918="","",INDEX([1]Esquemas_NORM!$H$2:$K$126,MATCH($E918,[1]Esquemas_NORM!$A$2:$A$126,0),MATCH(AA$4,[1]Esquemas_NORM!$H$1:$K$1,0)))</f>
        <v>A la fecha no ha conformado un EAT Región</v>
      </c>
      <c r="AB918" s="17" t="str">
        <f>IF($E918="","",INDEX([1]Esquemas_NORM!$H$2:$K$126,MATCH($E918,[1]Esquemas_NORM!$A$2:$A$126,0),MATCH(AB$4,[1]Esquemas_NORM!$H$1:$K$1,0)))</f>
        <v>A la fecha no ha conformado un EAT Área Metropolitana</v>
      </c>
      <c r="AC918" s="17" t="str">
        <f>IF($E918="","",INDEX([1]Esquemas_NORM!$H$2:$K$126,MATCH($E918,[1]Esquemas_NORM!$A$2:$A$126,0),MATCH(AC$4,[1]Esquemas_NORM!$H$1:$K$1,0)))</f>
        <v>A la fecha no ha conformado un EAT asociación - unión</v>
      </c>
      <c r="AD918" s="23"/>
    </row>
    <row r="919" spans="1:30" x14ac:dyDescent="0.25">
      <c r="A919" s="51">
        <v>2022</v>
      </c>
      <c r="B919" s="52" t="s">
        <v>36</v>
      </c>
      <c r="C919" s="52" t="s">
        <v>94</v>
      </c>
      <c r="D919" s="52" t="s">
        <v>95</v>
      </c>
      <c r="E919" s="52" t="s">
        <v>117</v>
      </c>
      <c r="F919" s="52" t="s">
        <v>97</v>
      </c>
      <c r="G919" s="52" t="s">
        <v>118</v>
      </c>
      <c r="H919" s="53">
        <v>81.632389906608694</v>
      </c>
      <c r="I919" s="53">
        <v>3.2340905902890746</v>
      </c>
      <c r="J919" s="54">
        <v>84.866480496897765</v>
      </c>
      <c r="K919" s="53">
        <v>7.6497853194851162</v>
      </c>
      <c r="L919" s="53">
        <v>8.1671126611994271</v>
      </c>
      <c r="M919" s="54">
        <v>15.816897980684544</v>
      </c>
      <c r="N919" s="53">
        <v>3.8206736160759429</v>
      </c>
      <c r="O919" s="53">
        <v>31.208680890840846</v>
      </c>
      <c r="P919" s="53">
        <v>6.5473842879235491</v>
      </c>
      <c r="Q919" s="53">
        <v>5.2986528469514562</v>
      </c>
      <c r="R919" s="53">
        <v>24.392817079288317</v>
      </c>
      <c r="S919" s="53">
        <v>21.050482761863083</v>
      </c>
      <c r="T919" s="53">
        <v>55.693748437155797</v>
      </c>
      <c r="U919" s="53">
        <v>11.077770420595723</v>
      </c>
      <c r="V919" s="54">
        <v>159.09021034069471</v>
      </c>
      <c r="W919" s="54">
        <v>298.59618217265182</v>
      </c>
      <c r="X919" s="53">
        <v>34.094527303584393</v>
      </c>
      <c r="Y919" s="55">
        <v>332.49525749769111</v>
      </c>
      <c r="Z919" s="17" t="str">
        <f>SUBSTITUTE(SUBSTITUTE(SUBSTITUTE(SUBSTITUTE(IF(E919="","",VLOOKUP(E919,[1]Esquemas_NORM!$A$2:$H$126,8,FALSE)),"PROVINCIA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919" s="17" t="str">
        <f>IF($E919="","",INDEX([1]Esquemas_NORM!$H$2:$K$126,MATCH($E919,[1]Esquemas_NORM!$A$2:$A$126,0),MATCH(AA$4,[1]Esquemas_NORM!$H$1:$K$1,0)))</f>
        <v>A la fecha no ha conformado un EAT Región</v>
      </c>
      <c r="AB919" s="17" t="str">
        <f>IF($E919="","",INDEX([1]Esquemas_NORM!$H$2:$K$126,MATCH($E919,[1]Esquemas_NORM!$A$2:$A$126,0),MATCH(AB$4,[1]Esquemas_NORM!$H$1:$K$1,0)))</f>
        <v>A la fecha no ha conformado un EAT Área Metropolitana</v>
      </c>
      <c r="AC919" s="17" t="str">
        <f>IF($E919="","",INDEX([1]Esquemas_NORM!$H$2:$K$126,MATCH($E919,[1]Esquemas_NORM!$A$2:$A$126,0),MATCH(AC$4,[1]Esquemas_NORM!$H$1:$K$1,0)))</f>
        <v>A la fecha no ha conformado un EAT asociación - unión</v>
      </c>
      <c r="AD919" s="23"/>
    </row>
    <row r="920" spans="1:30" x14ac:dyDescent="0.25">
      <c r="A920" s="51">
        <v>2022</v>
      </c>
      <c r="B920" s="52" t="s">
        <v>36</v>
      </c>
      <c r="C920" s="52" t="s">
        <v>119</v>
      </c>
      <c r="D920" s="52" t="s">
        <v>120</v>
      </c>
      <c r="E920" s="52" t="s">
        <v>121</v>
      </c>
      <c r="F920" s="52" t="s">
        <v>122</v>
      </c>
      <c r="G920" s="52" t="s">
        <v>123</v>
      </c>
      <c r="H920" s="53">
        <v>18.224827221713742</v>
      </c>
      <c r="I920" s="53">
        <v>0</v>
      </c>
      <c r="J920" s="54">
        <v>18.224827221713742</v>
      </c>
      <c r="K920" s="53">
        <v>3.7481306802156085</v>
      </c>
      <c r="L920" s="53">
        <v>2.7435689032907762</v>
      </c>
      <c r="M920" s="54">
        <v>6.4916995835063851</v>
      </c>
      <c r="N920" s="53">
        <v>1.4745572333395789</v>
      </c>
      <c r="O920" s="53">
        <v>22.732588929264207</v>
      </c>
      <c r="P920" s="53">
        <v>3.7872772513450239</v>
      </c>
      <c r="Q920" s="53">
        <v>2.9923193199350959</v>
      </c>
      <c r="R920" s="53">
        <v>12.400956423558798</v>
      </c>
      <c r="S920" s="53">
        <v>11.331625046965664</v>
      </c>
      <c r="T920" s="53">
        <v>20.451653838507685</v>
      </c>
      <c r="U920" s="53">
        <v>7.2225970840617268</v>
      </c>
      <c r="V920" s="54">
        <v>82.39357512697778</v>
      </c>
      <c r="W920" s="54">
        <v>113.25761321516836</v>
      </c>
      <c r="X920" s="53">
        <v>12.932063491259944</v>
      </c>
      <c r="Y920" s="55">
        <v>126.11554171773832</v>
      </c>
      <c r="Z920" s="17" t="str">
        <f>SUBSTITUTE(SUBSTITUTE(SUBSTITUTE(SUBSTITUTE(IF(E920="","",VLOOKUP(E920,[1]Esquemas_NORM!$A$2:$H$126,8,FALSE)),"PROVINCIA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20" s="17" t="str">
        <f>IF($E920="","",INDEX([1]Esquemas_NORM!$H$2:$K$126,MATCH($E920,[1]Esquemas_NORM!$A$2:$A$126,0),MATCH(AA$4,[1]Esquemas_NORM!$H$1:$K$1,0)))</f>
        <v>A la fecha no ha conformado un EAT Región</v>
      </c>
      <c r="AB920" s="17" t="str">
        <f>IF($E920="","",INDEX([1]Esquemas_NORM!$H$2:$K$126,MATCH($E920,[1]Esquemas_NORM!$A$2:$A$126,0),MATCH(AB$4,[1]Esquemas_NORM!$H$1:$K$1,0)))</f>
        <v>A la fecha no ha conformado un EAT Área Metropolitana</v>
      </c>
      <c r="AC920" s="17" t="str">
        <f>IF($E920="","",INDEX([1]Esquemas_NORM!$H$2:$K$126,MATCH($E920,[1]Esquemas_NORM!$A$2:$A$126,0),MATCH(AC$4,[1]Esquemas_NORM!$H$1:$K$1,0)))</f>
        <v>ASOCIACION DE MUNICIPIOS DEL NORTE ANTIOQUEÑO - AMUNORTE</v>
      </c>
      <c r="AD920" s="23"/>
    </row>
    <row r="921" spans="1:30" x14ac:dyDescent="0.25">
      <c r="A921" s="51">
        <v>2022</v>
      </c>
      <c r="B921" s="52" t="s">
        <v>36</v>
      </c>
      <c r="C921" s="52" t="s">
        <v>119</v>
      </c>
      <c r="D921" s="52" t="s">
        <v>124</v>
      </c>
      <c r="E921" s="52" t="s">
        <v>125</v>
      </c>
      <c r="F921" s="52" t="s">
        <v>122</v>
      </c>
      <c r="G921" s="52" t="s">
        <v>126</v>
      </c>
      <c r="H921" s="53">
        <v>17.222976329787553</v>
      </c>
      <c r="I921" s="53">
        <v>2.6833146539132578E-2</v>
      </c>
      <c r="J921" s="54">
        <v>17.249809476326686</v>
      </c>
      <c r="K921" s="53">
        <v>3.5436078158104007</v>
      </c>
      <c r="L921" s="53">
        <v>0.74844686181282338</v>
      </c>
      <c r="M921" s="54">
        <v>4.2920546776232245</v>
      </c>
      <c r="N921" s="53">
        <v>2.2561835777277328</v>
      </c>
      <c r="O921" s="53">
        <v>12.363148286220765</v>
      </c>
      <c r="P921" s="53">
        <v>2.33439942171993</v>
      </c>
      <c r="Q921" s="53">
        <v>1.4221542239783904</v>
      </c>
      <c r="R921" s="53">
        <v>8.3494876682814709</v>
      </c>
      <c r="S921" s="53">
        <v>8.3114664234235853</v>
      </c>
      <c r="T921" s="53">
        <v>12.397104867668174</v>
      </c>
      <c r="U921" s="53">
        <v>3.4796864132984511</v>
      </c>
      <c r="V921" s="54">
        <v>50.9136308823185</v>
      </c>
      <c r="W921" s="54">
        <v>79.992149732364155</v>
      </c>
      <c r="X921" s="53">
        <v>9.1337220498885543</v>
      </c>
      <c r="Y921" s="55">
        <v>89.073511354133643</v>
      </c>
      <c r="Z921" s="17" t="str">
        <f>SUBSTITUTE(SUBSTITUTE(SUBSTITUTE(SUBSTITUTE(IF(E921="","",VLOOKUP(E921,[1]Esquemas_NORM!$A$2:$H$126,8,FALSE)),"PROVINCIA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921" s="17" t="str">
        <f>IF($E921="","",INDEX([1]Esquemas_NORM!$H$2:$K$126,MATCH($E921,[1]Esquemas_NORM!$A$2:$A$126,0),MATCH(AA$4,[1]Esquemas_NORM!$H$1:$K$1,0)))</f>
        <v>A la fecha no ha conformado un EAT Región</v>
      </c>
      <c r="AB921" s="17" t="str">
        <f>IF($E921="","",INDEX([1]Esquemas_NORM!$H$2:$K$126,MATCH($E921,[1]Esquemas_NORM!$A$2:$A$126,0),MATCH(AB$4,[1]Esquemas_NORM!$H$1:$K$1,0)))</f>
        <v>A la fecha no ha conformado un EAT Área Metropolitana</v>
      </c>
      <c r="AC921" s="17" t="str">
        <f>IF($E921="","",INDEX([1]Esquemas_NORM!$H$2:$K$126,MATCH($E921,[1]Esquemas_NORM!$A$2:$A$126,0),MATCH(AC$4,[1]Esquemas_NORM!$H$1:$K$1,0)))</f>
        <v>A la fecha no ha conformado un EAT asociación - unión</v>
      </c>
      <c r="AD921" s="23"/>
    </row>
    <row r="922" spans="1:30" x14ac:dyDescent="0.25">
      <c r="A922" s="51">
        <v>2022</v>
      </c>
      <c r="B922" s="52" t="s">
        <v>36</v>
      </c>
      <c r="C922" s="52" t="s">
        <v>119</v>
      </c>
      <c r="D922" s="52" t="s">
        <v>120</v>
      </c>
      <c r="E922" s="52" t="s">
        <v>127</v>
      </c>
      <c r="F922" s="52" t="s">
        <v>122</v>
      </c>
      <c r="G922" s="52" t="s">
        <v>128</v>
      </c>
      <c r="H922" s="53">
        <v>11.514122694244667</v>
      </c>
      <c r="I922" s="53">
        <v>7.1242546903381072</v>
      </c>
      <c r="J922" s="54">
        <v>18.638377384582775</v>
      </c>
      <c r="K922" s="53">
        <v>1.9151622131765584</v>
      </c>
      <c r="L922" s="53">
        <v>2.5746774155423306</v>
      </c>
      <c r="M922" s="54">
        <v>4.4898396287188893</v>
      </c>
      <c r="N922" s="53">
        <v>11.428351902368219</v>
      </c>
      <c r="O922" s="53">
        <v>9.3866458147105636</v>
      </c>
      <c r="P922" s="53">
        <v>2.0802713182669277</v>
      </c>
      <c r="Q922" s="53">
        <v>1.2491281243787389</v>
      </c>
      <c r="R922" s="53">
        <v>4.9669815738043726</v>
      </c>
      <c r="S922" s="53">
        <v>7.7371123933012118</v>
      </c>
      <c r="T922" s="53">
        <v>16.988847589250668</v>
      </c>
      <c r="U922" s="53">
        <v>3.1310745740377959</v>
      </c>
      <c r="V922" s="54">
        <v>56.968413290118498</v>
      </c>
      <c r="W922" s="54">
        <v>91.413078709089362</v>
      </c>
      <c r="X922" s="53">
        <v>10.437794901718677</v>
      </c>
      <c r="Y922" s="55">
        <v>101.79103738996734</v>
      </c>
      <c r="Z922" s="17" t="str">
        <f>SUBSTITUTE(SUBSTITUTE(SUBSTITUTE(SUBSTITUTE(IF(E922="","",VLOOKUP(E922,[1]Esquemas_NORM!$A$2:$H$126,8,FALSE)),"PROVINCIA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22" s="17" t="str">
        <f>IF($E922="","",INDEX([1]Esquemas_NORM!$H$2:$K$126,MATCH($E922,[1]Esquemas_NORM!$A$2:$A$126,0),MATCH(AA$4,[1]Esquemas_NORM!$H$1:$K$1,0)))</f>
        <v>A la fecha no ha conformado un EAT Región</v>
      </c>
      <c r="AB922" s="17" t="str">
        <f>IF($E922="","",INDEX([1]Esquemas_NORM!$H$2:$K$126,MATCH($E922,[1]Esquemas_NORM!$A$2:$A$126,0),MATCH(AB$4,[1]Esquemas_NORM!$H$1:$K$1,0)))</f>
        <v>A la fecha no ha conformado un EAT Área Metropolitana</v>
      </c>
      <c r="AC922" s="17" t="str">
        <f>IF($E922="","",INDEX([1]Esquemas_NORM!$H$2:$K$126,MATCH($E922,[1]Esquemas_NORM!$A$2:$A$126,0),MATCH(AC$4,[1]Esquemas_NORM!$H$1:$K$1,0)))</f>
        <v>ASOCIACION DE MUNICIPIOS DEL NORTE ANTIOQUEÑO - AMUNORTE</v>
      </c>
      <c r="AD922" s="23"/>
    </row>
    <row r="923" spans="1:30" x14ac:dyDescent="0.25">
      <c r="A923" s="51">
        <v>2022</v>
      </c>
      <c r="B923" s="52" t="s">
        <v>36</v>
      </c>
      <c r="C923" s="52" t="s">
        <v>119</v>
      </c>
      <c r="D923" s="52" t="s">
        <v>120</v>
      </c>
      <c r="E923" s="52" t="s">
        <v>129</v>
      </c>
      <c r="F923" s="52" t="s">
        <v>122</v>
      </c>
      <c r="G923" s="52" t="s">
        <v>130</v>
      </c>
      <c r="H923" s="53">
        <v>9.9070676547424181</v>
      </c>
      <c r="I923" s="53">
        <v>0</v>
      </c>
      <c r="J923" s="54">
        <v>9.9070676547424181</v>
      </c>
      <c r="K923" s="53">
        <v>1.6927437265537142</v>
      </c>
      <c r="L923" s="53">
        <v>2.9406626827242892</v>
      </c>
      <c r="M923" s="54">
        <v>4.6334064092780034</v>
      </c>
      <c r="N923" s="53">
        <v>1.8154949178925206</v>
      </c>
      <c r="O923" s="53">
        <v>10.310814846536632</v>
      </c>
      <c r="P923" s="53">
        <v>3.2956483233405254</v>
      </c>
      <c r="Q923" s="53">
        <v>2.4769170897613666</v>
      </c>
      <c r="R923" s="53">
        <v>8.0461665096808535</v>
      </c>
      <c r="S923" s="53">
        <v>10.95294257438996</v>
      </c>
      <c r="T923" s="53">
        <v>19.135329810050777</v>
      </c>
      <c r="U923" s="53">
        <v>5.3502550470057679</v>
      </c>
      <c r="V923" s="54">
        <v>61.3835691186584</v>
      </c>
      <c r="W923" s="54">
        <v>77.619062059224888</v>
      </c>
      <c r="X923" s="53">
        <v>8.8627564204004745</v>
      </c>
      <c r="Y923" s="55">
        <v>86.431011402515622</v>
      </c>
      <c r="Z923" s="17" t="str">
        <f>SUBSTITUTE(SUBSTITUTE(SUBSTITUTE(SUBSTITUTE(IF(E923="","",VLOOKUP(E923,[1]Esquemas_NORM!$A$2:$H$126,8,FALSE)),"PROVINCIA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23" s="17" t="str">
        <f>IF($E923="","",INDEX([1]Esquemas_NORM!$H$2:$K$126,MATCH($E923,[1]Esquemas_NORM!$A$2:$A$126,0),MATCH(AA$4,[1]Esquemas_NORM!$H$1:$K$1,0)))</f>
        <v>A la fecha no ha conformado un EAT Región</v>
      </c>
      <c r="AB923" s="17" t="str">
        <f>IF($E923="","",INDEX([1]Esquemas_NORM!$H$2:$K$126,MATCH($E923,[1]Esquemas_NORM!$A$2:$A$126,0),MATCH(AB$4,[1]Esquemas_NORM!$H$1:$K$1,0)))</f>
        <v>A la fecha no ha conformado un EAT Área Metropolitana</v>
      </c>
      <c r="AC923" s="17" t="str">
        <f>IF($E923="","",INDEX([1]Esquemas_NORM!$H$2:$K$126,MATCH($E923,[1]Esquemas_NORM!$A$2:$A$126,0),MATCH(AC$4,[1]Esquemas_NORM!$H$1:$K$1,0)))</f>
        <v>ASOCIACION DE MUNICIPIOS DEL NORTE ANTIOQUEÑO - AMUNORTE</v>
      </c>
      <c r="AD923" s="23"/>
    </row>
    <row r="924" spans="1:30" x14ac:dyDescent="0.25">
      <c r="A924" s="51">
        <v>2022</v>
      </c>
      <c r="B924" s="52" t="s">
        <v>36</v>
      </c>
      <c r="C924" s="52" t="s">
        <v>119</v>
      </c>
      <c r="D924" s="52" t="s">
        <v>99</v>
      </c>
      <c r="E924" s="52" t="s">
        <v>131</v>
      </c>
      <c r="F924" s="52" t="s">
        <v>122</v>
      </c>
      <c r="G924" s="52" t="s">
        <v>132</v>
      </c>
      <c r="H924" s="53">
        <v>9.5697478673947085</v>
      </c>
      <c r="I924" s="53">
        <v>6.4158492690325692E-3</v>
      </c>
      <c r="J924" s="54">
        <v>9.576163716663741</v>
      </c>
      <c r="K924" s="53">
        <v>0.5764295843425904</v>
      </c>
      <c r="L924" s="53">
        <v>2.4770250472817383</v>
      </c>
      <c r="M924" s="54">
        <v>3.0534546316243287</v>
      </c>
      <c r="N924" s="53">
        <v>22.15118249593467</v>
      </c>
      <c r="O924" s="53">
        <v>1.2362299612777248</v>
      </c>
      <c r="P924" s="53">
        <v>0.29085599500692888</v>
      </c>
      <c r="Q924" s="53">
        <v>0.16158396482942761</v>
      </c>
      <c r="R924" s="53">
        <v>1.1319259739015159</v>
      </c>
      <c r="S924" s="53">
        <v>2.0483574309677559</v>
      </c>
      <c r="T924" s="53">
        <v>2.1426503798632335</v>
      </c>
      <c r="U924" s="53">
        <v>0.42955273946062522</v>
      </c>
      <c r="V924" s="54">
        <v>29.592338941241884</v>
      </c>
      <c r="W924" s="54">
        <v>52.93801606685571</v>
      </c>
      <c r="X924" s="53">
        <v>6.0446072051441213</v>
      </c>
      <c r="Y924" s="55">
        <v>58.947971656881222</v>
      </c>
      <c r="Z924" s="17" t="str">
        <f>SUBSTITUTE(SUBSTITUTE(SUBSTITUTE(SUBSTITUTE(IF(E924="","",VLOOKUP(E924,[1]Esquemas_NORM!$A$2:$H$126,8,FALSE)),"PROVINCIA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24" s="17" t="str">
        <f>IF($E924="","",INDEX([1]Esquemas_NORM!$H$2:$K$126,MATCH($E924,[1]Esquemas_NORM!$A$2:$A$126,0),MATCH(AA$4,[1]Esquemas_NORM!$H$1:$K$1,0)))</f>
        <v>A la fecha no ha conformado un EAT Región</v>
      </c>
      <c r="AB924" s="17" t="str">
        <f>IF($E924="","",INDEX([1]Esquemas_NORM!$H$2:$K$126,MATCH($E924,[1]Esquemas_NORM!$A$2:$A$126,0),MATCH(AB$4,[1]Esquemas_NORM!$H$1:$K$1,0)))</f>
        <v>A la fecha no ha conformado un EAT Área Metropolitana</v>
      </c>
      <c r="AC924" s="17" t="str">
        <f>IF($E924="","",INDEX([1]Esquemas_NORM!$H$2:$K$126,MATCH($E924,[1]Esquemas_NORM!$A$2:$A$126,0),MATCH(AC$4,[1]Esquemas_NORM!$H$1:$K$1,0)))</f>
        <v>A la fecha no ha conformado un EAT asociación - unión</v>
      </c>
      <c r="AD924" s="23"/>
    </row>
    <row r="925" spans="1:30" x14ac:dyDescent="0.25">
      <c r="A925" s="51">
        <v>2022</v>
      </c>
      <c r="B925" s="52" t="s">
        <v>36</v>
      </c>
      <c r="C925" s="52" t="s">
        <v>119</v>
      </c>
      <c r="D925" s="52" t="s">
        <v>124</v>
      </c>
      <c r="E925" s="52" t="s">
        <v>133</v>
      </c>
      <c r="F925" s="52" t="s">
        <v>122</v>
      </c>
      <c r="G925" s="52" t="s">
        <v>134</v>
      </c>
      <c r="H925" s="53">
        <v>120.81862406574582</v>
      </c>
      <c r="I925" s="53">
        <v>0.67496445573151431</v>
      </c>
      <c r="J925" s="54">
        <v>121.49358852147734</v>
      </c>
      <c r="K925" s="53">
        <v>26.496761252240749</v>
      </c>
      <c r="L925" s="53">
        <v>6.3621168016034426</v>
      </c>
      <c r="M925" s="54">
        <v>32.858878053844194</v>
      </c>
      <c r="N925" s="53">
        <v>36.764202827640915</v>
      </c>
      <c r="O925" s="53">
        <v>55.503347668571976</v>
      </c>
      <c r="P925" s="53">
        <v>8.0368179912633444</v>
      </c>
      <c r="Q925" s="53">
        <v>9.9130716144483362</v>
      </c>
      <c r="R925" s="53">
        <v>26.973500773162193</v>
      </c>
      <c r="S925" s="53">
        <v>30.371206265438467</v>
      </c>
      <c r="T925" s="53">
        <v>24.073843047318874</v>
      </c>
      <c r="U925" s="53">
        <v>12.484948912947821</v>
      </c>
      <c r="V925" s="54">
        <v>204.12093910079196</v>
      </c>
      <c r="W925" s="54">
        <v>428.07961962981585</v>
      </c>
      <c r="X925" s="53">
        <v>48.879299706305687</v>
      </c>
      <c r="Y925" s="55">
        <v>476.67871143787357</v>
      </c>
      <c r="Z925" s="17" t="str">
        <f>SUBSTITUTE(SUBSTITUTE(SUBSTITUTE(SUBSTITUTE(IF(E925="","",VLOOKUP(E925,[1]Esquemas_NORM!$A$2:$H$126,8,FALSE)),"PROVINCIA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925" s="17" t="str">
        <f>IF($E925="","",INDEX([1]Esquemas_NORM!$H$2:$K$126,MATCH($E925,[1]Esquemas_NORM!$A$2:$A$126,0),MATCH(AA$4,[1]Esquemas_NORM!$H$1:$K$1,0)))</f>
        <v>A la fecha no ha conformado un EAT Región</v>
      </c>
      <c r="AB925" s="17" t="str">
        <f>IF($E925="","",INDEX([1]Esquemas_NORM!$H$2:$K$126,MATCH($E925,[1]Esquemas_NORM!$A$2:$A$126,0),MATCH(AB$4,[1]Esquemas_NORM!$H$1:$K$1,0)))</f>
        <v>A la fecha no ha conformado un EAT Área Metropolitana</v>
      </c>
      <c r="AC925" s="17" t="str">
        <f>IF($E925="","",INDEX([1]Esquemas_NORM!$H$2:$K$126,MATCH($E925,[1]Esquemas_NORM!$A$2:$A$126,0),MATCH(AC$4,[1]Esquemas_NORM!$H$1:$K$1,0)))</f>
        <v>ASOCIACION DE MUNICIPIOS DEL NORTE ANTIOQUEÑO - AMUNORTE</v>
      </c>
      <c r="AD925" s="23"/>
    </row>
    <row r="926" spans="1:30" x14ac:dyDescent="0.25">
      <c r="A926" s="51">
        <v>2022</v>
      </c>
      <c r="B926" s="52" t="s">
        <v>36</v>
      </c>
      <c r="C926" s="52" t="s">
        <v>119</v>
      </c>
      <c r="D926" s="52" t="s">
        <v>124</v>
      </c>
      <c r="E926" s="52" t="s">
        <v>135</v>
      </c>
      <c r="F926" s="52" t="s">
        <v>122</v>
      </c>
      <c r="G926" s="52" t="s">
        <v>136</v>
      </c>
      <c r="H926" s="53">
        <v>74.337536237703318</v>
      </c>
      <c r="I926" s="53">
        <v>0</v>
      </c>
      <c r="J926" s="54">
        <v>74.337536237703318</v>
      </c>
      <c r="K926" s="53">
        <v>155.20131735296221</v>
      </c>
      <c r="L926" s="53">
        <v>29.579412593666248</v>
      </c>
      <c r="M926" s="54">
        <v>184.78072994662847</v>
      </c>
      <c r="N926" s="53">
        <v>9.3546050736320439</v>
      </c>
      <c r="O926" s="53">
        <v>40.008755278759551</v>
      </c>
      <c r="P926" s="53">
        <v>5.2965587354672143</v>
      </c>
      <c r="Q926" s="53">
        <v>6.9576205043282497</v>
      </c>
      <c r="R926" s="53">
        <v>18.262389876414641</v>
      </c>
      <c r="S926" s="53">
        <v>21.172592044867866</v>
      </c>
      <c r="T926" s="53">
        <v>18.492376664675362</v>
      </c>
      <c r="U926" s="53">
        <v>8.6072894433164731</v>
      </c>
      <c r="V926" s="54">
        <v>128.15218762146139</v>
      </c>
      <c r="W926" s="54">
        <v>410.06721514823545</v>
      </c>
      <c r="X926" s="53">
        <v>46.822594185395516</v>
      </c>
      <c r="Y926" s="55">
        <v>456.62139180747874</v>
      </c>
      <c r="Z926" s="17" t="str">
        <f>SUBSTITUTE(SUBSTITUTE(SUBSTITUTE(SUBSTITUTE(IF(E926="","",VLOOKUP(E926,[1]Esquemas_NORM!$A$2:$H$126,8,FALSE)),"PROVINCIA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926" s="17" t="str">
        <f>IF($E926="","",INDEX([1]Esquemas_NORM!$H$2:$K$126,MATCH($E926,[1]Esquemas_NORM!$A$2:$A$126,0),MATCH(AA$4,[1]Esquemas_NORM!$H$1:$K$1,0)))</f>
        <v>A la fecha no ha conformado un EAT Región</v>
      </c>
      <c r="AB926" s="17" t="str">
        <f>IF($E926="","",INDEX([1]Esquemas_NORM!$H$2:$K$126,MATCH($E926,[1]Esquemas_NORM!$A$2:$A$126,0),MATCH(AB$4,[1]Esquemas_NORM!$H$1:$K$1,0)))</f>
        <v>A la fecha no ha conformado un EAT Área Metropolitana</v>
      </c>
      <c r="AC926" s="17" t="str">
        <f>IF($E926="","",INDEX([1]Esquemas_NORM!$H$2:$K$126,MATCH($E926,[1]Esquemas_NORM!$A$2:$A$126,0),MATCH(AC$4,[1]Esquemas_NORM!$H$1:$K$1,0)))</f>
        <v>A la fecha no ha conformado un EAT asociación - unión</v>
      </c>
      <c r="AD926" s="23"/>
    </row>
    <row r="927" spans="1:30" x14ac:dyDescent="0.25">
      <c r="A927" s="51">
        <v>2022</v>
      </c>
      <c r="B927" s="52" t="s">
        <v>36</v>
      </c>
      <c r="C927" s="52" t="s">
        <v>119</v>
      </c>
      <c r="D927" s="52" t="s">
        <v>99</v>
      </c>
      <c r="E927" s="52" t="s">
        <v>137</v>
      </c>
      <c r="F927" s="52" t="s">
        <v>122</v>
      </c>
      <c r="G927" s="52" t="s">
        <v>138</v>
      </c>
      <c r="H927" s="53">
        <v>24.415884804753549</v>
      </c>
      <c r="I927" s="53">
        <v>1.6421963532566775</v>
      </c>
      <c r="J927" s="54">
        <v>26.058081158010225</v>
      </c>
      <c r="K927" s="53">
        <v>7.4948128015482656</v>
      </c>
      <c r="L927" s="53">
        <v>7.9995787515935115</v>
      </c>
      <c r="M927" s="54">
        <v>15.494391553141778</v>
      </c>
      <c r="N927" s="53">
        <v>15.732855223462455</v>
      </c>
      <c r="O927" s="53">
        <v>73.5437297456306</v>
      </c>
      <c r="P927" s="53">
        <v>11.767624648374014</v>
      </c>
      <c r="Q927" s="53">
        <v>7.2760081250821074</v>
      </c>
      <c r="R927" s="53">
        <v>47.069901013654942</v>
      </c>
      <c r="S927" s="53">
        <v>35.502219148983109</v>
      </c>
      <c r="T927" s="53">
        <v>47.860935407495248</v>
      </c>
      <c r="U927" s="53">
        <v>20.762573548504921</v>
      </c>
      <c r="V927" s="54">
        <v>259.51584686118741</v>
      </c>
      <c r="W927" s="54">
        <v>306.74139641922534</v>
      </c>
      <c r="X927" s="53">
        <v>35.024570104224317</v>
      </c>
      <c r="Y927" s="55">
        <v>341.56518293540859</v>
      </c>
      <c r="Z927" s="17" t="str">
        <f>SUBSTITUTE(SUBSTITUTE(SUBSTITUTE(SUBSTITUTE(IF(E927="","",VLOOKUP(E927,[1]Esquemas_NORM!$A$2:$H$126,8,FALSE)),"PROVINCIA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27" s="17" t="str">
        <f>IF($E927="","",INDEX([1]Esquemas_NORM!$H$2:$K$126,MATCH($E927,[1]Esquemas_NORM!$A$2:$A$126,0),MATCH(AA$4,[1]Esquemas_NORM!$H$1:$K$1,0)))</f>
        <v>A la fecha no ha conformado un EAT Región</v>
      </c>
      <c r="AB927" s="17" t="str">
        <f>IF($E927="","",INDEX([1]Esquemas_NORM!$H$2:$K$126,MATCH($E927,[1]Esquemas_NORM!$A$2:$A$126,0),MATCH(AB$4,[1]Esquemas_NORM!$H$1:$K$1,0)))</f>
        <v>A la fecha no ha conformado un EAT Área Metropolitana</v>
      </c>
      <c r="AC927" s="17" t="str">
        <f>IF($E927="","",INDEX([1]Esquemas_NORM!$H$2:$K$126,MATCH($E927,[1]Esquemas_NORM!$A$2:$A$126,0),MATCH(AC$4,[1]Esquemas_NORM!$H$1:$K$1,0)))</f>
        <v>ASOCIACION DE MUNICIPIOS DEL NORTE ANTIOQUEÑO - AMUNORTE</v>
      </c>
      <c r="AD927" s="23"/>
    </row>
    <row r="928" spans="1:30" x14ac:dyDescent="0.25">
      <c r="A928" s="51">
        <v>2022</v>
      </c>
      <c r="B928" s="52" t="s">
        <v>36</v>
      </c>
      <c r="C928" s="52" t="s">
        <v>119</v>
      </c>
      <c r="D928" s="52" t="s">
        <v>99</v>
      </c>
      <c r="E928" s="52" t="s">
        <v>139</v>
      </c>
      <c r="F928" s="52" t="s">
        <v>122</v>
      </c>
      <c r="G928" s="52" t="s">
        <v>140</v>
      </c>
      <c r="H928" s="53">
        <v>8.1259167983538347</v>
      </c>
      <c r="I928" s="53">
        <v>0</v>
      </c>
      <c r="J928" s="54">
        <v>8.1259167983538347</v>
      </c>
      <c r="K928" s="53">
        <v>0.43230445565311776</v>
      </c>
      <c r="L928" s="53">
        <v>3.4024758120105707</v>
      </c>
      <c r="M928" s="54">
        <v>3.8347802676636884</v>
      </c>
      <c r="N928" s="53">
        <v>28.657187240845388</v>
      </c>
      <c r="O928" s="53">
        <v>2.3250339956635453</v>
      </c>
      <c r="P928" s="53">
        <v>0.50556090942123955</v>
      </c>
      <c r="Q928" s="53">
        <v>0.37915012187515285</v>
      </c>
      <c r="R928" s="53">
        <v>1.7469032729264731</v>
      </c>
      <c r="S928" s="53">
        <v>2.7885569312190928</v>
      </c>
      <c r="T928" s="53">
        <v>3.0229853694839415</v>
      </c>
      <c r="U928" s="53">
        <v>0.97565797711755808</v>
      </c>
      <c r="V928" s="54">
        <v>40.401035818552387</v>
      </c>
      <c r="W928" s="54">
        <v>63.661532661199615</v>
      </c>
      <c r="X928" s="53">
        <v>7.2690476070810863</v>
      </c>
      <c r="Y928" s="55">
        <v>70.888909365373223</v>
      </c>
      <c r="Z928" s="17" t="str">
        <f>SUBSTITUTE(SUBSTITUTE(SUBSTITUTE(SUBSTITUTE(IF(E928="","",VLOOKUP(E928,[1]Esquemas_NORM!$A$2:$H$126,8,FALSE)),"PROVINCIA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28" s="17" t="str">
        <f>IF($E928="","",INDEX([1]Esquemas_NORM!$H$2:$K$126,MATCH($E928,[1]Esquemas_NORM!$A$2:$A$126,0),MATCH(AA$4,[1]Esquemas_NORM!$H$1:$K$1,0)))</f>
        <v>A la fecha no ha conformado un EAT Región</v>
      </c>
      <c r="AB928" s="17" t="str">
        <f>IF($E928="","",INDEX([1]Esquemas_NORM!$H$2:$K$126,MATCH($E928,[1]Esquemas_NORM!$A$2:$A$126,0),MATCH(AB$4,[1]Esquemas_NORM!$H$1:$K$1,0)))</f>
        <v>A la fecha no ha conformado un EAT Área Metropolitana</v>
      </c>
      <c r="AC928" s="17" t="str">
        <f>IF($E928="","",INDEX([1]Esquemas_NORM!$H$2:$K$126,MATCH($E928,[1]Esquemas_NORM!$A$2:$A$126,0),MATCH(AC$4,[1]Esquemas_NORM!$H$1:$K$1,0)))</f>
        <v>A la fecha no ha conformado un EAT asociación - unión</v>
      </c>
      <c r="AD928" s="23"/>
    </row>
    <row r="929" spans="1:30" x14ac:dyDescent="0.25">
      <c r="A929" s="51">
        <v>2022</v>
      </c>
      <c r="B929" s="52" t="s">
        <v>36</v>
      </c>
      <c r="C929" s="52" t="s">
        <v>119</v>
      </c>
      <c r="D929" s="52" t="s">
        <v>141</v>
      </c>
      <c r="E929" s="52" t="s">
        <v>142</v>
      </c>
      <c r="F929" s="52" t="s">
        <v>122</v>
      </c>
      <c r="G929" s="52" t="s">
        <v>143</v>
      </c>
      <c r="H929" s="53">
        <v>37.213513381874343</v>
      </c>
      <c r="I929" s="53">
        <v>0</v>
      </c>
      <c r="J929" s="54">
        <v>37.213513381874343</v>
      </c>
      <c r="K929" s="53">
        <v>5.0954827216663956</v>
      </c>
      <c r="L929" s="53">
        <v>9.4215752143693141</v>
      </c>
      <c r="M929" s="54">
        <v>14.517057936035709</v>
      </c>
      <c r="N929" s="53">
        <v>5.2076550448169971</v>
      </c>
      <c r="O929" s="53">
        <v>38.120717303111952</v>
      </c>
      <c r="P929" s="53">
        <v>7.2997079075273943</v>
      </c>
      <c r="Q929" s="53">
        <v>5.1205620264411538</v>
      </c>
      <c r="R929" s="53">
        <v>15.172095100821137</v>
      </c>
      <c r="S929" s="53">
        <v>29.679176150672117</v>
      </c>
      <c r="T929" s="53">
        <v>66.040817752737794</v>
      </c>
      <c r="U929" s="53">
        <v>11.315405213372001</v>
      </c>
      <c r="V929" s="54">
        <v>177.95613649950053</v>
      </c>
      <c r="W929" s="54">
        <v>241.75473676755345</v>
      </c>
      <c r="X929" s="53">
        <v>27.604215879521163</v>
      </c>
      <c r="Y929" s="55">
        <v>269.20070734976326</v>
      </c>
      <c r="Z929" s="17" t="str">
        <f>SUBSTITUTE(SUBSTITUTE(SUBSTITUTE(SUBSTITUTE(IF(E929="","",VLOOKUP(E929,[1]Esquemas_NORM!$A$2:$H$126,8,FALSE)),"PROVINCIA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29" s="17" t="str">
        <f>IF($E929="","",INDEX([1]Esquemas_NORM!$H$2:$K$126,MATCH($E929,[1]Esquemas_NORM!$A$2:$A$126,0),MATCH(AA$4,[1]Esquemas_NORM!$H$1:$K$1,0)))</f>
        <v>A la fecha no ha conformado un EAT Región</v>
      </c>
      <c r="AB929" s="17" t="str">
        <f>IF($E929="","",INDEX([1]Esquemas_NORM!$H$2:$K$126,MATCH($E929,[1]Esquemas_NORM!$A$2:$A$126,0),MATCH(AB$4,[1]Esquemas_NORM!$H$1:$K$1,0)))</f>
        <v>A la fecha no ha conformado un EAT Área Metropolitana</v>
      </c>
      <c r="AC929" s="17" t="str">
        <f>IF($E929="","",INDEX([1]Esquemas_NORM!$H$2:$K$126,MATCH($E929,[1]Esquemas_NORM!$A$2:$A$126,0),MATCH(AC$4,[1]Esquemas_NORM!$H$1:$K$1,0)))</f>
        <v>ASOCIACION DE MUNICIPIOS DEL NORTE ANTIOQUEÑO - AMUNORTE</v>
      </c>
      <c r="AD929" s="23"/>
    </row>
    <row r="930" spans="1:30" x14ac:dyDescent="0.25">
      <c r="A930" s="51">
        <v>2022</v>
      </c>
      <c r="B930" s="52" t="s">
        <v>36</v>
      </c>
      <c r="C930" s="52" t="s">
        <v>119</v>
      </c>
      <c r="D930" s="52" t="s">
        <v>141</v>
      </c>
      <c r="E930" s="52" t="s">
        <v>144</v>
      </c>
      <c r="F930" s="52" t="s">
        <v>122</v>
      </c>
      <c r="G930" s="52" t="s">
        <v>145</v>
      </c>
      <c r="H930" s="53">
        <v>13.253821850014456</v>
      </c>
      <c r="I930" s="53">
        <v>0</v>
      </c>
      <c r="J930" s="54">
        <v>13.253821850014456</v>
      </c>
      <c r="K930" s="53">
        <v>0.29944782708718576</v>
      </c>
      <c r="L930" s="53">
        <v>4.083563047074354</v>
      </c>
      <c r="M930" s="54">
        <v>4.3830108741615401</v>
      </c>
      <c r="N930" s="53">
        <v>17.676250881232381</v>
      </c>
      <c r="O930" s="53">
        <v>4.154689549870926</v>
      </c>
      <c r="P930" s="53">
        <v>1.6668920015374491</v>
      </c>
      <c r="Q930" s="53">
        <v>1.1706299938583196</v>
      </c>
      <c r="R930" s="53">
        <v>4.6755157141304089</v>
      </c>
      <c r="S930" s="53">
        <v>5.1927465799192687</v>
      </c>
      <c r="T930" s="53">
        <v>9.7679718677773089</v>
      </c>
      <c r="U930" s="53">
        <v>2.2913791235687082</v>
      </c>
      <c r="V930" s="54">
        <v>46.596075711894777</v>
      </c>
      <c r="W930" s="54">
        <v>73.983976116143054</v>
      </c>
      <c r="X930" s="53">
        <v>8.4476923829569479</v>
      </c>
      <c r="Y930" s="55">
        <v>82.383240838681402</v>
      </c>
      <c r="Z930" s="17" t="str">
        <f>SUBSTITUTE(SUBSTITUTE(SUBSTITUTE(SUBSTITUTE(IF(E930="","",VLOOKUP(E930,[1]Esquemas_NORM!$A$2:$H$126,8,FALSE)),"PROVINCIA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30" s="17" t="str">
        <f>IF($E930="","",INDEX([1]Esquemas_NORM!$H$2:$K$126,MATCH($E930,[1]Esquemas_NORM!$A$2:$A$126,0),MATCH(AA$4,[1]Esquemas_NORM!$H$1:$K$1,0)))</f>
        <v>A la fecha no ha conformado un EAT Región</v>
      </c>
      <c r="AB930" s="17" t="str">
        <f>IF($E930="","",INDEX([1]Esquemas_NORM!$H$2:$K$126,MATCH($E930,[1]Esquemas_NORM!$A$2:$A$126,0),MATCH(AB$4,[1]Esquemas_NORM!$H$1:$K$1,0)))</f>
        <v>A la fecha no ha conformado un EAT Área Metropolitana</v>
      </c>
      <c r="AC930" s="17" t="str">
        <f>IF($E930="","",INDEX([1]Esquemas_NORM!$H$2:$K$126,MATCH($E930,[1]Esquemas_NORM!$A$2:$A$126,0),MATCH(AC$4,[1]Esquemas_NORM!$H$1:$K$1,0)))</f>
        <v>ASOCIACION DE MUNICIPIOS DEL NORTE ANTIOQUEÑO - AMUNORTE</v>
      </c>
      <c r="AD930" s="23"/>
    </row>
    <row r="931" spans="1:30" x14ac:dyDescent="0.25">
      <c r="A931" s="51">
        <v>2022</v>
      </c>
      <c r="B931" s="52" t="s">
        <v>36</v>
      </c>
      <c r="C931" s="52" t="s">
        <v>119</v>
      </c>
      <c r="D931" s="52" t="s">
        <v>124</v>
      </c>
      <c r="E931" s="52" t="s">
        <v>146</v>
      </c>
      <c r="F931" s="52" t="s">
        <v>122</v>
      </c>
      <c r="G931" s="52" t="s">
        <v>147</v>
      </c>
      <c r="H931" s="53">
        <v>3.3431062631529542</v>
      </c>
      <c r="I931" s="53">
        <v>0</v>
      </c>
      <c r="J931" s="54">
        <v>3.3431062631529542</v>
      </c>
      <c r="K931" s="53">
        <v>1.2369024923689429</v>
      </c>
      <c r="L931" s="53">
        <v>0.88676725356113439</v>
      </c>
      <c r="M931" s="54">
        <v>2.1236697459300773</v>
      </c>
      <c r="N931" s="53">
        <v>2.287422762534884</v>
      </c>
      <c r="O931" s="53">
        <v>6.2361887127496214</v>
      </c>
      <c r="P931" s="53">
        <v>1.4828335624203117</v>
      </c>
      <c r="Q931" s="53">
        <v>1.0730591634120843</v>
      </c>
      <c r="R931" s="53">
        <v>4.2017225057241614</v>
      </c>
      <c r="S931" s="53">
        <v>4.8777767331867761</v>
      </c>
      <c r="T931" s="53">
        <v>8.5642023363980062</v>
      </c>
      <c r="U931" s="53">
        <v>2.5488107764779446</v>
      </c>
      <c r="V931" s="54">
        <v>31.272016552903786</v>
      </c>
      <c r="W931" s="54">
        <v>37.338634138850054</v>
      </c>
      <c r="X931" s="53">
        <v>4.2634271873910912</v>
      </c>
      <c r="Y931" s="55">
        <v>41.577620592051161</v>
      </c>
      <c r="Z931" s="17" t="str">
        <f>SUBSTITUTE(SUBSTITUTE(SUBSTITUTE(SUBSTITUTE(IF(E931="","",VLOOKUP(E931,[1]Esquemas_NORM!$A$2:$H$126,8,FALSE)),"PROVINCIA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31" s="17" t="str">
        <f>IF($E931="","",INDEX([1]Esquemas_NORM!$H$2:$K$126,MATCH($E931,[1]Esquemas_NORM!$A$2:$A$126,0),MATCH(AA$4,[1]Esquemas_NORM!$H$1:$K$1,0)))</f>
        <v>A la fecha no ha conformado un EAT Región</v>
      </c>
      <c r="AB931" s="17" t="str">
        <f>IF($E931="","",INDEX([1]Esquemas_NORM!$H$2:$K$126,MATCH($E931,[1]Esquemas_NORM!$A$2:$A$126,0),MATCH(AB$4,[1]Esquemas_NORM!$H$1:$K$1,0)))</f>
        <v>A la fecha no ha conformado un EAT Área Metropolitana</v>
      </c>
      <c r="AC931" s="17" t="str">
        <f>IF($E931="","",INDEX([1]Esquemas_NORM!$H$2:$K$126,MATCH($E931,[1]Esquemas_NORM!$A$2:$A$126,0),MATCH(AC$4,[1]Esquemas_NORM!$H$1:$K$1,0)))</f>
        <v>ASOCIACION DE MUNICIPIOS DEL NORTE ANTIOQUEÑO - AMUNORTE</v>
      </c>
      <c r="AD931" s="23"/>
    </row>
    <row r="932" spans="1:30" x14ac:dyDescent="0.25">
      <c r="A932" s="51">
        <v>2022</v>
      </c>
      <c r="B932" s="52" t="s">
        <v>36</v>
      </c>
      <c r="C932" s="52" t="s">
        <v>119</v>
      </c>
      <c r="D932" s="52" t="s">
        <v>124</v>
      </c>
      <c r="E932" s="52" t="s">
        <v>148</v>
      </c>
      <c r="F932" s="52" t="s">
        <v>122</v>
      </c>
      <c r="G932" s="52" t="s">
        <v>149</v>
      </c>
      <c r="H932" s="53">
        <v>89.879189326291581</v>
      </c>
      <c r="I932" s="53">
        <v>2.472561204610692E-3</v>
      </c>
      <c r="J932" s="54">
        <v>89.881661887496193</v>
      </c>
      <c r="K932" s="53">
        <v>467.06541634021499</v>
      </c>
      <c r="L932" s="53">
        <v>64.157213320379256</v>
      </c>
      <c r="M932" s="54">
        <v>531.22262966059429</v>
      </c>
      <c r="N932" s="53">
        <v>16.31133133231215</v>
      </c>
      <c r="O932" s="53">
        <v>76.785949665190415</v>
      </c>
      <c r="P932" s="53">
        <v>10.789106495923455</v>
      </c>
      <c r="Q932" s="53">
        <v>13.210667362450529</v>
      </c>
      <c r="R932" s="53">
        <v>32.988182935594764</v>
      </c>
      <c r="S932" s="53">
        <v>42.333884857890069</v>
      </c>
      <c r="T932" s="53">
        <v>41.427206813581151</v>
      </c>
      <c r="U932" s="53">
        <v>12.636614889324653</v>
      </c>
      <c r="V932" s="54">
        <v>246.48294435226714</v>
      </c>
      <c r="W932" s="54">
        <v>865.32741039425741</v>
      </c>
      <c r="X932" s="53">
        <v>98.805446223619811</v>
      </c>
      <c r="Y932" s="55">
        <v>963.56643961542056</v>
      </c>
      <c r="Z932" s="17" t="str">
        <f>SUBSTITUTE(SUBSTITUTE(SUBSTITUTE(SUBSTITUTE(IF(E932="","",VLOOKUP(E932,[1]Esquemas_NORM!$A$2:$H$126,8,FALSE)),"PROVINCIA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932" s="17" t="str">
        <f>IF($E932="","",INDEX([1]Esquemas_NORM!$H$2:$K$126,MATCH($E932,[1]Esquemas_NORM!$A$2:$A$126,0),MATCH(AA$4,[1]Esquemas_NORM!$H$1:$K$1,0)))</f>
        <v>A la fecha no ha conformado un EAT Región</v>
      </c>
      <c r="AB932" s="17" t="str">
        <f>IF($E932="","",INDEX([1]Esquemas_NORM!$H$2:$K$126,MATCH($E932,[1]Esquemas_NORM!$A$2:$A$126,0),MATCH(AB$4,[1]Esquemas_NORM!$H$1:$K$1,0)))</f>
        <v>A la fecha no ha conformado un EAT Área Metropolitana</v>
      </c>
      <c r="AC932" s="17" t="str">
        <f>IF($E932="","",INDEX([1]Esquemas_NORM!$H$2:$K$126,MATCH($E932,[1]Esquemas_NORM!$A$2:$A$126,0),MATCH(AC$4,[1]Esquemas_NORM!$H$1:$K$1,0)))</f>
        <v>A la fecha no ha conformado un EAT asociación - unión</v>
      </c>
      <c r="AD932" s="23"/>
    </row>
    <row r="933" spans="1:30" x14ac:dyDescent="0.25">
      <c r="A933" s="51">
        <v>2022</v>
      </c>
      <c r="B933" s="52" t="s">
        <v>36</v>
      </c>
      <c r="C933" s="52" t="s">
        <v>119</v>
      </c>
      <c r="D933" s="52" t="s">
        <v>124</v>
      </c>
      <c r="E933" s="52" t="s">
        <v>150</v>
      </c>
      <c r="F933" s="52" t="s">
        <v>122</v>
      </c>
      <c r="G933" s="52" t="s">
        <v>151</v>
      </c>
      <c r="H933" s="53">
        <v>171.02342130336203</v>
      </c>
      <c r="I933" s="53">
        <v>0.3565032388295698</v>
      </c>
      <c r="J933" s="54">
        <v>171.37992454219159</v>
      </c>
      <c r="K933" s="53">
        <v>177.40440398336543</v>
      </c>
      <c r="L933" s="53">
        <v>43.822728034136802</v>
      </c>
      <c r="M933" s="54">
        <v>221.22713201750224</v>
      </c>
      <c r="N933" s="53">
        <v>43.920693821425161</v>
      </c>
      <c r="O933" s="53">
        <v>92.649264766144626</v>
      </c>
      <c r="P933" s="53">
        <v>15.757103845431912</v>
      </c>
      <c r="Q933" s="53">
        <v>15.922948908131579</v>
      </c>
      <c r="R933" s="53">
        <v>46.300842825495693</v>
      </c>
      <c r="S933" s="53">
        <v>64.89121499977287</v>
      </c>
      <c r="T933" s="53">
        <v>121.23896450701189</v>
      </c>
      <c r="U933" s="53">
        <v>20.851151659900999</v>
      </c>
      <c r="V933" s="54">
        <v>421.53218533331471</v>
      </c>
      <c r="W933" s="54">
        <v>883.94964790656843</v>
      </c>
      <c r="X933" s="53">
        <v>100.93178414492472</v>
      </c>
      <c r="Y933" s="55">
        <v>984.30282549878848</v>
      </c>
      <c r="Z933" s="17" t="str">
        <f>SUBSTITUTE(SUBSTITUTE(SUBSTITUTE(SUBSTITUTE(IF(E933="","",VLOOKUP(E933,[1]Esquemas_NORM!$A$2:$H$126,8,FALSE)),"PROVINCIA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933" s="17" t="str">
        <f>IF($E933="","",INDEX([1]Esquemas_NORM!$H$2:$K$126,MATCH($E933,[1]Esquemas_NORM!$A$2:$A$126,0),MATCH(AA$4,[1]Esquemas_NORM!$H$1:$K$1,0)))</f>
        <v>A la fecha no ha conformado un EAT Región</v>
      </c>
      <c r="AB933" s="17" t="str">
        <f>IF($E933="","",INDEX([1]Esquemas_NORM!$H$2:$K$126,MATCH($E933,[1]Esquemas_NORM!$A$2:$A$126,0),MATCH(AB$4,[1]Esquemas_NORM!$H$1:$K$1,0)))</f>
        <v>A la fecha no ha conformado un EAT Área Metropolitana</v>
      </c>
      <c r="AC933" s="17" t="str">
        <f>IF($E933="","",INDEX([1]Esquemas_NORM!$H$2:$K$126,MATCH($E933,[1]Esquemas_NORM!$A$2:$A$126,0),MATCH(AC$4,[1]Esquemas_NORM!$H$1:$K$1,0)))</f>
        <v>A la fecha no ha conformado un EAT asociación - unión</v>
      </c>
      <c r="AD933" s="23"/>
    </row>
    <row r="934" spans="1:30" x14ac:dyDescent="0.25">
      <c r="A934" s="51">
        <v>2022</v>
      </c>
      <c r="B934" s="52" t="s">
        <v>36</v>
      </c>
      <c r="C934" s="52" t="s">
        <v>119</v>
      </c>
      <c r="D934" s="52" t="s">
        <v>141</v>
      </c>
      <c r="E934" s="52" t="s">
        <v>152</v>
      </c>
      <c r="F934" s="52" t="s">
        <v>122</v>
      </c>
      <c r="G934" s="52" t="s">
        <v>153</v>
      </c>
      <c r="H934" s="53">
        <v>12.302730227719966</v>
      </c>
      <c r="I934" s="53">
        <v>0.54052277084815015</v>
      </c>
      <c r="J934" s="54">
        <v>12.843252998568117</v>
      </c>
      <c r="K934" s="53">
        <v>3.9881251010323662</v>
      </c>
      <c r="L934" s="53">
        <v>0.12691261654925517</v>
      </c>
      <c r="M934" s="54">
        <v>4.1150377175816217</v>
      </c>
      <c r="N934" s="53">
        <v>9.9841590864997158</v>
      </c>
      <c r="O934" s="53">
        <v>8.5196825118713146</v>
      </c>
      <c r="P934" s="53">
        <v>1.655977902161148</v>
      </c>
      <c r="Q934" s="53">
        <v>1.4861509494021656</v>
      </c>
      <c r="R934" s="53">
        <v>6.3795219006364174</v>
      </c>
      <c r="S934" s="53">
        <v>13.661118829829023</v>
      </c>
      <c r="T934" s="53">
        <v>10.834586219125196</v>
      </c>
      <c r="U934" s="53">
        <v>3.097003239226543</v>
      </c>
      <c r="V934" s="54">
        <v>55.618200638751524</v>
      </c>
      <c r="W934" s="54">
        <v>79.719235684525614</v>
      </c>
      <c r="X934" s="53">
        <v>9.1025599788006009</v>
      </c>
      <c r="Y934" s="55">
        <v>88.76961387644171</v>
      </c>
      <c r="Z934" s="17" t="str">
        <f>SUBSTITUTE(SUBSTITUTE(SUBSTITUTE(SUBSTITUTE(IF(E934="","",VLOOKUP(E934,[1]Esquemas_NORM!$A$2:$H$126,8,FALSE)),"PROVINCIA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34" s="17" t="str">
        <f>IF($E934="","",INDEX([1]Esquemas_NORM!$H$2:$K$126,MATCH($E934,[1]Esquemas_NORM!$A$2:$A$126,0),MATCH(AA$4,[1]Esquemas_NORM!$H$1:$K$1,0)))</f>
        <v>A la fecha no ha conformado un EAT Región</v>
      </c>
      <c r="AB934" s="17" t="str">
        <f>IF($E934="","",INDEX([1]Esquemas_NORM!$H$2:$K$126,MATCH($E934,[1]Esquemas_NORM!$A$2:$A$126,0),MATCH(AB$4,[1]Esquemas_NORM!$H$1:$K$1,0)))</f>
        <v>A la fecha no ha conformado un EAT Área Metropolitana</v>
      </c>
      <c r="AC934" s="17" t="str">
        <f>IF($E934="","",INDEX([1]Esquemas_NORM!$H$2:$K$126,MATCH($E934,[1]Esquemas_NORM!$A$2:$A$126,0),MATCH(AC$4,[1]Esquemas_NORM!$H$1:$K$1,0)))</f>
        <v>ASOCIACION DE MUNICIPIOS DEL NORTE ANTIOQUEÑO - AMUNORTE</v>
      </c>
      <c r="AD934" s="23"/>
    </row>
    <row r="935" spans="1:30" x14ac:dyDescent="0.25">
      <c r="A935" s="51">
        <v>2022</v>
      </c>
      <c r="B935" s="52" t="s">
        <v>36</v>
      </c>
      <c r="C935" s="52" t="s">
        <v>119</v>
      </c>
      <c r="D935" s="52" t="s">
        <v>120</v>
      </c>
      <c r="E935" s="52" t="s">
        <v>154</v>
      </c>
      <c r="F935" s="52" t="s">
        <v>122</v>
      </c>
      <c r="G935" s="52" t="s">
        <v>155</v>
      </c>
      <c r="H935" s="53">
        <v>12.118874961029048</v>
      </c>
      <c r="I935" s="53">
        <v>0.54680561054300658</v>
      </c>
      <c r="J935" s="54">
        <v>12.665680571572056</v>
      </c>
      <c r="K935" s="53">
        <v>0.82630529347913539</v>
      </c>
      <c r="L935" s="53">
        <v>6.7669316306743905</v>
      </c>
      <c r="M935" s="54">
        <v>7.5932369241535262</v>
      </c>
      <c r="N935" s="53">
        <v>2.1056116402251677</v>
      </c>
      <c r="O935" s="53">
        <v>30.629479437605511</v>
      </c>
      <c r="P935" s="53">
        <v>5.1302370698261122</v>
      </c>
      <c r="Q935" s="53">
        <v>3.5862548698573291</v>
      </c>
      <c r="R935" s="53">
        <v>12.688641251042709</v>
      </c>
      <c r="S935" s="53">
        <v>13.502143494187699</v>
      </c>
      <c r="T935" s="53">
        <v>30.056430606795765</v>
      </c>
      <c r="U935" s="53">
        <v>8.8094553933980997</v>
      </c>
      <c r="V935" s="54">
        <v>106.50825376293839</v>
      </c>
      <c r="W935" s="54">
        <v>128.82134246582154</v>
      </c>
      <c r="X935" s="53">
        <v>14.709172588976058</v>
      </c>
      <c r="Y935" s="55">
        <v>143.44619252233713</v>
      </c>
      <c r="Z935" s="17" t="str">
        <f>SUBSTITUTE(SUBSTITUTE(SUBSTITUTE(SUBSTITUTE(IF(E935="","",VLOOKUP(E935,[1]Esquemas_NORM!$A$2:$H$126,8,FALSE)),"PROVINCIA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35" s="17" t="str">
        <f>IF($E935="","",INDEX([1]Esquemas_NORM!$H$2:$K$126,MATCH($E935,[1]Esquemas_NORM!$A$2:$A$126,0),MATCH(AA$4,[1]Esquemas_NORM!$H$1:$K$1,0)))</f>
        <v>A la fecha no ha conformado un EAT Región</v>
      </c>
      <c r="AB935" s="17" t="str">
        <f>IF($E935="","",INDEX([1]Esquemas_NORM!$H$2:$K$126,MATCH($E935,[1]Esquemas_NORM!$A$2:$A$126,0),MATCH(AB$4,[1]Esquemas_NORM!$H$1:$K$1,0)))</f>
        <v>A la fecha no ha conformado un EAT Área Metropolitana</v>
      </c>
      <c r="AC935" s="17" t="str">
        <f>IF($E935="","",INDEX([1]Esquemas_NORM!$H$2:$K$126,MATCH($E935,[1]Esquemas_NORM!$A$2:$A$126,0),MATCH(AC$4,[1]Esquemas_NORM!$H$1:$K$1,0)))</f>
        <v>A la fecha no ha conformado un EAT asociación - unión</v>
      </c>
      <c r="AD935" s="23"/>
    </row>
    <row r="936" spans="1:30" x14ac:dyDescent="0.25">
      <c r="A936" s="51">
        <v>2022</v>
      </c>
      <c r="B936" s="52" t="s">
        <v>36</v>
      </c>
      <c r="C936" s="52" t="s">
        <v>119</v>
      </c>
      <c r="D936" s="52" t="s">
        <v>120</v>
      </c>
      <c r="E936" s="52" t="s">
        <v>156</v>
      </c>
      <c r="F936" s="52" t="s">
        <v>122</v>
      </c>
      <c r="G936" s="52" t="s">
        <v>157</v>
      </c>
      <c r="H936" s="53">
        <v>53.708058853098052</v>
      </c>
      <c r="I936" s="53">
        <v>5.5943103772023779E-2</v>
      </c>
      <c r="J936" s="54">
        <v>53.764001956870075</v>
      </c>
      <c r="K936" s="53">
        <v>137.20180947231066</v>
      </c>
      <c r="L936" s="53">
        <v>28.90225126233598</v>
      </c>
      <c r="M936" s="54">
        <v>166.10406073464662</v>
      </c>
      <c r="N936" s="53">
        <v>30.867419064809386</v>
      </c>
      <c r="O936" s="53">
        <v>103.94073932604931</v>
      </c>
      <c r="P936" s="53">
        <v>18.186547054860306</v>
      </c>
      <c r="Q936" s="53">
        <v>21.363916807875913</v>
      </c>
      <c r="R936" s="53">
        <v>42.367329688216181</v>
      </c>
      <c r="S936" s="53">
        <v>54.501378929142049</v>
      </c>
      <c r="T936" s="53">
        <v>91.166297251391455</v>
      </c>
      <c r="U936" s="53">
        <v>24.40699902244808</v>
      </c>
      <c r="V936" s="54">
        <v>386.80062714479266</v>
      </c>
      <c r="W936" s="54">
        <v>613.37101085563734</v>
      </c>
      <c r="X936" s="53">
        <v>70.036376636463785</v>
      </c>
      <c r="Y936" s="55">
        <v>683.00589348510493</v>
      </c>
      <c r="Z936" s="17" t="str">
        <f>SUBSTITUTE(SUBSTITUTE(SUBSTITUTE(SUBSTITUTE(IF(E936="","",VLOOKUP(E936,[1]Esquemas_NORM!$A$2:$H$126,8,FALSE)),"PROVINCIA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936" s="17" t="str">
        <f>IF($E936="","",INDEX([1]Esquemas_NORM!$H$2:$K$126,MATCH($E936,[1]Esquemas_NORM!$A$2:$A$126,0),MATCH(AA$4,[1]Esquemas_NORM!$H$1:$K$1,0)))</f>
        <v>A la fecha no ha conformado un EAT Región</v>
      </c>
      <c r="AB936" s="17" t="str">
        <f>IF($E936="","",INDEX([1]Esquemas_NORM!$H$2:$K$126,MATCH($E936,[1]Esquemas_NORM!$A$2:$A$126,0),MATCH(AB$4,[1]Esquemas_NORM!$H$1:$K$1,0)))</f>
        <v>A la fecha no ha conformado un EAT Área Metropolitana</v>
      </c>
      <c r="AC936" s="17" t="str">
        <f>IF($E936="","",INDEX([1]Esquemas_NORM!$H$2:$K$126,MATCH($E936,[1]Esquemas_NORM!$A$2:$A$126,0),MATCH(AC$4,[1]Esquemas_NORM!$H$1:$K$1,0)))</f>
        <v>A la fecha no ha conformado un EAT asociación - unión</v>
      </c>
      <c r="AD936" s="23"/>
    </row>
    <row r="937" spans="1:30" x14ac:dyDescent="0.25">
      <c r="A937" s="51">
        <v>2022</v>
      </c>
      <c r="B937" s="52" t="s">
        <v>36</v>
      </c>
      <c r="C937" s="52" t="s">
        <v>158</v>
      </c>
      <c r="D937" s="52" t="s">
        <v>159</v>
      </c>
      <c r="E937" s="52" t="s">
        <v>160</v>
      </c>
      <c r="F937" s="52" t="s">
        <v>161</v>
      </c>
      <c r="G937" s="52" t="s">
        <v>162</v>
      </c>
      <c r="H937" s="53">
        <v>13.505756313320235</v>
      </c>
      <c r="I937" s="53">
        <v>0.47085155289834557</v>
      </c>
      <c r="J937" s="54">
        <v>13.976607866218581</v>
      </c>
      <c r="K937" s="53">
        <v>0.98990919605879013</v>
      </c>
      <c r="L937" s="53">
        <v>1.2330495421669216</v>
      </c>
      <c r="M937" s="54">
        <v>2.2229587382257119</v>
      </c>
      <c r="N937" s="53">
        <v>2.8321974498717548</v>
      </c>
      <c r="O937" s="53">
        <v>2.1806170383817411</v>
      </c>
      <c r="P937" s="53">
        <v>0.59856952002686625</v>
      </c>
      <c r="Q937" s="53">
        <v>0.35219670093124128</v>
      </c>
      <c r="R937" s="53">
        <v>1.9402286782713234</v>
      </c>
      <c r="S937" s="53">
        <v>2.2727281438935645</v>
      </c>
      <c r="T937" s="53">
        <v>6.7341085465527986</v>
      </c>
      <c r="U937" s="53">
        <v>0.95569166637907188</v>
      </c>
      <c r="V937" s="54">
        <v>17.86633774430836</v>
      </c>
      <c r="W937" s="54">
        <v>41.671584069134745</v>
      </c>
      <c r="X937" s="53">
        <v>4.7581752401873194</v>
      </c>
      <c r="Y937" s="55">
        <v>46.402482357901768</v>
      </c>
      <c r="Z937" s="17" t="str">
        <f>SUBSTITUTE(SUBSTITUTE(SUBSTITUTE(SUBSTITUTE(IF(E937="","",VLOOKUP(E937,[1]Esquemas_NORM!$A$2:$H$126,8,FALSE)),"PROVINCIA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937" s="17" t="str">
        <f>IF($E937="","",INDEX([1]Esquemas_NORM!$H$2:$K$126,MATCH($E937,[1]Esquemas_NORM!$A$2:$A$126,0),MATCH(AA$4,[1]Esquemas_NORM!$H$1:$K$1,0)))</f>
        <v>Región de Planeación y Gestión de Occidente</v>
      </c>
      <c r="AB937" s="17" t="str">
        <f>IF($E937="","",INDEX([1]Esquemas_NORM!$H$2:$K$126,MATCH($E937,[1]Esquemas_NORM!$A$2:$A$126,0),MATCH(AB$4,[1]Esquemas_NORM!$H$1:$K$1,0)))</f>
        <v>A la fecha no ha conformado un EAT Área Metropolitana</v>
      </c>
      <c r="AC937" s="17" t="str">
        <f>IF($E937="","",INDEX([1]Esquemas_NORM!$H$2:$K$126,MATCH($E937,[1]Esquemas_NORM!$A$2:$A$126,0),MATCH(AC$4,[1]Esquemas_NORM!$H$1:$K$1,0)))</f>
        <v>ASOCIACION DE MUNICIPIOS DEL NORTE ANTIOQUEÑO - AMUNORTE</v>
      </c>
      <c r="AD937" s="23"/>
    </row>
    <row r="938" spans="1:30" x14ac:dyDescent="0.25">
      <c r="A938" s="51">
        <v>2022</v>
      </c>
      <c r="B938" s="52" t="s">
        <v>36</v>
      </c>
      <c r="C938" s="52" t="s">
        <v>158</v>
      </c>
      <c r="D938" s="52" t="s">
        <v>163</v>
      </c>
      <c r="E938" s="52" t="s">
        <v>164</v>
      </c>
      <c r="F938" s="52" t="s">
        <v>161</v>
      </c>
      <c r="G938" s="52" t="s">
        <v>165</v>
      </c>
      <c r="H938" s="53">
        <v>32.822036464203229</v>
      </c>
      <c r="I938" s="53">
        <v>0.67428866129403531</v>
      </c>
      <c r="J938" s="54">
        <v>33.496325125497265</v>
      </c>
      <c r="K938" s="53">
        <v>1.9923827270101755</v>
      </c>
      <c r="L938" s="53">
        <v>3.7444685861548574</v>
      </c>
      <c r="M938" s="54">
        <v>5.7368513131650332</v>
      </c>
      <c r="N938" s="53">
        <v>0.94039720515700309</v>
      </c>
      <c r="O938" s="53">
        <v>10.238723593055814</v>
      </c>
      <c r="P938" s="53">
        <v>2.8857020295382707</v>
      </c>
      <c r="Q938" s="53">
        <v>2.2716528897776964</v>
      </c>
      <c r="R938" s="53">
        <v>8.3325390700823654</v>
      </c>
      <c r="S938" s="53">
        <v>6.1686397076377864</v>
      </c>
      <c r="T938" s="53">
        <v>14.530098421297671</v>
      </c>
      <c r="U938" s="53">
        <v>4.3201013118661402</v>
      </c>
      <c r="V938" s="54">
        <v>49.687854228412746</v>
      </c>
      <c r="W938" s="54">
        <v>104.63751572328178</v>
      </c>
      <c r="X938" s="53">
        <v>11.947797225162914</v>
      </c>
      <c r="Y938" s="55">
        <v>116.51682041337828</v>
      </c>
      <c r="Z938" s="17" t="str">
        <f>SUBSTITUTE(SUBSTITUTE(SUBSTITUTE(SUBSTITUTE(IF(E938="","",VLOOKUP(E938,[1]Esquemas_NORM!$A$2:$H$126,8,FALSE)),"PROVINCIA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38" s="17" t="str">
        <f>IF($E938="","",INDEX([1]Esquemas_NORM!$H$2:$K$126,MATCH($E938,[1]Esquemas_NORM!$A$2:$A$126,0),MATCH(AA$4,[1]Esquemas_NORM!$H$1:$K$1,0)))</f>
        <v>A la fecha no ha conformado un EAT Región</v>
      </c>
      <c r="AB938" s="17" t="str">
        <f>IF($E938="","",INDEX([1]Esquemas_NORM!$H$2:$K$126,MATCH($E938,[1]Esquemas_NORM!$A$2:$A$126,0),MATCH(AB$4,[1]Esquemas_NORM!$H$1:$K$1,0)))</f>
        <v>A la fecha no ha conformado un EAT Área Metropolitana</v>
      </c>
      <c r="AC938" s="17" t="str">
        <f>IF($E938="","",INDEX([1]Esquemas_NORM!$H$2:$K$126,MATCH($E938,[1]Esquemas_NORM!$A$2:$A$126,0),MATCH(AC$4,[1]Esquemas_NORM!$H$1:$K$1,0)))</f>
        <v>ASOCIACION DE MUNICIPIOS DEL OCCIDENTE ANTIOQUEÑO - AMOCCIDENTE</v>
      </c>
      <c r="AD938" s="23"/>
    </row>
    <row r="939" spans="1:30" x14ac:dyDescent="0.25">
      <c r="A939" s="51">
        <v>2022</v>
      </c>
      <c r="B939" s="52" t="s">
        <v>36</v>
      </c>
      <c r="C939" s="52" t="s">
        <v>158</v>
      </c>
      <c r="D939" s="52" t="s">
        <v>163</v>
      </c>
      <c r="E939" s="52" t="s">
        <v>166</v>
      </c>
      <c r="F939" s="52" t="s">
        <v>161</v>
      </c>
      <c r="G939" s="52" t="s">
        <v>167</v>
      </c>
      <c r="H939" s="53">
        <v>9.7817891036984186</v>
      </c>
      <c r="I939" s="53">
        <v>0</v>
      </c>
      <c r="J939" s="54">
        <v>9.7817891036984186</v>
      </c>
      <c r="K939" s="53">
        <v>1.2320740421251501</v>
      </c>
      <c r="L939" s="53">
        <v>1.942349264514559</v>
      </c>
      <c r="M939" s="54">
        <v>3.1744233066397092</v>
      </c>
      <c r="N939" s="53">
        <v>0.7657657598133798</v>
      </c>
      <c r="O939" s="53">
        <v>6.2044769775136643</v>
      </c>
      <c r="P939" s="53">
        <v>2.1165742873763422</v>
      </c>
      <c r="Q939" s="53">
        <v>1.4590011107494694</v>
      </c>
      <c r="R939" s="53">
        <v>7.8770597810139709</v>
      </c>
      <c r="S939" s="53">
        <v>5.2036413401475023</v>
      </c>
      <c r="T939" s="53">
        <v>11.461137543515155</v>
      </c>
      <c r="U939" s="53">
        <v>3.6760531401994734</v>
      </c>
      <c r="V939" s="54">
        <v>38.763709940328951</v>
      </c>
      <c r="W939" s="54">
        <v>54.380708313290235</v>
      </c>
      <c r="X939" s="53">
        <v>6.2093377446594351</v>
      </c>
      <c r="Y939" s="55">
        <v>60.554450100368491</v>
      </c>
      <c r="Z939" s="17" t="str">
        <f>SUBSTITUTE(SUBSTITUTE(SUBSTITUTE(SUBSTITUTE(IF(E939="","",VLOOKUP(E939,[1]Esquemas_NORM!$A$2:$H$126,8,FALSE)),"PROVINCIA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39" s="17" t="str">
        <f>IF($E939="","",INDEX([1]Esquemas_NORM!$H$2:$K$126,MATCH($E939,[1]Esquemas_NORM!$A$2:$A$126,0),MATCH(AA$4,[1]Esquemas_NORM!$H$1:$K$1,0)))</f>
        <v>Región de Planeación y Gestión de Occidente</v>
      </c>
      <c r="AB939" s="17" t="str">
        <f>IF($E939="","",INDEX([1]Esquemas_NORM!$H$2:$K$126,MATCH($E939,[1]Esquemas_NORM!$A$2:$A$126,0),MATCH(AB$4,[1]Esquemas_NORM!$H$1:$K$1,0)))</f>
        <v>A la fecha no ha conformado un EAT Área Metropolitana</v>
      </c>
      <c r="AC939" s="17" t="str">
        <f>IF($E939="","",INDEX([1]Esquemas_NORM!$H$2:$K$126,MATCH($E939,[1]Esquemas_NORM!$A$2:$A$126,0),MATCH(AC$4,[1]Esquemas_NORM!$H$1:$K$1,0)))</f>
        <v>ASOCIACION DE MUNICIPIOS DEL OCCIDENTE ANTIOQUEÑO - AMOCCIDENTE</v>
      </c>
      <c r="AD939" s="23"/>
    </row>
    <row r="940" spans="1:30" x14ac:dyDescent="0.25">
      <c r="A940" s="51">
        <v>2022</v>
      </c>
      <c r="B940" s="52" t="s">
        <v>36</v>
      </c>
      <c r="C940" s="52" t="s">
        <v>158</v>
      </c>
      <c r="D940" s="52" t="s">
        <v>163</v>
      </c>
      <c r="E940" s="52" t="s">
        <v>168</v>
      </c>
      <c r="F940" s="52" t="s">
        <v>161</v>
      </c>
      <c r="G940" s="52" t="s">
        <v>169</v>
      </c>
      <c r="H940" s="53">
        <v>9.2457667085766548</v>
      </c>
      <c r="I940" s="53">
        <v>681.8321294831843</v>
      </c>
      <c r="J940" s="54">
        <v>691.07789619176094</v>
      </c>
      <c r="K940" s="53">
        <v>4.6500530929916826</v>
      </c>
      <c r="L940" s="53">
        <v>8.711217360272068E-2</v>
      </c>
      <c r="M940" s="54">
        <v>4.7371652665944035</v>
      </c>
      <c r="N940" s="53">
        <v>8.955434525426675</v>
      </c>
      <c r="O940" s="53">
        <v>6.9893250576887649</v>
      </c>
      <c r="P940" s="53">
        <v>1.7304227387748652</v>
      </c>
      <c r="Q940" s="53">
        <v>0.94789160741944667</v>
      </c>
      <c r="R940" s="53">
        <v>5.480577406477142</v>
      </c>
      <c r="S940" s="53">
        <v>30.596035098910001</v>
      </c>
      <c r="T940" s="53">
        <v>7.5713431002595089</v>
      </c>
      <c r="U940" s="53">
        <v>2.7183949676682992</v>
      </c>
      <c r="V940" s="54">
        <v>64.989424502624701</v>
      </c>
      <c r="W940" s="54">
        <v>1208.2002459066059</v>
      </c>
      <c r="X940" s="53">
        <v>137.95560268955208</v>
      </c>
      <c r="Y940" s="55">
        <v>1345.3649974646116</v>
      </c>
      <c r="Z940" s="17" t="str">
        <f>SUBSTITUTE(SUBSTITUTE(SUBSTITUTE(SUBSTITUTE(IF(E940="","",VLOOKUP(E940,[1]Esquemas_NORM!$A$2:$H$126,8,FALSE)),"PROVINCIA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940" s="17" t="str">
        <f>IF($E940="","",INDEX([1]Esquemas_NORM!$H$2:$K$126,MATCH($E940,[1]Esquemas_NORM!$A$2:$A$126,0),MATCH(AA$4,[1]Esquemas_NORM!$H$1:$K$1,0)))</f>
        <v>Región de Planeación y Gestión de Occidente</v>
      </c>
      <c r="AB940" s="17" t="str">
        <f>IF($E940="","",INDEX([1]Esquemas_NORM!$H$2:$K$126,MATCH($E940,[1]Esquemas_NORM!$A$2:$A$126,0),MATCH(AB$4,[1]Esquemas_NORM!$H$1:$K$1,0)))</f>
        <v>A la fecha no ha conformado un EAT Área Metropolitana</v>
      </c>
      <c r="AC940" s="17" t="str">
        <f>IF($E940="","",INDEX([1]Esquemas_NORM!$H$2:$K$126,MATCH($E940,[1]Esquemas_NORM!$A$2:$A$126,0),MATCH(AC$4,[1]Esquemas_NORM!$H$1:$K$1,0)))</f>
        <v>ASOCIACION DE MUNICIPIOS DEL OCCIDENTE ANTIOQUEÑO - AMOCCIDENTE</v>
      </c>
      <c r="AD940" s="23"/>
    </row>
    <row r="941" spans="1:30" x14ac:dyDescent="0.25">
      <c r="A941" s="51">
        <v>2022</v>
      </c>
      <c r="B941" s="52" t="s">
        <v>36</v>
      </c>
      <c r="C941" s="52" t="s">
        <v>158</v>
      </c>
      <c r="D941" s="52" t="s">
        <v>163</v>
      </c>
      <c r="E941" s="52" t="s">
        <v>170</v>
      </c>
      <c r="F941" s="52" t="s">
        <v>161</v>
      </c>
      <c r="G941" s="52" t="s">
        <v>171</v>
      </c>
      <c r="H941" s="53">
        <v>26.885547578805635</v>
      </c>
      <c r="I941" s="53">
        <v>0</v>
      </c>
      <c r="J941" s="54">
        <v>26.885547578805635</v>
      </c>
      <c r="K941" s="53">
        <v>0.87869889278582303</v>
      </c>
      <c r="L941" s="53">
        <v>5.1568203410770863</v>
      </c>
      <c r="M941" s="54">
        <v>6.0355192338629093</v>
      </c>
      <c r="N941" s="53">
        <v>0.81100940302972002</v>
      </c>
      <c r="O941" s="53">
        <v>12.287901138875228</v>
      </c>
      <c r="P941" s="53">
        <v>3.11729209502092</v>
      </c>
      <c r="Q941" s="53">
        <v>2.6610154258388024</v>
      </c>
      <c r="R941" s="53">
        <v>9.7510861916459444</v>
      </c>
      <c r="S941" s="53">
        <v>8.4108763407084712</v>
      </c>
      <c r="T941" s="53">
        <v>20.266520471763538</v>
      </c>
      <c r="U941" s="53">
        <v>4.3256179714533758</v>
      </c>
      <c r="V941" s="54">
        <v>61.631319038335995</v>
      </c>
      <c r="W941" s="54">
        <v>105.55520206042596</v>
      </c>
      <c r="X941" s="53">
        <v>12.052581156592064</v>
      </c>
      <c r="Y941" s="55">
        <v>117.53868999238829</v>
      </c>
      <c r="Z941" s="17" t="str">
        <f>SUBSTITUTE(SUBSTITUTE(SUBSTITUTE(SUBSTITUTE(IF(E941="","",VLOOKUP(E941,[1]Esquemas_NORM!$A$2:$H$126,8,FALSE)),"PROVINCIA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41" s="17" t="str">
        <f>IF($E941="","",INDEX([1]Esquemas_NORM!$H$2:$K$126,MATCH($E941,[1]Esquemas_NORM!$A$2:$A$126,0),MATCH(AA$4,[1]Esquemas_NORM!$H$1:$K$1,0)))</f>
        <v>A la fecha no ha conformado un EAT Región</v>
      </c>
      <c r="AB941" s="17" t="str">
        <f>IF($E941="","",INDEX([1]Esquemas_NORM!$H$2:$K$126,MATCH($E941,[1]Esquemas_NORM!$A$2:$A$126,0),MATCH(AB$4,[1]Esquemas_NORM!$H$1:$K$1,0)))</f>
        <v>A la fecha no ha conformado un EAT Área Metropolitana</v>
      </c>
      <c r="AC941" s="17" t="str">
        <f>IF($E941="","",INDEX([1]Esquemas_NORM!$H$2:$K$126,MATCH($E941,[1]Esquemas_NORM!$A$2:$A$126,0),MATCH(AC$4,[1]Esquemas_NORM!$H$1:$K$1,0)))</f>
        <v>ASOCIACION DE MUNICIPIOS DEL OCCIDENTE ANTIOQUEÑO - AMOCCIDENTE</v>
      </c>
      <c r="AD941" s="23"/>
    </row>
    <row r="942" spans="1:30" x14ac:dyDescent="0.25">
      <c r="A942" s="51">
        <v>2022</v>
      </c>
      <c r="B942" s="52" t="s">
        <v>36</v>
      </c>
      <c r="C942" s="52" t="s">
        <v>158</v>
      </c>
      <c r="D942" s="52" t="s">
        <v>159</v>
      </c>
      <c r="E942" s="52" t="s">
        <v>172</v>
      </c>
      <c r="F942" s="52" t="s">
        <v>161</v>
      </c>
      <c r="G942" s="52" t="s">
        <v>173</v>
      </c>
      <c r="H942" s="53">
        <v>29.685583616703909</v>
      </c>
      <c r="I942" s="53">
        <v>8.610263778223656</v>
      </c>
      <c r="J942" s="54">
        <v>38.295847394927563</v>
      </c>
      <c r="K942" s="53">
        <v>4.5855656438819521</v>
      </c>
      <c r="L942" s="53">
        <v>8.9962212830467596</v>
      </c>
      <c r="M942" s="54">
        <v>13.581786926928711</v>
      </c>
      <c r="N942" s="53">
        <v>7.1607520667406677</v>
      </c>
      <c r="O942" s="53">
        <v>22.595448590549285</v>
      </c>
      <c r="P942" s="53">
        <v>3.7539714166945615</v>
      </c>
      <c r="Q942" s="53">
        <v>2.8173811701815872</v>
      </c>
      <c r="R942" s="53">
        <v>11.252428186331445</v>
      </c>
      <c r="S942" s="53">
        <v>18.982544198515448</v>
      </c>
      <c r="T942" s="53">
        <v>41.06211113951499</v>
      </c>
      <c r="U942" s="53">
        <v>5.875737557018244</v>
      </c>
      <c r="V942" s="54">
        <v>113.50037432554622</v>
      </c>
      <c r="W942" s="54">
        <v>182.64575496632028</v>
      </c>
      <c r="X942" s="53">
        <v>20.854990958945635</v>
      </c>
      <c r="Y942" s="55">
        <v>203.38119156954241</v>
      </c>
      <c r="Z942" s="17" t="str">
        <f>SUBSTITUTE(SUBSTITUTE(SUBSTITUTE(SUBSTITUTE(IF(E942="","",VLOOKUP(E942,[1]Esquemas_NORM!$A$2:$H$126,8,FALSE)),"PROVINCIA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942" s="17" t="str">
        <f>IF($E942="","",INDEX([1]Esquemas_NORM!$H$2:$K$126,MATCH($E942,[1]Esquemas_NORM!$A$2:$A$126,0),MATCH(AA$4,[1]Esquemas_NORM!$H$1:$K$1,0)))</f>
        <v>Región de Planeación y Gestión de Occidente</v>
      </c>
      <c r="AB942" s="17" t="str">
        <f>IF($E942="","",INDEX([1]Esquemas_NORM!$H$2:$K$126,MATCH($E942,[1]Esquemas_NORM!$A$2:$A$126,0),MATCH(AB$4,[1]Esquemas_NORM!$H$1:$K$1,0)))</f>
        <v>A la fecha no ha conformado un EAT Área Metropolitana</v>
      </c>
      <c r="AC942" s="17" t="str">
        <f>IF($E942="","",INDEX([1]Esquemas_NORM!$H$2:$K$126,MATCH($E942,[1]Esquemas_NORM!$A$2:$A$126,0),MATCH(AC$4,[1]Esquemas_NORM!$H$1:$K$1,0)))</f>
        <v>ASOCIACION DE MUNICIPIOS DEL OCCIDENTE ANTIOQUEÑO - AMOCCIDENTE</v>
      </c>
      <c r="AD942" s="23"/>
    </row>
    <row r="943" spans="1:30" x14ac:dyDescent="0.25">
      <c r="A943" s="51">
        <v>2022</v>
      </c>
      <c r="B943" s="52" t="s">
        <v>36</v>
      </c>
      <c r="C943" s="52" t="s">
        <v>158</v>
      </c>
      <c r="D943" s="52" t="s">
        <v>159</v>
      </c>
      <c r="E943" s="52" t="s">
        <v>174</v>
      </c>
      <c r="F943" s="52" t="s">
        <v>161</v>
      </c>
      <c r="G943" s="52" t="s">
        <v>175</v>
      </c>
      <c r="H943" s="53">
        <v>39.767297144872018</v>
      </c>
      <c r="I943" s="53">
        <v>29.14575321172973</v>
      </c>
      <c r="J943" s="54">
        <v>68.913050356601744</v>
      </c>
      <c r="K943" s="53">
        <v>2.330349610106714</v>
      </c>
      <c r="L943" s="53">
        <v>12.480666873783287</v>
      </c>
      <c r="M943" s="54">
        <v>14.81101648389</v>
      </c>
      <c r="N943" s="53">
        <v>7.1467192891652758</v>
      </c>
      <c r="O943" s="53">
        <v>49.011070429892776</v>
      </c>
      <c r="P943" s="53">
        <v>8.6180708052390731</v>
      </c>
      <c r="Q943" s="53">
        <v>7.1187144822964603</v>
      </c>
      <c r="R943" s="53">
        <v>19.386215928534828</v>
      </c>
      <c r="S943" s="53">
        <v>25.349474443184171</v>
      </c>
      <c r="T943" s="53">
        <v>51.639030506485661</v>
      </c>
      <c r="U943" s="53">
        <v>12.146425102064093</v>
      </c>
      <c r="V943" s="54">
        <v>180.41572098686231</v>
      </c>
      <c r="W943" s="54">
        <v>297.79150508583263</v>
      </c>
      <c r="X943" s="53">
        <v>34.002647076924475</v>
      </c>
      <c r="Y943" s="55">
        <v>331.59922690135642</v>
      </c>
      <c r="Z943" s="17" t="str">
        <f>SUBSTITUTE(SUBSTITUTE(SUBSTITUTE(SUBSTITUTE(IF(E943="","",VLOOKUP(E943,[1]Esquemas_NORM!$A$2:$H$126,8,FALSE)),"PROVINCIA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943" s="17" t="str">
        <f>IF($E943="","",INDEX([1]Esquemas_NORM!$H$2:$K$126,MATCH($E943,[1]Esquemas_NORM!$A$2:$A$126,0),MATCH(AA$4,[1]Esquemas_NORM!$H$1:$K$1,0)))</f>
        <v>Región de Planeación y Gestión de Occidente</v>
      </c>
      <c r="AB943" s="17" t="str">
        <f>IF($E943="","",INDEX([1]Esquemas_NORM!$H$2:$K$126,MATCH($E943,[1]Esquemas_NORM!$A$2:$A$126,0),MATCH(AB$4,[1]Esquemas_NORM!$H$1:$K$1,0)))</f>
        <v>A la fecha no ha conformado un EAT Área Metropolitana</v>
      </c>
      <c r="AC943" s="17" t="str">
        <f>IF($E943="","",INDEX([1]Esquemas_NORM!$H$2:$K$126,MATCH($E943,[1]Esquemas_NORM!$A$2:$A$126,0),MATCH(AC$4,[1]Esquemas_NORM!$H$1:$K$1,0)))</f>
        <v>ASOCIACION DE MUNICIPIOS DEL OCCIDENTE ANTIOQUEÑO - AMOCCIDENTE</v>
      </c>
      <c r="AD943" s="23"/>
    </row>
    <row r="944" spans="1:30" x14ac:dyDescent="0.25">
      <c r="A944" s="51">
        <v>2022</v>
      </c>
      <c r="B944" s="52" t="s">
        <v>36</v>
      </c>
      <c r="C944" s="52" t="s">
        <v>158</v>
      </c>
      <c r="D944" s="52" t="s">
        <v>163</v>
      </c>
      <c r="E944" s="52" t="s">
        <v>176</v>
      </c>
      <c r="F944" s="52" t="s">
        <v>161</v>
      </c>
      <c r="G944" s="52" t="s">
        <v>177</v>
      </c>
      <c r="H944" s="53">
        <v>94.765735985213709</v>
      </c>
      <c r="I944" s="53">
        <v>0</v>
      </c>
      <c r="J944" s="54">
        <v>94.765735985213709</v>
      </c>
      <c r="K944" s="53">
        <v>4.5689094347982424</v>
      </c>
      <c r="L944" s="53">
        <v>8.9704955497576773</v>
      </c>
      <c r="M944" s="54">
        <v>13.539404984555919</v>
      </c>
      <c r="N944" s="53">
        <v>2.4631954229568787</v>
      </c>
      <c r="O944" s="53">
        <v>22.272835051309695</v>
      </c>
      <c r="P944" s="53">
        <v>5.1041772725168562</v>
      </c>
      <c r="Q944" s="53">
        <v>3.195923908839656</v>
      </c>
      <c r="R944" s="53">
        <v>21.296476915810942</v>
      </c>
      <c r="S944" s="53">
        <v>14.336961175097402</v>
      </c>
      <c r="T944" s="53">
        <v>17.65986625302725</v>
      </c>
      <c r="U944" s="53">
        <v>9.9107012297973629</v>
      </c>
      <c r="V944" s="54">
        <v>96.240137229356051</v>
      </c>
      <c r="W944" s="54">
        <v>252.10872504186582</v>
      </c>
      <c r="X944" s="53">
        <v>28.786462528977587</v>
      </c>
      <c r="Y944" s="55">
        <v>280.73016486774225</v>
      </c>
      <c r="Z944" s="17" t="str">
        <f>SUBSTITUTE(SUBSTITUTE(SUBSTITUTE(SUBSTITUTE(IF(E944="","",VLOOKUP(E944,[1]Esquemas_NORM!$A$2:$H$126,8,FALSE)),"PROVINCIA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944" s="17" t="str">
        <f>IF($E944="","",INDEX([1]Esquemas_NORM!$H$2:$K$126,MATCH($E944,[1]Esquemas_NORM!$A$2:$A$126,0),MATCH(AA$4,[1]Esquemas_NORM!$H$1:$K$1,0)))</f>
        <v>A la fecha no ha conformado un EAT Región</v>
      </c>
      <c r="AB944" s="17" t="str">
        <f>IF($E944="","",INDEX([1]Esquemas_NORM!$H$2:$K$126,MATCH($E944,[1]Esquemas_NORM!$A$2:$A$126,0),MATCH(AB$4,[1]Esquemas_NORM!$H$1:$K$1,0)))</f>
        <v>A la fecha no ha conformado un EAT Área Metropolitana</v>
      </c>
      <c r="AC944" s="17" t="str">
        <f>IF($E944="","",INDEX([1]Esquemas_NORM!$H$2:$K$126,MATCH($E944,[1]Esquemas_NORM!$A$2:$A$126,0),MATCH(AC$4,[1]Esquemas_NORM!$H$1:$K$1,0)))</f>
        <v>ASOCIACION DE MUNICIPIOS DEL OCCIDENTE ANTIOQUEÑO - AMOCCIDENTE</v>
      </c>
      <c r="AD944" s="23"/>
    </row>
    <row r="945" spans="1:30" x14ac:dyDescent="0.25">
      <c r="A945" s="51">
        <v>2022</v>
      </c>
      <c r="B945" s="52" t="s">
        <v>36</v>
      </c>
      <c r="C945" s="52" t="s">
        <v>158</v>
      </c>
      <c r="D945" s="52" t="s">
        <v>159</v>
      </c>
      <c r="E945" s="52" t="s">
        <v>178</v>
      </c>
      <c r="F945" s="52" t="s">
        <v>161</v>
      </c>
      <c r="G945" s="52" t="s">
        <v>179</v>
      </c>
      <c r="H945" s="53">
        <v>30.858554218240918</v>
      </c>
      <c r="I945" s="53">
        <v>1.0479863129879581</v>
      </c>
      <c r="J945" s="54">
        <v>31.906540531228877</v>
      </c>
      <c r="K945" s="53">
        <v>1.8658218987585193</v>
      </c>
      <c r="L945" s="53">
        <v>9.52684146032475</v>
      </c>
      <c r="M945" s="54">
        <v>11.392663359083269</v>
      </c>
      <c r="N945" s="53">
        <v>11.703601418574024</v>
      </c>
      <c r="O945" s="53">
        <v>36.280221428531441</v>
      </c>
      <c r="P945" s="53">
        <v>6.5408745160638233</v>
      </c>
      <c r="Q945" s="53">
        <v>5.1955546740198431</v>
      </c>
      <c r="R945" s="53">
        <v>16.326453548540151</v>
      </c>
      <c r="S945" s="53">
        <v>21.569820198561175</v>
      </c>
      <c r="T945" s="53">
        <v>38.545560798273897</v>
      </c>
      <c r="U945" s="53">
        <v>8.2006301454376409</v>
      </c>
      <c r="V945" s="54">
        <v>144.362716728002</v>
      </c>
      <c r="W945" s="54">
        <v>201.32862670912291</v>
      </c>
      <c r="X945" s="53">
        <v>22.988252262250136</v>
      </c>
      <c r="Y945" s="55">
        <v>224.18509537607781</v>
      </c>
      <c r="Z945" s="17" t="str">
        <f>SUBSTITUTE(SUBSTITUTE(SUBSTITUTE(SUBSTITUTE(IF(E945="","",VLOOKUP(E945,[1]Esquemas_NORM!$A$2:$H$126,8,FALSE)),"PROVINCIA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945" s="17" t="str">
        <f>IF($E945="","",INDEX([1]Esquemas_NORM!$H$2:$K$126,MATCH($E945,[1]Esquemas_NORM!$A$2:$A$126,0),MATCH(AA$4,[1]Esquemas_NORM!$H$1:$K$1,0)))</f>
        <v>Región de Planeación y Gestión de Occidente</v>
      </c>
      <c r="AB945" s="17" t="str">
        <f>IF($E945="","",INDEX([1]Esquemas_NORM!$H$2:$K$126,MATCH($E945,[1]Esquemas_NORM!$A$2:$A$126,0),MATCH(AB$4,[1]Esquemas_NORM!$H$1:$K$1,0)))</f>
        <v>A la fecha no ha conformado un EAT Área Metropolitana</v>
      </c>
      <c r="AC945" s="17" t="str">
        <f>IF($E945="","",INDEX([1]Esquemas_NORM!$H$2:$K$126,MATCH($E945,[1]Esquemas_NORM!$A$2:$A$126,0),MATCH(AC$4,[1]Esquemas_NORM!$H$1:$K$1,0)))</f>
        <v>ASOCIACION DE MUNICIPIOS DEL OCCIDENTE ANTIOQUEÑO - AMOCCIDENTE</v>
      </c>
      <c r="AD945" s="23"/>
    </row>
    <row r="946" spans="1:30" x14ac:dyDescent="0.25">
      <c r="A946" s="51">
        <v>2022</v>
      </c>
      <c r="B946" s="52" t="s">
        <v>36</v>
      </c>
      <c r="C946" s="52" t="s">
        <v>158</v>
      </c>
      <c r="D946" s="52" t="s">
        <v>163</v>
      </c>
      <c r="E946" s="52" t="s">
        <v>180</v>
      </c>
      <c r="F946" s="52" t="s">
        <v>161</v>
      </c>
      <c r="G946" s="52" t="s">
        <v>181</v>
      </c>
      <c r="H946" s="53">
        <v>5.7885531257218998</v>
      </c>
      <c r="I946" s="53">
        <v>0</v>
      </c>
      <c r="J946" s="54">
        <v>5.7885531257218998</v>
      </c>
      <c r="K946" s="53">
        <v>1.6748769430060031</v>
      </c>
      <c r="L946" s="53">
        <v>0.69994201099185449</v>
      </c>
      <c r="M946" s="54">
        <v>2.3748189539978575</v>
      </c>
      <c r="N946" s="53">
        <v>2.063064695789337</v>
      </c>
      <c r="O946" s="53">
        <v>9.3539498057000117</v>
      </c>
      <c r="P946" s="53">
        <v>2.0906917451409424</v>
      </c>
      <c r="Q946" s="53">
        <v>1.1770268081519826</v>
      </c>
      <c r="R946" s="53">
        <v>6.6678183628986041</v>
      </c>
      <c r="S946" s="53">
        <v>6.4059122201121168</v>
      </c>
      <c r="T946" s="53">
        <v>10.306245259197675</v>
      </c>
      <c r="U946" s="53">
        <v>2.8614364226406708</v>
      </c>
      <c r="V946" s="54">
        <v>40.926145319631345</v>
      </c>
      <c r="W946" s="54">
        <v>50.543948018073785</v>
      </c>
      <c r="X946" s="53">
        <v>5.771245979083564</v>
      </c>
      <c r="Y946" s="55">
        <v>56.282109466163853</v>
      </c>
      <c r="Z946" s="17" t="str">
        <f>SUBSTITUTE(SUBSTITUTE(SUBSTITUTE(SUBSTITUTE(IF(E946="","",VLOOKUP(E946,[1]Esquemas_NORM!$A$2:$H$126,8,FALSE)),"PROVINCIA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946" s="17" t="str">
        <f>IF($E946="","",INDEX([1]Esquemas_NORM!$H$2:$K$126,MATCH($E946,[1]Esquemas_NORM!$A$2:$A$126,0),MATCH(AA$4,[1]Esquemas_NORM!$H$1:$K$1,0)))</f>
        <v>A la fecha no ha conformado un EAT Región</v>
      </c>
      <c r="AB946" s="17" t="str">
        <f>IF($E946="","",INDEX([1]Esquemas_NORM!$H$2:$K$126,MATCH($E946,[1]Esquemas_NORM!$A$2:$A$126,0),MATCH(AB$4,[1]Esquemas_NORM!$H$1:$K$1,0)))</f>
        <v>A la fecha no ha conformado un EAT Área Metropolitana</v>
      </c>
      <c r="AC946" s="17" t="str">
        <f>IF($E946="","",INDEX([1]Esquemas_NORM!$H$2:$K$126,MATCH($E946,[1]Esquemas_NORM!$A$2:$A$126,0),MATCH(AC$4,[1]Esquemas_NORM!$H$1:$K$1,0)))</f>
        <v>ASOCIACION DE MUNICIPIOS DEL OCCIDENTE ANTIOQUEÑO - AMOCCIDENTE</v>
      </c>
      <c r="AD946" s="23"/>
    </row>
    <row r="947" spans="1:30" x14ac:dyDescent="0.25">
      <c r="A947" s="51">
        <v>2022</v>
      </c>
      <c r="B947" s="52" t="s">
        <v>36</v>
      </c>
      <c r="C947" s="52" t="s">
        <v>158</v>
      </c>
      <c r="D947" s="52" t="s">
        <v>163</v>
      </c>
      <c r="E947" s="52" t="s">
        <v>182</v>
      </c>
      <c r="F947" s="52" t="s">
        <v>161</v>
      </c>
      <c r="G947" s="52" t="s">
        <v>183</v>
      </c>
      <c r="H947" s="53">
        <v>13.057442343982022</v>
      </c>
      <c r="I947" s="53">
        <v>4.2098259826867882E-3</v>
      </c>
      <c r="J947" s="54">
        <v>13.061652169964708</v>
      </c>
      <c r="K947" s="53">
        <v>1.1156062302870478</v>
      </c>
      <c r="L947" s="53">
        <v>2.4725805319747596</v>
      </c>
      <c r="M947" s="54">
        <v>3.5881867622618073</v>
      </c>
      <c r="N947" s="53">
        <v>1.2456755411176634</v>
      </c>
      <c r="O947" s="53">
        <v>6.2488217875066949</v>
      </c>
      <c r="P947" s="53">
        <v>2.1423092735842326</v>
      </c>
      <c r="Q947" s="53">
        <v>1.3966916018736297</v>
      </c>
      <c r="R947" s="53">
        <v>7.1235058723317932</v>
      </c>
      <c r="S947" s="53">
        <v>5.5084841131698257</v>
      </c>
      <c r="T947" s="53">
        <v>13.904673041020327</v>
      </c>
      <c r="U947" s="53">
        <v>2.8173346416832437</v>
      </c>
      <c r="V947" s="54">
        <v>40.387495872287417</v>
      </c>
      <c r="W947" s="54">
        <v>61.661070841904866</v>
      </c>
      <c r="X947" s="53">
        <v>7.0406294149200992</v>
      </c>
      <c r="Y947" s="55">
        <v>68.661338795377034</v>
      </c>
      <c r="Z947" s="17" t="str">
        <f>SUBSTITUTE(SUBSTITUTE(SUBSTITUTE(SUBSTITUTE(IF(E947="","",VLOOKUP(E947,[1]Esquemas_NORM!$A$2:$H$126,8,FALSE)),"PROVINCIA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947" s="17" t="str">
        <f>IF($E947="","",INDEX([1]Esquemas_NORM!$H$2:$K$126,MATCH($E947,[1]Esquemas_NORM!$A$2:$A$126,0),MATCH(AA$4,[1]Esquemas_NORM!$H$1:$K$1,0)))</f>
        <v>Región de Planeación y Gestión de Occidente</v>
      </c>
      <c r="AB947" s="17" t="str">
        <f>IF($E947="","",INDEX([1]Esquemas_NORM!$H$2:$K$126,MATCH($E947,[1]Esquemas_NORM!$A$2:$A$126,0),MATCH(AB$4,[1]Esquemas_NORM!$H$1:$K$1,0)))</f>
        <v>A la fecha no ha conformado un EAT Área Metropolitana</v>
      </c>
      <c r="AC947" s="17" t="str">
        <f>IF($E947="","",INDEX([1]Esquemas_NORM!$H$2:$K$126,MATCH($E947,[1]Esquemas_NORM!$A$2:$A$126,0),MATCH(AC$4,[1]Esquemas_NORM!$H$1:$K$1,0)))</f>
        <v>ASOCIACION DE MUNICIPIOS DEL OCCIDENTE ANTIOQUEÑO - AMOCCIDENTE</v>
      </c>
      <c r="AD947" s="23"/>
    </row>
    <row r="948" spans="1:30" x14ac:dyDescent="0.25">
      <c r="A948" s="51">
        <v>2022</v>
      </c>
      <c r="B948" s="52" t="s">
        <v>36</v>
      </c>
      <c r="C948" s="52" t="s">
        <v>158</v>
      </c>
      <c r="D948" s="52" t="s">
        <v>163</v>
      </c>
      <c r="E948" s="52" t="s">
        <v>184</v>
      </c>
      <c r="F948" s="52" t="s">
        <v>161</v>
      </c>
      <c r="G948" s="52" t="s">
        <v>185</v>
      </c>
      <c r="H948" s="53">
        <v>23.049633020204322</v>
      </c>
      <c r="I948" s="53">
        <v>0</v>
      </c>
      <c r="J948" s="54">
        <v>23.049633020204322</v>
      </c>
      <c r="K948" s="53">
        <v>2.0883063805746183</v>
      </c>
      <c r="L948" s="53">
        <v>4.311479185921975</v>
      </c>
      <c r="M948" s="54">
        <v>6.3997855664965932</v>
      </c>
      <c r="N948" s="53">
        <v>4.743490121547798</v>
      </c>
      <c r="O948" s="53">
        <v>12.861683341763914</v>
      </c>
      <c r="P948" s="53">
        <v>3.0679826352902859</v>
      </c>
      <c r="Q948" s="53">
        <v>2.4286868962576205</v>
      </c>
      <c r="R948" s="53">
        <v>9.9550099987658758</v>
      </c>
      <c r="S948" s="53">
        <v>10.383009884830441</v>
      </c>
      <c r="T948" s="53">
        <v>22.830554135230901</v>
      </c>
      <c r="U948" s="53">
        <v>5.2330242247074654</v>
      </c>
      <c r="V948" s="54">
        <v>71.503441238394302</v>
      </c>
      <c r="W948" s="54">
        <v>110.5388785590833</v>
      </c>
      <c r="X948" s="53">
        <v>12.621630945573921</v>
      </c>
      <c r="Y948" s="55">
        <v>123.0881541169783</v>
      </c>
      <c r="Z948" s="17" t="str">
        <f>SUBSTITUTE(SUBSTITUTE(SUBSTITUTE(SUBSTITUTE(IF(E948="","",VLOOKUP(E948,[1]Esquemas_NORM!$A$2:$H$126,8,FALSE)),"PROVINCIA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48" s="17" t="str">
        <f>IF($E948="","",INDEX([1]Esquemas_NORM!$H$2:$K$126,MATCH($E948,[1]Esquemas_NORM!$A$2:$A$126,0),MATCH(AA$4,[1]Esquemas_NORM!$H$1:$K$1,0)))</f>
        <v>Región de Planeación y Gestión de Occidente</v>
      </c>
      <c r="AB948" s="17" t="str">
        <f>IF($E948="","",INDEX([1]Esquemas_NORM!$H$2:$K$126,MATCH($E948,[1]Esquemas_NORM!$A$2:$A$126,0),MATCH(AB$4,[1]Esquemas_NORM!$H$1:$K$1,0)))</f>
        <v>A la fecha no ha conformado un EAT Área Metropolitana</v>
      </c>
      <c r="AC948" s="17" t="str">
        <f>IF($E948="","",INDEX([1]Esquemas_NORM!$H$2:$K$126,MATCH($E948,[1]Esquemas_NORM!$A$2:$A$126,0),MATCH(AC$4,[1]Esquemas_NORM!$H$1:$K$1,0)))</f>
        <v>ASOCIACION DE MUNICIPIOS DEL OCCIDENTE ANTIOQUEÑO - AMOCCIDENTE</v>
      </c>
      <c r="AD948" s="23"/>
    </row>
    <row r="949" spans="1:30" x14ac:dyDescent="0.25">
      <c r="A949" s="51">
        <v>2022</v>
      </c>
      <c r="B949" s="52" t="s">
        <v>36</v>
      </c>
      <c r="C949" s="52" t="s">
        <v>158</v>
      </c>
      <c r="D949" s="52" t="s">
        <v>163</v>
      </c>
      <c r="E949" s="52" t="s">
        <v>186</v>
      </c>
      <c r="F949" s="52" t="s">
        <v>161</v>
      </c>
      <c r="G949" s="52" t="s">
        <v>187</v>
      </c>
      <c r="H949" s="53">
        <v>8.5755300079634029</v>
      </c>
      <c r="I949" s="53">
        <v>0</v>
      </c>
      <c r="J949" s="54">
        <v>8.5755300079634029</v>
      </c>
      <c r="K949" s="53">
        <v>0.48722723866725198</v>
      </c>
      <c r="L949" s="53">
        <v>1.8755723044767196</v>
      </c>
      <c r="M949" s="54">
        <v>2.3627995431439714</v>
      </c>
      <c r="N949" s="53">
        <v>1.2307774061694388</v>
      </c>
      <c r="O949" s="53">
        <v>5.1683950110641428</v>
      </c>
      <c r="P949" s="53">
        <v>1.4876675361091316</v>
      </c>
      <c r="Q949" s="53">
        <v>0.69339041519768352</v>
      </c>
      <c r="R949" s="53">
        <v>5.4091033623307911</v>
      </c>
      <c r="S949" s="53">
        <v>3.6631292140656466</v>
      </c>
      <c r="T949" s="53">
        <v>7.5632474365087496</v>
      </c>
      <c r="U949" s="53">
        <v>2.1606124917661149</v>
      </c>
      <c r="V949" s="54">
        <v>27.376322873211702</v>
      </c>
      <c r="W949" s="54">
        <v>41.520397170103173</v>
      </c>
      <c r="X949" s="53">
        <v>4.740912307288764</v>
      </c>
      <c r="Y949" s="55">
        <v>46.234131488317104</v>
      </c>
      <c r="Z949" s="17" t="str">
        <f>SUBSTITUTE(SUBSTITUTE(SUBSTITUTE(SUBSTITUTE(IF(E949="","",VLOOKUP(E949,[1]Esquemas_NORM!$A$2:$H$126,8,FALSE)),"PROVINCIA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949" s="17" t="str">
        <f>IF($E949="","",INDEX([1]Esquemas_NORM!$H$2:$K$126,MATCH($E949,[1]Esquemas_NORM!$A$2:$A$126,0),MATCH(AA$4,[1]Esquemas_NORM!$H$1:$K$1,0)))</f>
        <v>Región de Planeación y Gestión de Occidente</v>
      </c>
      <c r="AB949" s="17" t="str">
        <f>IF($E949="","",INDEX([1]Esquemas_NORM!$H$2:$K$126,MATCH($E949,[1]Esquemas_NORM!$A$2:$A$126,0),MATCH(AB$4,[1]Esquemas_NORM!$H$1:$K$1,0)))</f>
        <v>A la fecha no ha conformado un EAT Área Metropolitana</v>
      </c>
      <c r="AC949" s="17" t="str">
        <f>IF($E949="","",INDEX([1]Esquemas_NORM!$H$2:$K$126,MATCH($E949,[1]Esquemas_NORM!$A$2:$A$126,0),MATCH(AC$4,[1]Esquemas_NORM!$H$1:$K$1,0)))</f>
        <v>ASOCIACION DE MUNICIPIOS DEL OCCIDENTE ANTIOQUEÑO - AMOCCIDENTE</v>
      </c>
      <c r="AD949" s="23"/>
    </row>
    <row r="950" spans="1:30" x14ac:dyDescent="0.25">
      <c r="A950" s="51">
        <v>2022</v>
      </c>
      <c r="B950" s="52" t="s">
        <v>36</v>
      </c>
      <c r="C950" s="52" t="s">
        <v>158</v>
      </c>
      <c r="D950" s="52" t="s">
        <v>159</v>
      </c>
      <c r="E950" s="52" t="s">
        <v>188</v>
      </c>
      <c r="F950" s="52" t="s">
        <v>161</v>
      </c>
      <c r="G950" s="52" t="s">
        <v>189</v>
      </c>
      <c r="H950" s="53">
        <v>12.387051362121248</v>
      </c>
      <c r="I950" s="53">
        <v>0</v>
      </c>
      <c r="J950" s="54">
        <v>12.387051362121248</v>
      </c>
      <c r="K950" s="53">
        <v>0.48217724383691996</v>
      </c>
      <c r="L950" s="53">
        <v>4.0536610846681844</v>
      </c>
      <c r="M950" s="54">
        <v>4.535838328505104</v>
      </c>
      <c r="N950" s="53">
        <v>0.68475926743157955</v>
      </c>
      <c r="O950" s="53">
        <v>11.784029797535251</v>
      </c>
      <c r="P950" s="53">
        <v>2.4637845587291451</v>
      </c>
      <c r="Q950" s="53">
        <v>1.8597157930222994</v>
      </c>
      <c r="R950" s="53">
        <v>7.2356777635987122</v>
      </c>
      <c r="S950" s="53">
        <v>7.9699215809942938</v>
      </c>
      <c r="T950" s="53">
        <v>19.985500789167251</v>
      </c>
      <c r="U950" s="53">
        <v>3.2384217638262487</v>
      </c>
      <c r="V950" s="54">
        <v>55.22181131430478</v>
      </c>
      <c r="W950" s="54">
        <v>75.707760978681975</v>
      </c>
      <c r="X950" s="53">
        <v>8.6445188448157211</v>
      </c>
      <c r="Y950" s="55">
        <v>84.302723825939879</v>
      </c>
      <c r="Z950" s="17" t="str">
        <f>SUBSTITUTE(SUBSTITUTE(SUBSTITUTE(SUBSTITUTE(IF(E950="","",VLOOKUP(E950,[1]Esquemas_NORM!$A$2:$H$126,8,FALSE)),"PROVINCIA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950" s="17" t="str">
        <f>IF($E950="","",INDEX([1]Esquemas_NORM!$H$2:$K$126,MATCH($E950,[1]Esquemas_NORM!$A$2:$A$126,0),MATCH(AA$4,[1]Esquemas_NORM!$H$1:$K$1,0)))</f>
        <v>Región de Planeación y Gestión de Occidente</v>
      </c>
      <c r="AB950" s="17" t="str">
        <f>IF($E950="","",INDEX([1]Esquemas_NORM!$H$2:$K$126,MATCH($E950,[1]Esquemas_NORM!$A$2:$A$126,0),MATCH(AB$4,[1]Esquemas_NORM!$H$1:$K$1,0)))</f>
        <v>A la fecha no ha conformado un EAT Área Metropolitana</v>
      </c>
      <c r="AC950" s="17" t="str">
        <f>IF($E950="","",INDEX([1]Esquemas_NORM!$H$2:$K$126,MATCH($E950,[1]Esquemas_NORM!$A$2:$A$126,0),MATCH(AC$4,[1]Esquemas_NORM!$H$1:$K$1,0)))</f>
        <v>ASOCIACION DE MUNICIPIOS DEL OCCIDENTE ANTIOQUEÑO - AMOCCIDENTE</v>
      </c>
      <c r="AD950" s="23"/>
    </row>
    <row r="951" spans="1:30" x14ac:dyDescent="0.25">
      <c r="A951" s="51">
        <v>2022</v>
      </c>
      <c r="B951" s="52" t="s">
        <v>36</v>
      </c>
      <c r="C951" s="52" t="s">
        <v>158</v>
      </c>
      <c r="D951" s="52" t="s">
        <v>163</v>
      </c>
      <c r="E951" s="52" t="s">
        <v>190</v>
      </c>
      <c r="F951" s="52" t="s">
        <v>161</v>
      </c>
      <c r="G951" s="52" t="s">
        <v>191</v>
      </c>
      <c r="H951" s="53">
        <v>14.39676552077947</v>
      </c>
      <c r="I951" s="53">
        <v>0</v>
      </c>
      <c r="J951" s="54">
        <v>14.39676552077947</v>
      </c>
      <c r="K951" s="53">
        <v>2.2345685385658847</v>
      </c>
      <c r="L951" s="53">
        <v>2.7107758339150623</v>
      </c>
      <c r="M951" s="54">
        <v>4.9453443724809469</v>
      </c>
      <c r="N951" s="53">
        <v>1.198150026439371</v>
      </c>
      <c r="O951" s="53">
        <v>11.954349213221754</v>
      </c>
      <c r="P951" s="53">
        <v>3.054049457299052</v>
      </c>
      <c r="Q951" s="53">
        <v>2.270517875275031</v>
      </c>
      <c r="R951" s="53">
        <v>11.06861115818799</v>
      </c>
      <c r="S951" s="53">
        <v>8.482036863324371</v>
      </c>
      <c r="T951" s="53">
        <v>19.837515591093265</v>
      </c>
      <c r="U951" s="53">
        <v>3.8943601213169305</v>
      </c>
      <c r="V951" s="54">
        <v>61.759590306157769</v>
      </c>
      <c r="W951" s="54">
        <v>85.2178084234572</v>
      </c>
      <c r="X951" s="53">
        <v>9.7304020262590889</v>
      </c>
      <c r="Y951" s="55">
        <v>94.892429464365179</v>
      </c>
      <c r="Z951" s="17" t="str">
        <f>SUBSTITUTE(SUBSTITUTE(SUBSTITUTE(SUBSTITUTE(IF(E951="","",VLOOKUP(E951,[1]Esquemas_NORM!$A$2:$H$126,8,FALSE)),"PROVINCIA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951" s="17" t="str">
        <f>IF($E951="","",INDEX([1]Esquemas_NORM!$H$2:$K$126,MATCH($E951,[1]Esquemas_NORM!$A$2:$A$126,0),MATCH(AA$4,[1]Esquemas_NORM!$H$1:$K$1,0)))</f>
        <v>A la fecha no ha conformado un EAT Región</v>
      </c>
      <c r="AB951" s="17" t="str">
        <f>IF($E951="","",INDEX([1]Esquemas_NORM!$H$2:$K$126,MATCH($E951,[1]Esquemas_NORM!$A$2:$A$126,0),MATCH(AB$4,[1]Esquemas_NORM!$H$1:$K$1,0)))</f>
        <v>A la fecha no ha conformado un EAT Área Metropolitana</v>
      </c>
      <c r="AC951" s="17" t="str">
        <f>IF($E951="","",INDEX([1]Esquemas_NORM!$H$2:$K$126,MATCH($E951,[1]Esquemas_NORM!$A$2:$A$126,0),MATCH(AC$4,[1]Esquemas_NORM!$H$1:$K$1,0)))</f>
        <v>ASOCIACION DE MUNICIPIOS DEL OCCIDENTE ANTIOQUEÑO - AMOCCIDENTE</v>
      </c>
      <c r="AD951" s="23"/>
    </row>
    <row r="952" spans="1:30" x14ac:dyDescent="0.25">
      <c r="A952" s="51">
        <v>2022</v>
      </c>
      <c r="B952" s="52" t="s">
        <v>36</v>
      </c>
      <c r="C952" s="52" t="s">
        <v>158</v>
      </c>
      <c r="D952" s="52" t="s">
        <v>163</v>
      </c>
      <c r="E952" s="52" t="s">
        <v>192</v>
      </c>
      <c r="F952" s="52" t="s">
        <v>161</v>
      </c>
      <c r="G952" s="52" t="s">
        <v>193</v>
      </c>
      <c r="H952" s="53">
        <v>13.431621149158632</v>
      </c>
      <c r="I952" s="53">
        <v>0</v>
      </c>
      <c r="J952" s="54">
        <v>13.431621149158632</v>
      </c>
      <c r="K952" s="53">
        <v>3.6734468537691018</v>
      </c>
      <c r="L952" s="53">
        <v>7.2217902051225158</v>
      </c>
      <c r="M952" s="54">
        <v>10.895237058891617</v>
      </c>
      <c r="N952" s="53">
        <v>9.3516353220085673</v>
      </c>
      <c r="O952" s="53">
        <v>56.80555032385849</v>
      </c>
      <c r="P952" s="53">
        <v>6.9999932340472304</v>
      </c>
      <c r="Q952" s="53">
        <v>4.2416403493662598</v>
      </c>
      <c r="R952" s="53">
        <v>35.102320312770019</v>
      </c>
      <c r="S952" s="53">
        <v>21.266678180233814</v>
      </c>
      <c r="T952" s="53">
        <v>22.013940518878158</v>
      </c>
      <c r="U952" s="53">
        <v>8.2885216001519986</v>
      </c>
      <c r="V952" s="54">
        <v>164.07027984131454</v>
      </c>
      <c r="W952" s="54">
        <v>191.05638177892143</v>
      </c>
      <c r="X952" s="53">
        <v>21.815339290983797</v>
      </c>
      <c r="Y952" s="55">
        <v>212.7466613736936</v>
      </c>
      <c r="Z952" s="17" t="str">
        <f>SUBSTITUTE(SUBSTITUTE(SUBSTITUTE(SUBSTITUTE(IF(E952="","",VLOOKUP(E952,[1]Esquemas_NORM!$A$2:$H$126,8,FALSE)),"PROVINCIA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952" s="17" t="str">
        <f>IF($E952="","",INDEX([1]Esquemas_NORM!$H$2:$K$126,MATCH($E952,[1]Esquemas_NORM!$A$2:$A$126,0),MATCH(AA$4,[1]Esquemas_NORM!$H$1:$K$1,0)))</f>
        <v>Región de Planeación y Gestión de Occidente</v>
      </c>
      <c r="AB952" s="17" t="str">
        <f>IF($E952="","",INDEX([1]Esquemas_NORM!$H$2:$K$126,MATCH($E952,[1]Esquemas_NORM!$A$2:$A$126,0),MATCH(AB$4,[1]Esquemas_NORM!$H$1:$K$1,0)))</f>
        <v>A la fecha no ha conformado un EAT Área Metropolitana</v>
      </c>
      <c r="AC952" s="17" t="str">
        <f>IF($E952="","",INDEX([1]Esquemas_NORM!$H$2:$K$126,MATCH($E952,[1]Esquemas_NORM!$A$2:$A$126,0),MATCH(AC$4,[1]Esquemas_NORM!$H$1:$K$1,0)))</f>
        <v>ASOCIACION DE MUNICIPIOS DEL OCCIDENTE ANTIOQUEÑO - AMOCCIDENTE</v>
      </c>
      <c r="AD952" s="23"/>
    </row>
    <row r="953" spans="1:30" x14ac:dyDescent="0.25">
      <c r="A953" s="51">
        <v>2022</v>
      </c>
      <c r="B953" s="52" t="s">
        <v>36</v>
      </c>
      <c r="C953" s="52" t="s">
        <v>158</v>
      </c>
      <c r="D953" s="52" t="s">
        <v>163</v>
      </c>
      <c r="E953" s="52" t="s">
        <v>194</v>
      </c>
      <c r="F953" s="52" t="s">
        <v>161</v>
      </c>
      <c r="G953" s="52" t="s">
        <v>195</v>
      </c>
      <c r="H953" s="53">
        <v>19.425968726770773</v>
      </c>
      <c r="I953" s="53">
        <v>8.1366126005183599</v>
      </c>
      <c r="J953" s="54">
        <v>27.562581327289131</v>
      </c>
      <c r="K953" s="53">
        <v>6.4511065687397249</v>
      </c>
      <c r="L953" s="53">
        <v>8.2512117418352116</v>
      </c>
      <c r="M953" s="54">
        <v>14.702318310574936</v>
      </c>
      <c r="N953" s="53">
        <v>12.685614041616178</v>
      </c>
      <c r="O953" s="53">
        <v>89.553186211248544</v>
      </c>
      <c r="P953" s="53">
        <v>9.3658131729157112</v>
      </c>
      <c r="Q953" s="53">
        <v>8.3600783957475553</v>
      </c>
      <c r="R953" s="53">
        <v>32.491912978355408</v>
      </c>
      <c r="S953" s="53">
        <v>31.552062737882544</v>
      </c>
      <c r="T953" s="53">
        <v>65.944453005326565</v>
      </c>
      <c r="U953" s="53">
        <v>11.359434074464399</v>
      </c>
      <c r="V953" s="54">
        <v>261.31255461755688</v>
      </c>
      <c r="W953" s="54">
        <v>313.44344875570016</v>
      </c>
      <c r="X953" s="53">
        <v>35.789828737858244</v>
      </c>
      <c r="Y953" s="55">
        <v>349.02810694591187</v>
      </c>
      <c r="Z953" s="17" t="str">
        <f>SUBSTITUTE(SUBSTITUTE(SUBSTITUTE(SUBSTITUTE(IF(E953="","",VLOOKUP(E953,[1]Esquemas_NORM!$A$2:$H$126,8,FALSE)),"PROVINCIA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953" s="17" t="str">
        <f>IF($E953="","",INDEX([1]Esquemas_NORM!$H$2:$K$126,MATCH($E953,[1]Esquemas_NORM!$A$2:$A$126,0),MATCH(AA$4,[1]Esquemas_NORM!$H$1:$K$1,0)))</f>
        <v>A la fecha no ha conformado un EAT Región</v>
      </c>
      <c r="AB953" s="17" t="str">
        <f>IF($E953="","",INDEX([1]Esquemas_NORM!$H$2:$K$126,MATCH($E953,[1]Esquemas_NORM!$A$2:$A$126,0),MATCH(AB$4,[1]Esquemas_NORM!$H$1:$K$1,0)))</f>
        <v>A la fecha no ha conformado un EAT Área Metropolitana</v>
      </c>
      <c r="AC953" s="17" t="str">
        <f>IF($E953="","",INDEX([1]Esquemas_NORM!$H$2:$K$126,MATCH($E953,[1]Esquemas_NORM!$A$2:$A$126,0),MATCH(AC$4,[1]Esquemas_NORM!$H$1:$K$1,0)))</f>
        <v>ASOCIACION DE MUNICIPIOS DEL OCCIDENTE ANTIOQUEÑO - AMOCCIDENTE</v>
      </c>
      <c r="AD953" s="23"/>
    </row>
    <row r="954" spans="1:30" x14ac:dyDescent="0.25">
      <c r="A954" s="51">
        <v>2022</v>
      </c>
      <c r="B954" s="52" t="s">
        <v>36</v>
      </c>
      <c r="C954" s="52" t="s">
        <v>158</v>
      </c>
      <c r="D954" s="52" t="s">
        <v>163</v>
      </c>
      <c r="E954" s="52" t="s">
        <v>196</v>
      </c>
      <c r="F954" s="52" t="s">
        <v>161</v>
      </c>
      <c r="G954" s="52" t="s">
        <v>197</v>
      </c>
      <c r="H954" s="53">
        <v>12.793684819212716</v>
      </c>
      <c r="I954" s="53">
        <v>3.8589049988922519</v>
      </c>
      <c r="J954" s="54">
        <v>16.652589818104968</v>
      </c>
      <c r="K954" s="53">
        <v>2.5537958486333596</v>
      </c>
      <c r="L954" s="53">
        <v>7.529310098900714</v>
      </c>
      <c r="M954" s="54">
        <v>10.083105947534074</v>
      </c>
      <c r="N954" s="53">
        <v>9.5553927318375109</v>
      </c>
      <c r="O954" s="53">
        <v>35.768664905422582</v>
      </c>
      <c r="P954" s="53">
        <v>8.4847426237080956</v>
      </c>
      <c r="Q954" s="53">
        <v>5.1294475696187902</v>
      </c>
      <c r="R954" s="53">
        <v>27.332590763096292</v>
      </c>
      <c r="S954" s="53">
        <v>19.521944815590725</v>
      </c>
      <c r="T954" s="53">
        <v>27.315117648628572</v>
      </c>
      <c r="U954" s="53">
        <v>10.078556821502969</v>
      </c>
      <c r="V954" s="54">
        <v>143.18645787940551</v>
      </c>
      <c r="W954" s="54">
        <v>173.38792201792558</v>
      </c>
      <c r="X954" s="53">
        <v>19.797906317292032</v>
      </c>
      <c r="Y954" s="55">
        <v>193.07233387534961</v>
      </c>
      <c r="Z954" s="17" t="str">
        <f>SUBSTITUTE(SUBSTITUTE(SUBSTITUTE(SUBSTITUTE(IF(E954="","",VLOOKUP(E954,[1]Esquemas_NORM!$A$2:$H$126,8,FALSE)),"PROVINCIA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54" s="17" t="str">
        <f>IF($E954="","",INDEX([1]Esquemas_NORM!$H$2:$K$126,MATCH($E954,[1]Esquemas_NORM!$A$2:$A$126,0),MATCH(AA$4,[1]Esquemas_NORM!$H$1:$K$1,0)))</f>
        <v>A la fecha no ha conformado un EAT Región</v>
      </c>
      <c r="AB954" s="17" t="str">
        <f>IF($E954="","",INDEX([1]Esquemas_NORM!$H$2:$K$126,MATCH($E954,[1]Esquemas_NORM!$A$2:$A$126,0),MATCH(AB$4,[1]Esquemas_NORM!$H$1:$K$1,0)))</f>
        <v>A la fecha no ha conformado un EAT Área Metropolitana</v>
      </c>
      <c r="AC954" s="17" t="str">
        <f>IF($E954="","",INDEX([1]Esquemas_NORM!$H$2:$K$126,MATCH($E954,[1]Esquemas_NORM!$A$2:$A$126,0),MATCH(AC$4,[1]Esquemas_NORM!$H$1:$K$1,0)))</f>
        <v>ASOCIACION DE MUNICIPIOS DEL OCCIDENTE ANTIOQUEÑO - AMOCCIDENTE</v>
      </c>
      <c r="AD954" s="23"/>
    </row>
    <row r="955" spans="1:30" x14ac:dyDescent="0.25">
      <c r="A955" s="51">
        <v>2022</v>
      </c>
      <c r="B955" s="52" t="s">
        <v>36</v>
      </c>
      <c r="C955" s="52" t="s">
        <v>158</v>
      </c>
      <c r="D955" s="52" t="s">
        <v>159</v>
      </c>
      <c r="E955" s="52" t="s">
        <v>198</v>
      </c>
      <c r="F955" s="52" t="s">
        <v>161</v>
      </c>
      <c r="G955" s="52" t="s">
        <v>199</v>
      </c>
      <c r="H955" s="53">
        <v>32.867848715282705</v>
      </c>
      <c r="I955" s="53">
        <v>0.37905110931142455</v>
      </c>
      <c r="J955" s="54">
        <v>33.246899824594131</v>
      </c>
      <c r="K955" s="53">
        <v>0.65643873756961757</v>
      </c>
      <c r="L955" s="53">
        <v>4.9628074569371643</v>
      </c>
      <c r="M955" s="54">
        <v>5.6192461945067818</v>
      </c>
      <c r="N955" s="53">
        <v>2.4029464485860688</v>
      </c>
      <c r="O955" s="53">
        <v>9.5538632835133797</v>
      </c>
      <c r="P955" s="53">
        <v>1.7162362909557329</v>
      </c>
      <c r="Q955" s="53">
        <v>1.1455598697564719</v>
      </c>
      <c r="R955" s="53">
        <v>5.8689841786242649</v>
      </c>
      <c r="S955" s="53">
        <v>6.8558869300943561</v>
      </c>
      <c r="T955" s="53">
        <v>14.13019882154682</v>
      </c>
      <c r="U955" s="53">
        <v>2.7881926047869876</v>
      </c>
      <c r="V955" s="54">
        <v>44.461868427864076</v>
      </c>
      <c r="W955" s="54">
        <v>100.04669054005251</v>
      </c>
      <c r="X955" s="53">
        <v>11.423604271933426</v>
      </c>
      <c r="Y955" s="55">
        <v>111.40480729144684</v>
      </c>
      <c r="Z955" s="17" t="str">
        <f>SUBSTITUTE(SUBSTITUTE(SUBSTITUTE(SUBSTITUTE(IF(E955="","",VLOOKUP(E955,[1]Esquemas_NORM!$A$2:$H$126,8,FALSE)),"PROVINCIA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955" s="17" t="str">
        <f>IF($E955="","",INDEX([1]Esquemas_NORM!$H$2:$K$126,MATCH($E955,[1]Esquemas_NORM!$A$2:$A$126,0),MATCH(AA$4,[1]Esquemas_NORM!$H$1:$K$1,0)))</f>
        <v>Región de Planeación y Gestión de Occidente</v>
      </c>
      <c r="AB955" s="17" t="str">
        <f>IF($E955="","",INDEX([1]Esquemas_NORM!$H$2:$K$126,MATCH($E955,[1]Esquemas_NORM!$A$2:$A$126,0),MATCH(AB$4,[1]Esquemas_NORM!$H$1:$K$1,0)))</f>
        <v>A la fecha no ha conformado un EAT Área Metropolitana</v>
      </c>
      <c r="AC955" s="17" t="str">
        <f>IF($E955="","",INDEX([1]Esquemas_NORM!$H$2:$K$126,MATCH($E955,[1]Esquemas_NORM!$A$2:$A$126,0),MATCH(AC$4,[1]Esquemas_NORM!$H$1:$K$1,0)))</f>
        <v>ASOCIACION DE MUNICIPIOS DEL OCCIDENTE ANTIOQUEÑO - AMOCCIDENTE</v>
      </c>
      <c r="AD955" s="23"/>
    </row>
    <row r="956" spans="1:30" x14ac:dyDescent="0.25">
      <c r="A956" s="51">
        <v>2022</v>
      </c>
      <c r="B956" s="52" t="s">
        <v>36</v>
      </c>
      <c r="C956" s="52" t="s">
        <v>200</v>
      </c>
      <c r="D956" s="52" t="s">
        <v>201</v>
      </c>
      <c r="E956" s="52" t="s">
        <v>202</v>
      </c>
      <c r="F956" s="52" t="s">
        <v>203</v>
      </c>
      <c r="G956" s="52" t="s">
        <v>204</v>
      </c>
      <c r="H956" s="53">
        <v>264.16273214636794</v>
      </c>
      <c r="I956" s="53">
        <v>0.50980451226935364</v>
      </c>
      <c r="J956" s="54">
        <v>264.67253665863728</v>
      </c>
      <c r="K956" s="53">
        <v>10.874134374804473</v>
      </c>
      <c r="L956" s="53">
        <v>19.090303005137041</v>
      </c>
      <c r="M956" s="54">
        <v>29.964437379941515</v>
      </c>
      <c r="N956" s="53">
        <v>4.9533065191239727</v>
      </c>
      <c r="O956" s="53">
        <v>23.730237493903196</v>
      </c>
      <c r="P956" s="53">
        <v>7.944039238755451</v>
      </c>
      <c r="Q956" s="53">
        <v>5.9049324289635852</v>
      </c>
      <c r="R956" s="53">
        <v>24.003153814811569</v>
      </c>
      <c r="S956" s="53">
        <v>21.200216100985891</v>
      </c>
      <c r="T956" s="53">
        <v>40.220690970124849</v>
      </c>
      <c r="U956" s="53">
        <v>11.768162634087465</v>
      </c>
      <c r="V956" s="54">
        <v>139.72473920075601</v>
      </c>
      <c r="W956" s="54">
        <v>574.9452698469803</v>
      </c>
      <c r="X956" s="53">
        <v>65.648820618608511</v>
      </c>
      <c r="Y956" s="55">
        <v>640.21774877987559</v>
      </c>
      <c r="Z956" s="17" t="str">
        <f>SUBSTITUTE(SUBSTITUTE(SUBSTITUTE(SUBSTITUTE(IF(E956="","",VLOOKUP(E956,[1]Esquemas_NORM!$A$2:$H$126,8,FALSE)),"PROVINCIA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956" s="17" t="str">
        <f>IF($E956="","",INDEX([1]Esquemas_NORM!$H$2:$K$126,MATCH($E956,[1]Esquemas_NORM!$A$2:$A$126,0),MATCH(AA$4,[1]Esquemas_NORM!$H$1:$K$1,0)))</f>
        <v>A la fecha no ha conformado un EAT Región</v>
      </c>
      <c r="AB956" s="17" t="str">
        <f>IF($E956="","",INDEX([1]Esquemas_NORM!$H$2:$K$126,MATCH($E956,[1]Esquemas_NORM!$A$2:$A$126,0),MATCH(AB$4,[1]Esquemas_NORM!$H$1:$K$1,0)))</f>
        <v>A la fecha no ha conformado un EAT Área Metropolitana</v>
      </c>
      <c r="AC956" s="17" t="str">
        <f>IF($E956="","",INDEX([1]Esquemas_NORM!$H$2:$K$126,MATCH($E956,[1]Esquemas_NORM!$A$2:$A$126,0),MATCH(AC$4,[1]Esquemas_NORM!$H$1:$K$1,0)))</f>
        <v>MUNICIPIOS UNIDOS DEL SUR DE ANTIOQUIA - MUSA</v>
      </c>
      <c r="AD956" s="23"/>
    </row>
    <row r="957" spans="1:30" x14ac:dyDescent="0.25">
      <c r="A957" s="51">
        <v>2022</v>
      </c>
      <c r="B957" s="52" t="s">
        <v>36</v>
      </c>
      <c r="C957" s="52" t="s">
        <v>200</v>
      </c>
      <c r="D957" s="52" t="s">
        <v>205</v>
      </c>
      <c r="E957" s="52" t="s">
        <v>206</v>
      </c>
      <c r="F957" s="52" t="s">
        <v>203</v>
      </c>
      <c r="G957" s="52" t="s">
        <v>207</v>
      </c>
      <c r="H957" s="53">
        <v>6.3405088250358039</v>
      </c>
      <c r="I957" s="53">
        <v>0</v>
      </c>
      <c r="J957" s="54">
        <v>6.3405088250358039</v>
      </c>
      <c r="K957" s="53">
        <v>0.52302839370079124</v>
      </c>
      <c r="L957" s="53">
        <v>2.6019051500422274</v>
      </c>
      <c r="M957" s="54">
        <v>3.1249335437430186</v>
      </c>
      <c r="N957" s="53">
        <v>19.200039046609753</v>
      </c>
      <c r="O957" s="53">
        <v>4.2432913014123654</v>
      </c>
      <c r="P957" s="53">
        <v>0.81702978754500122</v>
      </c>
      <c r="Q957" s="53">
        <v>0.64013815580089461</v>
      </c>
      <c r="R957" s="53">
        <v>3.6187007758357481</v>
      </c>
      <c r="S957" s="53">
        <v>3.076801085882602</v>
      </c>
      <c r="T957" s="53">
        <v>3.625015092895755</v>
      </c>
      <c r="U957" s="53">
        <v>1.515195729443948</v>
      </c>
      <c r="V957" s="54">
        <v>36.736210975426069</v>
      </c>
      <c r="W957" s="54">
        <v>53.652492941817201</v>
      </c>
      <c r="X957" s="53">
        <v>6.1261881253823791</v>
      </c>
      <c r="Y957" s="55">
        <v>59.743561777250633</v>
      </c>
      <c r="Z957" s="17" t="str">
        <f>SUBSTITUTE(SUBSTITUTE(SUBSTITUTE(SUBSTITUTE(IF(E957="","",VLOOKUP(E957,[1]Esquemas_NORM!$A$2:$H$126,8,FALSE)),"PROVINCIA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57" s="17" t="str">
        <f>IF($E957="","",INDEX([1]Esquemas_NORM!$H$2:$K$126,MATCH($E957,[1]Esquemas_NORM!$A$2:$A$126,0),MATCH(AA$4,[1]Esquemas_NORM!$H$1:$K$1,0)))</f>
        <v>A la fecha no ha conformado un EAT Región</v>
      </c>
      <c r="AB957" s="17" t="str">
        <f>IF($E957="","",INDEX([1]Esquemas_NORM!$H$2:$K$126,MATCH($E957,[1]Esquemas_NORM!$A$2:$A$126,0),MATCH(AB$4,[1]Esquemas_NORM!$H$1:$K$1,0)))</f>
        <v>A la fecha no ha conformado un EAT Área Metropolitana</v>
      </c>
      <c r="AC957" s="17" t="str">
        <f>IF($E957="","",INDEX([1]Esquemas_NORM!$H$2:$K$126,MATCH($E957,[1]Esquemas_NORM!$A$2:$A$126,0),MATCH(AC$4,[1]Esquemas_NORM!$H$1:$K$1,0)))</f>
        <v>A la fecha no ha conformado un EAT asociación - unión</v>
      </c>
      <c r="AD957" s="23"/>
    </row>
    <row r="958" spans="1:30" x14ac:dyDescent="0.25">
      <c r="A958" s="51">
        <v>2022</v>
      </c>
      <c r="B958" s="52" t="s">
        <v>36</v>
      </c>
      <c r="C958" s="52" t="s">
        <v>200</v>
      </c>
      <c r="D958" s="52" t="s">
        <v>201</v>
      </c>
      <c r="E958" s="52" t="s">
        <v>208</v>
      </c>
      <c r="F958" s="52" t="s">
        <v>203</v>
      </c>
      <c r="G958" s="52" t="s">
        <v>209</v>
      </c>
      <c r="H958" s="53">
        <v>16.071554558409247</v>
      </c>
      <c r="I958" s="53">
        <v>0</v>
      </c>
      <c r="J958" s="54">
        <v>16.071554558409247</v>
      </c>
      <c r="K958" s="53">
        <v>0.97213996369852118</v>
      </c>
      <c r="L958" s="53">
        <v>3.4498655170250765</v>
      </c>
      <c r="M958" s="54">
        <v>4.4220054807235973</v>
      </c>
      <c r="N958" s="53">
        <v>1.0911325260405103</v>
      </c>
      <c r="O958" s="53">
        <v>8.5302729160218878</v>
      </c>
      <c r="P958" s="53">
        <v>2.7438786089322895</v>
      </c>
      <c r="Q958" s="53">
        <v>2.3600512362602561</v>
      </c>
      <c r="R958" s="53">
        <v>8.623445769279428</v>
      </c>
      <c r="S958" s="53">
        <v>6.2415386002764874</v>
      </c>
      <c r="T958" s="53">
        <v>15.832965001379451</v>
      </c>
      <c r="U958" s="53">
        <v>3.3951167821476904</v>
      </c>
      <c r="V958" s="54">
        <v>48.818401440338</v>
      </c>
      <c r="W958" s="54">
        <v>74.940770085944024</v>
      </c>
      <c r="X958" s="53">
        <v>8.5569417306547066</v>
      </c>
      <c r="Y958" s="55">
        <v>83.44865786794999</v>
      </c>
      <c r="Z958" s="17" t="str">
        <f>SUBSTITUTE(SUBSTITUTE(SUBSTITUTE(SUBSTITUTE(IF(E958="","",VLOOKUP(E958,[1]Esquemas_NORM!$A$2:$H$126,8,FALSE)),"PROVINCIA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958" s="17" t="str">
        <f>IF($E958="","",INDEX([1]Esquemas_NORM!$H$2:$K$126,MATCH($E958,[1]Esquemas_NORM!$A$2:$A$126,0),MATCH(AA$4,[1]Esquemas_NORM!$H$1:$K$1,0)))</f>
        <v>A la fecha no ha conformado un EAT Región</v>
      </c>
      <c r="AB958" s="17" t="str">
        <f>IF($E958="","",INDEX([1]Esquemas_NORM!$H$2:$K$126,MATCH($E958,[1]Esquemas_NORM!$A$2:$A$126,0),MATCH(AB$4,[1]Esquemas_NORM!$H$1:$K$1,0)))</f>
        <v>A la fecha no ha conformado un EAT Área Metropolitana</v>
      </c>
      <c r="AC958" s="17" t="str">
        <f>IF($E958="","",INDEX([1]Esquemas_NORM!$H$2:$K$126,MATCH($E958,[1]Esquemas_NORM!$A$2:$A$126,0),MATCH(AC$4,[1]Esquemas_NORM!$H$1:$K$1,0)))</f>
        <v>MUNICIPIOS UNIDOS DEL SUR DE ANTIOQUIA - MUSA</v>
      </c>
      <c r="AD958" s="23"/>
    </row>
    <row r="959" spans="1:30" x14ac:dyDescent="0.25">
      <c r="A959" s="51">
        <v>2022</v>
      </c>
      <c r="B959" s="52" t="s">
        <v>36</v>
      </c>
      <c r="C959" s="52" t="s">
        <v>200</v>
      </c>
      <c r="D959" s="52" t="s">
        <v>210</v>
      </c>
      <c r="E959" s="52" t="s">
        <v>211</v>
      </c>
      <c r="F959" s="52" t="s">
        <v>203</v>
      </c>
      <c r="G959" s="52" t="s">
        <v>212</v>
      </c>
      <c r="H959" s="53">
        <v>16.615552740181933</v>
      </c>
      <c r="I959" s="53">
        <v>0.35297290309397977</v>
      </c>
      <c r="J959" s="54">
        <v>16.968525643275914</v>
      </c>
      <c r="K959" s="53">
        <v>7.3171592827622547</v>
      </c>
      <c r="L959" s="53">
        <v>1.9091158750450636</v>
      </c>
      <c r="M959" s="54">
        <v>9.2262751578073185</v>
      </c>
      <c r="N959" s="53">
        <v>40.405601596296961</v>
      </c>
      <c r="O959" s="53">
        <v>18.702699692236372</v>
      </c>
      <c r="P959" s="53">
        <v>4.9190918743022634</v>
      </c>
      <c r="Q959" s="53">
        <v>2.9970152487981108</v>
      </c>
      <c r="R959" s="53">
        <v>16.45804127527671</v>
      </c>
      <c r="S959" s="53">
        <v>13.61954751868593</v>
      </c>
      <c r="T959" s="53">
        <v>17.758750181847208</v>
      </c>
      <c r="U959" s="53">
        <v>6.4200015914773356</v>
      </c>
      <c r="V959" s="54">
        <v>121.28074897892088</v>
      </c>
      <c r="W959" s="54">
        <v>162.48438288212475</v>
      </c>
      <c r="X959" s="53">
        <v>18.552910450071806</v>
      </c>
      <c r="Y959" s="55">
        <v>180.93093599739748</v>
      </c>
      <c r="Z959" s="17" t="str">
        <f>SUBSTITUTE(SUBSTITUTE(SUBSTITUTE(SUBSTITUTE(IF(E959="","",VLOOKUP(E959,[1]Esquemas_NORM!$A$2:$H$126,8,FALSE)),"PROVINCIA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59" s="17" t="str">
        <f>IF($E959="","",INDEX([1]Esquemas_NORM!$H$2:$K$126,MATCH($E959,[1]Esquemas_NORM!$A$2:$A$126,0),MATCH(AA$4,[1]Esquemas_NORM!$H$1:$K$1,0)))</f>
        <v>A la fecha no ha conformado un EAT Región</v>
      </c>
      <c r="AB959" s="17" t="str">
        <f>IF($E959="","",INDEX([1]Esquemas_NORM!$H$2:$K$126,MATCH($E959,[1]Esquemas_NORM!$A$2:$A$126,0),MATCH(AB$4,[1]Esquemas_NORM!$H$1:$K$1,0)))</f>
        <v>A la fecha no ha conformado un EAT Área Metropolitana</v>
      </c>
      <c r="AC959" s="17" t="str">
        <f>IF($E959="","",INDEX([1]Esquemas_NORM!$H$2:$K$126,MATCH($E959,[1]Esquemas_NORM!$A$2:$A$126,0),MATCH(AC$4,[1]Esquemas_NORM!$H$1:$K$1,0)))</f>
        <v>A la fecha no ha conformado un EAT asociación - unión</v>
      </c>
      <c r="AD959" s="23"/>
    </row>
    <row r="960" spans="1:30" x14ac:dyDescent="0.25">
      <c r="A960" s="51">
        <v>2022</v>
      </c>
      <c r="B960" s="52" t="s">
        <v>36</v>
      </c>
      <c r="C960" s="52" t="s">
        <v>200</v>
      </c>
      <c r="D960" s="52" t="s">
        <v>205</v>
      </c>
      <c r="E960" s="52" t="s">
        <v>213</v>
      </c>
      <c r="F960" s="52" t="s">
        <v>203</v>
      </c>
      <c r="G960" s="52" t="s">
        <v>214</v>
      </c>
      <c r="H960" s="53">
        <v>13.619144739222801</v>
      </c>
      <c r="I960" s="53">
        <v>9.6105639614738891E-2</v>
      </c>
      <c r="J960" s="54">
        <v>13.71525037883754</v>
      </c>
      <c r="K960" s="53">
        <v>0.81365074290362061</v>
      </c>
      <c r="L960" s="53">
        <v>2.6198515164641574</v>
      </c>
      <c r="M960" s="54">
        <v>3.4335022593677778</v>
      </c>
      <c r="N960" s="53">
        <v>13.487878825441641</v>
      </c>
      <c r="O960" s="53">
        <v>3.549768963729381</v>
      </c>
      <c r="P960" s="53">
        <v>0.94820057436597394</v>
      </c>
      <c r="Q960" s="53">
        <v>0.64035338503247297</v>
      </c>
      <c r="R960" s="53">
        <v>5.113754845946322</v>
      </c>
      <c r="S960" s="53">
        <v>3.0715225188790716</v>
      </c>
      <c r="T960" s="53">
        <v>4.7073716258368767</v>
      </c>
      <c r="U960" s="53">
        <v>1.4493364888556184</v>
      </c>
      <c r="V960" s="54">
        <v>32.968187228087359</v>
      </c>
      <c r="W960" s="54">
        <v>59.850652722535486</v>
      </c>
      <c r="X960" s="53">
        <v>6.8339109312718689</v>
      </c>
      <c r="Y960" s="55">
        <v>66.645387236993457</v>
      </c>
      <c r="Z960" s="17" t="str">
        <f>SUBSTITUTE(SUBSTITUTE(SUBSTITUTE(SUBSTITUTE(IF(E960="","",VLOOKUP(E960,[1]Esquemas_NORM!$A$2:$H$126,8,FALSE)),"PROVINCIA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60" s="17" t="str">
        <f>IF($E960="","",INDEX([1]Esquemas_NORM!$H$2:$K$126,MATCH($E960,[1]Esquemas_NORM!$A$2:$A$126,0),MATCH(AA$4,[1]Esquemas_NORM!$H$1:$K$1,0)))</f>
        <v>A la fecha no ha conformado un EAT Región</v>
      </c>
      <c r="AB960" s="17" t="str">
        <f>IF($E960="","",INDEX([1]Esquemas_NORM!$H$2:$K$126,MATCH($E960,[1]Esquemas_NORM!$A$2:$A$126,0),MATCH(AB$4,[1]Esquemas_NORM!$H$1:$K$1,0)))</f>
        <v>A la fecha no ha conformado un EAT Área Metropolitana</v>
      </c>
      <c r="AC960" s="17" t="str">
        <f>IF($E960="","",INDEX([1]Esquemas_NORM!$H$2:$K$126,MATCH($E960,[1]Esquemas_NORM!$A$2:$A$126,0),MATCH(AC$4,[1]Esquemas_NORM!$H$1:$K$1,0)))</f>
        <v>A la fecha no ha conformado un EAT asociación - unión</v>
      </c>
      <c r="AD960" s="23"/>
    </row>
    <row r="961" spans="1:30" x14ac:dyDescent="0.25">
      <c r="A961" s="51">
        <v>2022</v>
      </c>
      <c r="B961" s="52" t="s">
        <v>36</v>
      </c>
      <c r="C961" s="52" t="s">
        <v>200</v>
      </c>
      <c r="D961" s="52" t="s">
        <v>215</v>
      </c>
      <c r="E961" s="52" t="s">
        <v>216</v>
      </c>
      <c r="F961" s="52" t="s">
        <v>203</v>
      </c>
      <c r="G961" s="52" t="s">
        <v>217</v>
      </c>
      <c r="H961" s="53">
        <v>92.261887697295492</v>
      </c>
      <c r="I961" s="53">
        <v>0</v>
      </c>
      <c r="J961" s="54">
        <v>92.261887697295492</v>
      </c>
      <c r="K961" s="53">
        <v>29.29647820495439</v>
      </c>
      <c r="L961" s="53">
        <v>14.021830426944748</v>
      </c>
      <c r="M961" s="54">
        <v>43.318308631899136</v>
      </c>
      <c r="N961" s="53">
        <v>23.393040967740436</v>
      </c>
      <c r="O961" s="53">
        <v>148.12901353262671</v>
      </c>
      <c r="P961" s="53">
        <v>27.712782849094019</v>
      </c>
      <c r="Q961" s="53">
        <v>24.574764074729043</v>
      </c>
      <c r="R961" s="53">
        <v>111.6506911331856</v>
      </c>
      <c r="S961" s="53">
        <v>76.154889207242647</v>
      </c>
      <c r="T961" s="53">
        <v>72.316905561828349</v>
      </c>
      <c r="U961" s="53">
        <v>37.834563251131627</v>
      </c>
      <c r="V961" s="54">
        <v>521.7666505775785</v>
      </c>
      <c r="W961" s="54">
        <v>685.24598958396143</v>
      </c>
      <c r="X961" s="53">
        <v>78.243257939716102</v>
      </c>
      <c r="Y961" s="55">
        <v>763.04070634180448</v>
      </c>
      <c r="Z961" s="17" t="str">
        <f>SUBSTITUTE(SUBSTITUTE(SUBSTITUTE(SUBSTITUTE(IF(E961="","",VLOOKUP(E961,[1]Esquemas_NORM!$A$2:$H$126,8,FALSE)),"PROVINCIA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61" s="17" t="str">
        <f>IF($E961="","",INDEX([1]Esquemas_NORM!$H$2:$K$126,MATCH($E961,[1]Esquemas_NORM!$A$2:$A$126,0),MATCH(AA$4,[1]Esquemas_NORM!$H$1:$K$1,0)))</f>
        <v>A la fecha no ha conformado un EAT Región</v>
      </c>
      <c r="AB961" s="17" t="str">
        <f>IF($E961="","",INDEX([1]Esquemas_NORM!$H$2:$K$126,MATCH($E961,[1]Esquemas_NORM!$A$2:$A$126,0),MATCH(AB$4,[1]Esquemas_NORM!$H$1:$K$1,0)))</f>
        <v>A la fecha no ha conformado un EAT Área Metropolitana</v>
      </c>
      <c r="AC961" s="17" t="str">
        <f>IF($E961="","",INDEX([1]Esquemas_NORM!$H$2:$K$126,MATCH($E961,[1]Esquemas_NORM!$A$2:$A$126,0),MATCH(AC$4,[1]Esquemas_NORM!$H$1:$K$1,0)))</f>
        <v>MUNICIPIOS ASOCIADOS DEL ALTIPLANO DEL ORIENTE ANTIOQUEÑO - MASORA</v>
      </c>
      <c r="AD961" s="23"/>
    </row>
    <row r="962" spans="1:30" x14ac:dyDescent="0.25">
      <c r="A962" s="51">
        <v>2022</v>
      </c>
      <c r="B962" s="52" t="s">
        <v>36</v>
      </c>
      <c r="C962" s="52" t="s">
        <v>200</v>
      </c>
      <c r="D962" s="52" t="s">
        <v>205</v>
      </c>
      <c r="E962" s="52" t="s">
        <v>218</v>
      </c>
      <c r="F962" s="52" t="s">
        <v>203</v>
      </c>
      <c r="G962" s="52" t="s">
        <v>219</v>
      </c>
      <c r="H962" s="53">
        <v>196.49117232262256</v>
      </c>
      <c r="I962" s="53">
        <v>0</v>
      </c>
      <c r="J962" s="54">
        <v>196.49117232262256</v>
      </c>
      <c r="K962" s="53">
        <v>7.9654883297867043</v>
      </c>
      <c r="L962" s="53">
        <v>19.280350758815654</v>
      </c>
      <c r="M962" s="54">
        <v>27.245839088602359</v>
      </c>
      <c r="N962" s="53">
        <v>5.9987021898228399</v>
      </c>
      <c r="O962" s="53">
        <v>42.91555445150621</v>
      </c>
      <c r="P962" s="53">
        <v>9.8089365100415353</v>
      </c>
      <c r="Q962" s="53">
        <v>5.9406301195217655</v>
      </c>
      <c r="R962" s="53">
        <v>43.423816266630652</v>
      </c>
      <c r="S962" s="53">
        <v>19.483786206521927</v>
      </c>
      <c r="T962" s="53">
        <v>27.262448811235082</v>
      </c>
      <c r="U962" s="53">
        <v>11.940946073765195</v>
      </c>
      <c r="V962" s="54">
        <v>166.77482062904519</v>
      </c>
      <c r="W962" s="54">
        <v>491.62662888944863</v>
      </c>
      <c r="X962" s="53">
        <v>56.13527071870508</v>
      </c>
      <c r="Y962" s="55">
        <v>547.4400957705343</v>
      </c>
      <c r="Z962" s="17" t="str">
        <f>SUBSTITUTE(SUBSTITUTE(SUBSTITUTE(SUBSTITUTE(IF(E962="","",VLOOKUP(E962,[1]Esquemas_NORM!$A$2:$H$126,8,FALSE)),"PROVINCIA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62" s="17" t="str">
        <f>IF($E962="","",INDEX([1]Esquemas_NORM!$H$2:$K$126,MATCH($E962,[1]Esquemas_NORM!$A$2:$A$126,0),MATCH(AA$4,[1]Esquemas_NORM!$H$1:$K$1,0)))</f>
        <v>A la fecha no ha conformado un EAT Región</v>
      </c>
      <c r="AB962" s="17" t="str">
        <f>IF($E962="","",INDEX([1]Esquemas_NORM!$H$2:$K$126,MATCH($E962,[1]Esquemas_NORM!$A$2:$A$126,0),MATCH(AB$4,[1]Esquemas_NORM!$H$1:$K$1,0)))</f>
        <v>A la fecha no ha conformado un EAT Área Metropolitana</v>
      </c>
      <c r="AC962" s="17" t="str">
        <f>IF($E962="","",INDEX([1]Esquemas_NORM!$H$2:$K$126,MATCH($E962,[1]Esquemas_NORM!$A$2:$A$126,0),MATCH(AC$4,[1]Esquemas_NORM!$H$1:$K$1,0)))</f>
        <v>A la fecha no ha conformado un EAT asociación - unión</v>
      </c>
      <c r="AD962" s="23"/>
    </row>
    <row r="963" spans="1:30" x14ac:dyDescent="0.25">
      <c r="A963" s="51">
        <v>2022</v>
      </c>
      <c r="B963" s="52" t="s">
        <v>36</v>
      </c>
      <c r="C963" s="52" t="s">
        <v>200</v>
      </c>
      <c r="D963" s="52" t="s">
        <v>215</v>
      </c>
      <c r="E963" s="52" t="s">
        <v>220</v>
      </c>
      <c r="F963" s="52" t="s">
        <v>203</v>
      </c>
      <c r="G963" s="52" t="s">
        <v>221</v>
      </c>
      <c r="H963" s="53">
        <v>66.629361025519827</v>
      </c>
      <c r="I963" s="53">
        <v>0.87104726195261184</v>
      </c>
      <c r="J963" s="54">
        <v>67.500408287472439</v>
      </c>
      <c r="K963" s="53">
        <v>19.478262413699053</v>
      </c>
      <c r="L963" s="53">
        <v>20.02311204055664</v>
      </c>
      <c r="M963" s="54">
        <v>39.501374454255696</v>
      </c>
      <c r="N963" s="53">
        <v>26.628471412568061</v>
      </c>
      <c r="O963" s="53">
        <v>128.56471485715136</v>
      </c>
      <c r="P963" s="53">
        <v>26.58062682906348</v>
      </c>
      <c r="Q963" s="53">
        <v>15.127377083210598</v>
      </c>
      <c r="R963" s="53">
        <v>94.662730498929619</v>
      </c>
      <c r="S963" s="53">
        <v>58.53342968964354</v>
      </c>
      <c r="T963" s="53">
        <v>65.454777712593554</v>
      </c>
      <c r="U963" s="53">
        <v>26.38844260683295</v>
      </c>
      <c r="V963" s="54">
        <v>441.94057068999319</v>
      </c>
      <c r="W963" s="54">
        <v>568.75267910092964</v>
      </c>
      <c r="X963" s="53">
        <v>64.941733700360814</v>
      </c>
      <c r="Y963" s="55">
        <v>633.32212459711957</v>
      </c>
      <c r="Z963" s="17" t="str">
        <f>SUBSTITUTE(SUBSTITUTE(SUBSTITUTE(SUBSTITUTE(IF(E963="","",VLOOKUP(E963,[1]Esquemas_NORM!$A$2:$H$126,8,FALSE)),"PROVINCIA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63" s="17" t="str">
        <f>IF($E963="","",INDEX([1]Esquemas_NORM!$H$2:$K$126,MATCH($E963,[1]Esquemas_NORM!$A$2:$A$126,0),MATCH(AA$4,[1]Esquemas_NORM!$H$1:$K$1,0)))</f>
        <v>A la fecha no ha conformado un EAT Región</v>
      </c>
      <c r="AB963" s="17" t="str">
        <f>IF($E963="","",INDEX([1]Esquemas_NORM!$H$2:$K$126,MATCH($E963,[1]Esquemas_NORM!$A$2:$A$126,0),MATCH(AB$4,[1]Esquemas_NORM!$H$1:$K$1,0)))</f>
        <v>A la fecha no ha conformado un EAT Área Metropolitana</v>
      </c>
      <c r="AC963" s="17" t="str">
        <f>IF($E963="","",INDEX([1]Esquemas_NORM!$H$2:$K$126,MATCH($E963,[1]Esquemas_NORM!$A$2:$A$126,0),MATCH(AC$4,[1]Esquemas_NORM!$H$1:$K$1,0)))</f>
        <v>MUNICIPIOS ASOCIADOS DEL ALTIPLANO DEL ORIENTE ANTIOQUEÑO - MASORA</v>
      </c>
      <c r="AD963" s="23"/>
    </row>
    <row r="964" spans="1:30" x14ac:dyDescent="0.25">
      <c r="A964" s="51">
        <v>2022</v>
      </c>
      <c r="B964" s="52" t="s">
        <v>36</v>
      </c>
      <c r="C964" s="52" t="s">
        <v>200</v>
      </c>
      <c r="D964" s="52" t="s">
        <v>215</v>
      </c>
      <c r="E964" s="52" t="s">
        <v>222</v>
      </c>
      <c r="F964" s="52" t="s">
        <v>203</v>
      </c>
      <c r="G964" s="52" t="s">
        <v>223</v>
      </c>
      <c r="H964" s="53">
        <v>125.35907340511733</v>
      </c>
      <c r="I964" s="53">
        <v>0</v>
      </c>
      <c r="J964" s="54">
        <v>125.35907340511733</v>
      </c>
      <c r="K964" s="53">
        <v>26.357306678962939</v>
      </c>
      <c r="L964" s="53">
        <v>10.326630813332672</v>
      </c>
      <c r="M964" s="54">
        <v>36.683937492295613</v>
      </c>
      <c r="N964" s="53">
        <v>7.6550605794550988</v>
      </c>
      <c r="O964" s="53">
        <v>82.836654183049404</v>
      </c>
      <c r="P964" s="53">
        <v>12.719783906779607</v>
      </c>
      <c r="Q964" s="53">
        <v>13.094080545861907</v>
      </c>
      <c r="R964" s="53">
        <v>50.438878162138778</v>
      </c>
      <c r="S964" s="53">
        <v>38.188175623346105</v>
      </c>
      <c r="T964" s="53">
        <v>49.143977361172816</v>
      </c>
      <c r="U964" s="53">
        <v>16.25540248355345</v>
      </c>
      <c r="V964" s="54">
        <v>270.33201284535716</v>
      </c>
      <c r="W964" s="54">
        <v>490.28475958015309</v>
      </c>
      <c r="X964" s="53">
        <v>55.982052417439839</v>
      </c>
      <c r="Y964" s="55">
        <v>545.94588650680737</v>
      </c>
      <c r="Z964" s="17" t="str">
        <f>SUBSTITUTE(SUBSTITUTE(SUBSTITUTE(SUBSTITUTE(IF(E964="","",VLOOKUP(E964,[1]Esquemas_NORM!$A$2:$H$126,8,FALSE)),"PROVINCIA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64" s="17" t="str">
        <f>IF($E964="","",INDEX([1]Esquemas_NORM!$H$2:$K$126,MATCH($E964,[1]Esquemas_NORM!$A$2:$A$126,0),MATCH(AA$4,[1]Esquemas_NORM!$H$1:$K$1,0)))</f>
        <v>Región de Planeación y Gestión Aeroportuaria de Oriente</v>
      </c>
      <c r="AB964" s="17" t="str">
        <f>IF($E964="","",INDEX([1]Esquemas_NORM!$H$2:$K$126,MATCH($E964,[1]Esquemas_NORM!$A$2:$A$126,0),MATCH(AB$4,[1]Esquemas_NORM!$H$1:$K$1,0)))</f>
        <v>A la fecha no ha conformado un EAT Área Metropolitana</v>
      </c>
      <c r="AC964" s="17" t="str">
        <f>IF($E964="","",INDEX([1]Esquemas_NORM!$H$2:$K$126,MATCH($E964,[1]Esquemas_NORM!$A$2:$A$126,0),MATCH(AC$4,[1]Esquemas_NORM!$H$1:$K$1,0)))</f>
        <v>MUNICIPIOS ASOCIADOS DEL ALTIPLANO DEL ORIENTE ANTIOQUEÑO - MASORA</v>
      </c>
      <c r="AD964" s="23"/>
    </row>
    <row r="965" spans="1:30" x14ac:dyDescent="0.25">
      <c r="A965" s="51">
        <v>2022</v>
      </c>
      <c r="B965" s="52" t="s">
        <v>36</v>
      </c>
      <c r="C965" s="52" t="s">
        <v>200</v>
      </c>
      <c r="D965" s="52" t="s">
        <v>205</v>
      </c>
      <c r="E965" s="52" t="s">
        <v>224</v>
      </c>
      <c r="F965" s="52" t="s">
        <v>203</v>
      </c>
      <c r="G965" s="52" t="s">
        <v>225</v>
      </c>
      <c r="H965" s="53">
        <v>12.527811727962714</v>
      </c>
      <c r="I965" s="53">
        <v>0</v>
      </c>
      <c r="J965" s="54">
        <v>12.527811727962714</v>
      </c>
      <c r="K965" s="53">
        <v>2.716870061822616</v>
      </c>
      <c r="L965" s="53">
        <v>2.3166139050182792</v>
      </c>
      <c r="M965" s="54">
        <v>5.0334839668408957</v>
      </c>
      <c r="N965" s="53">
        <v>6.1602078740475115</v>
      </c>
      <c r="O965" s="53">
        <v>12.08946874039782</v>
      </c>
      <c r="P965" s="53">
        <v>3.2943346715481563</v>
      </c>
      <c r="Q965" s="53">
        <v>2.3732544087165626</v>
      </c>
      <c r="R965" s="53">
        <v>14.970231112858368</v>
      </c>
      <c r="S965" s="53">
        <v>7.1640166169194863</v>
      </c>
      <c r="T965" s="53">
        <v>12.998214287200879</v>
      </c>
      <c r="U965" s="53">
        <v>4.4887736918669896</v>
      </c>
      <c r="V965" s="54">
        <v>63.538501403555777</v>
      </c>
      <c r="W965" s="54">
        <v>85.403770862960229</v>
      </c>
      <c r="X965" s="53">
        <v>9.7516357253132142</v>
      </c>
      <c r="Y965" s="55">
        <v>95.099503877565795</v>
      </c>
      <c r="Z965" s="17" t="str">
        <f>SUBSTITUTE(SUBSTITUTE(SUBSTITUTE(SUBSTITUTE(IF(E965="","",VLOOKUP(E965,[1]Esquemas_NORM!$A$2:$H$126,8,FALSE)),"PROVINCIA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65" s="17" t="str">
        <f>IF($E965="","",INDEX([1]Esquemas_NORM!$H$2:$K$126,MATCH($E965,[1]Esquemas_NORM!$A$2:$A$126,0),MATCH(AA$4,[1]Esquemas_NORM!$H$1:$K$1,0)))</f>
        <v>A la fecha no ha conformado un EAT Región</v>
      </c>
      <c r="AB965" s="17" t="str">
        <f>IF($E965="","",INDEX([1]Esquemas_NORM!$H$2:$K$126,MATCH($E965,[1]Esquemas_NORM!$A$2:$A$126,0),MATCH(AB$4,[1]Esquemas_NORM!$H$1:$K$1,0)))</f>
        <v>A la fecha no ha conformado un EAT Área Metropolitana</v>
      </c>
      <c r="AC965" s="17" t="str">
        <f>IF($E965="","",INDEX([1]Esquemas_NORM!$H$2:$K$126,MATCH($E965,[1]Esquemas_NORM!$A$2:$A$126,0),MATCH(AC$4,[1]Esquemas_NORM!$H$1:$K$1,0)))</f>
        <v>A la fecha no ha conformado un EAT asociación - unión</v>
      </c>
      <c r="AD965" s="23"/>
    </row>
    <row r="966" spans="1:30" x14ac:dyDescent="0.25">
      <c r="A966" s="51">
        <v>2022</v>
      </c>
      <c r="B966" s="52" t="s">
        <v>36</v>
      </c>
      <c r="C966" s="52" t="s">
        <v>200</v>
      </c>
      <c r="D966" s="52" t="s">
        <v>215</v>
      </c>
      <c r="E966" s="52" t="s">
        <v>226</v>
      </c>
      <c r="F966" s="52" t="s">
        <v>203</v>
      </c>
      <c r="G966" s="52" t="s">
        <v>227</v>
      </c>
      <c r="H966" s="53">
        <v>41.59612084592387</v>
      </c>
      <c r="I966" s="53">
        <v>0</v>
      </c>
      <c r="J966" s="54">
        <v>41.59612084592387</v>
      </c>
      <c r="K966" s="53">
        <v>651.46400821699694</v>
      </c>
      <c r="L966" s="53">
        <v>93.076127193367412</v>
      </c>
      <c r="M966" s="54">
        <v>744.54013541036431</v>
      </c>
      <c r="N966" s="53">
        <v>44.511394457416039</v>
      </c>
      <c r="O966" s="53">
        <v>180.37661749051045</v>
      </c>
      <c r="P966" s="53">
        <v>38.150322527790728</v>
      </c>
      <c r="Q966" s="53">
        <v>20.072817403464217</v>
      </c>
      <c r="R966" s="53">
        <v>108.35495792850742</v>
      </c>
      <c r="S966" s="53">
        <v>87.341195728058565</v>
      </c>
      <c r="T966" s="53">
        <v>54.577230871054169</v>
      </c>
      <c r="U966" s="53">
        <v>33.856197612400649</v>
      </c>
      <c r="V966" s="54">
        <v>567.24073401920214</v>
      </c>
      <c r="W966" s="54">
        <v>1296.498299729994</v>
      </c>
      <c r="X966" s="53">
        <v>148.0377155447421</v>
      </c>
      <c r="Y966" s="55">
        <v>1443.6873669229064</v>
      </c>
      <c r="Z966" s="17" t="str">
        <f>SUBSTITUTE(SUBSTITUTE(SUBSTITUTE(SUBSTITUTE(IF(E966="","",VLOOKUP(E966,[1]Esquemas_NORM!$A$2:$H$126,8,FALSE)),"PROVINCIA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66" s="17" t="str">
        <f>IF($E966="","",INDEX([1]Esquemas_NORM!$H$2:$K$126,MATCH($E966,[1]Esquemas_NORM!$A$2:$A$126,0),MATCH(AA$4,[1]Esquemas_NORM!$H$1:$K$1,0)))</f>
        <v>A la fecha no ha conformado un EAT Región</v>
      </c>
      <c r="AB966" s="17" t="str">
        <f>IF($E966="","",INDEX([1]Esquemas_NORM!$H$2:$K$126,MATCH($E966,[1]Esquemas_NORM!$A$2:$A$126,0),MATCH(AB$4,[1]Esquemas_NORM!$H$1:$K$1,0)))</f>
        <v>A la fecha no ha conformado un EAT Área Metropolitana</v>
      </c>
      <c r="AC966" s="17" t="str">
        <f>IF($E966="","",INDEX([1]Esquemas_NORM!$H$2:$K$126,MATCH($E966,[1]Esquemas_NORM!$A$2:$A$126,0),MATCH(AC$4,[1]Esquemas_NORM!$H$1:$K$1,0)))</f>
        <v>MUNICIPIOS ASOCIADOS DEL ALTIPLANO DEL ORIENTE ANTIOQUEÑO - MASORA</v>
      </c>
      <c r="AD966" s="23"/>
    </row>
    <row r="967" spans="1:30" x14ac:dyDescent="0.25">
      <c r="A967" s="51">
        <v>2022</v>
      </c>
      <c r="B967" s="52" t="s">
        <v>36</v>
      </c>
      <c r="C967" s="52" t="s">
        <v>200</v>
      </c>
      <c r="D967" s="52" t="s">
        <v>205</v>
      </c>
      <c r="E967" s="52" t="s">
        <v>228</v>
      </c>
      <c r="F967" s="52" t="s">
        <v>203</v>
      </c>
      <c r="G967" s="52" t="s">
        <v>229</v>
      </c>
      <c r="H967" s="53">
        <v>3.4923841730884173</v>
      </c>
      <c r="I967" s="53">
        <v>0</v>
      </c>
      <c r="J967" s="54">
        <v>3.4923841730884173</v>
      </c>
      <c r="K967" s="53">
        <v>6.4709502347938788</v>
      </c>
      <c r="L967" s="53">
        <v>13.450788673727901</v>
      </c>
      <c r="M967" s="54">
        <v>19.921738908521782</v>
      </c>
      <c r="N967" s="53">
        <v>14.488875284062374</v>
      </c>
      <c r="O967" s="53">
        <v>134.73904186150813</v>
      </c>
      <c r="P967" s="53">
        <v>14.080909152260229</v>
      </c>
      <c r="Q967" s="53">
        <v>7.7641748290762838</v>
      </c>
      <c r="R967" s="53">
        <v>71.25980179503081</v>
      </c>
      <c r="S967" s="53">
        <v>49.315157683333901</v>
      </c>
      <c r="T967" s="53">
        <v>68.011506963608667</v>
      </c>
      <c r="U967" s="53">
        <v>18.117498233983767</v>
      </c>
      <c r="V967" s="54">
        <v>377.7769658028642</v>
      </c>
      <c r="W967" s="54">
        <v>391.54513894589178</v>
      </c>
      <c r="X967" s="53">
        <v>44.707692955921743</v>
      </c>
      <c r="Y967" s="55">
        <v>435.9965383633625</v>
      </c>
      <c r="Z967" s="17" t="str">
        <f>SUBSTITUTE(SUBSTITUTE(SUBSTITUTE(SUBSTITUTE(IF(E967="","",VLOOKUP(E967,[1]Esquemas_NORM!$A$2:$H$126,8,FALSE)),"PROVINCIA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67" s="17" t="str">
        <f>IF($E967="","",INDEX([1]Esquemas_NORM!$H$2:$K$126,MATCH($E967,[1]Esquemas_NORM!$A$2:$A$126,0),MATCH(AA$4,[1]Esquemas_NORM!$H$1:$K$1,0)))</f>
        <v>A la fecha no ha conformado un EAT Región</v>
      </c>
      <c r="AB967" s="17" t="str">
        <f>IF($E967="","",INDEX([1]Esquemas_NORM!$H$2:$K$126,MATCH($E967,[1]Esquemas_NORM!$A$2:$A$126,0),MATCH(AB$4,[1]Esquemas_NORM!$H$1:$K$1,0)))</f>
        <v>A la fecha no ha conformado un EAT Área Metropolitana</v>
      </c>
      <c r="AC967" s="17" t="str">
        <f>IF($E967="","",INDEX([1]Esquemas_NORM!$H$2:$K$126,MATCH($E967,[1]Esquemas_NORM!$A$2:$A$126,0),MATCH(AC$4,[1]Esquemas_NORM!$H$1:$K$1,0)))</f>
        <v>A la fecha no ha conformado un EAT asociación - unión</v>
      </c>
      <c r="AD967" s="23"/>
    </row>
    <row r="968" spans="1:30" x14ac:dyDescent="0.25">
      <c r="A968" s="51">
        <v>2022</v>
      </c>
      <c r="B968" s="52" t="s">
        <v>36</v>
      </c>
      <c r="C968" s="52" t="s">
        <v>200</v>
      </c>
      <c r="D968" s="52" t="s">
        <v>215</v>
      </c>
      <c r="E968" s="52" t="s">
        <v>230</v>
      </c>
      <c r="F968" s="52" t="s">
        <v>203</v>
      </c>
      <c r="G968" s="52" t="s">
        <v>231</v>
      </c>
      <c r="H968" s="53">
        <v>51.504032034769686</v>
      </c>
      <c r="I968" s="53">
        <v>6.9985954340108472E-2</v>
      </c>
      <c r="J968" s="54">
        <v>51.574017989109798</v>
      </c>
      <c r="K968" s="53">
        <v>64.124480272296722</v>
      </c>
      <c r="L968" s="53">
        <v>33.293062466243384</v>
      </c>
      <c r="M968" s="54">
        <v>97.417542738540106</v>
      </c>
      <c r="N968" s="53">
        <v>34.861041249599332</v>
      </c>
      <c r="O968" s="53">
        <v>230.67508482091102</v>
      </c>
      <c r="P968" s="53">
        <v>47.128350088131405</v>
      </c>
      <c r="Q968" s="53">
        <v>43.699673152282593</v>
      </c>
      <c r="R968" s="53">
        <v>141.21581468175881</v>
      </c>
      <c r="S968" s="53">
        <v>96.39331879517421</v>
      </c>
      <c r="T968" s="53">
        <v>74.593741718061253</v>
      </c>
      <c r="U968" s="53">
        <v>42.536480157619181</v>
      </c>
      <c r="V968" s="54">
        <v>711.10350466353771</v>
      </c>
      <c r="W968" s="54">
        <v>855.52620170396551</v>
      </c>
      <c r="X968" s="53">
        <v>97.686317456251714</v>
      </c>
      <c r="Y968" s="55">
        <v>952.65251773084856</v>
      </c>
      <c r="Z968" s="17" t="str">
        <f>SUBSTITUTE(SUBSTITUTE(SUBSTITUTE(SUBSTITUTE(IF(E968="","",VLOOKUP(E968,[1]Esquemas_NORM!$A$2:$H$126,8,FALSE)),"PROVINCIA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68" s="17" t="str">
        <f>IF($E968="","",INDEX([1]Esquemas_NORM!$H$2:$K$126,MATCH($E968,[1]Esquemas_NORM!$A$2:$A$126,0),MATCH(AA$4,[1]Esquemas_NORM!$H$1:$K$1,0)))</f>
        <v>Región de Planeación y Gestión Aeroportuaria de Oriente</v>
      </c>
      <c r="AB968" s="17" t="str">
        <f>IF($E968="","",INDEX([1]Esquemas_NORM!$H$2:$K$126,MATCH($E968,[1]Esquemas_NORM!$A$2:$A$126,0),MATCH(AB$4,[1]Esquemas_NORM!$H$1:$K$1,0)))</f>
        <v>A la fecha no ha conformado un EAT Área Metropolitana</v>
      </c>
      <c r="AC968" s="17" t="str">
        <f>IF($E968="","",INDEX([1]Esquemas_NORM!$H$2:$K$126,MATCH($E968,[1]Esquemas_NORM!$A$2:$A$126,0),MATCH(AC$4,[1]Esquemas_NORM!$H$1:$K$1,0)))</f>
        <v>MUNICIPIOS ASOCIADOS DEL ALTIPLANO DEL ORIENTE ANTIOQUEÑO - MASORA</v>
      </c>
      <c r="AD968" s="23"/>
    </row>
    <row r="969" spans="1:30" x14ac:dyDescent="0.25">
      <c r="A969" s="51">
        <v>2022</v>
      </c>
      <c r="B969" s="52" t="s">
        <v>36</v>
      </c>
      <c r="C969" s="52" t="s">
        <v>200</v>
      </c>
      <c r="D969" s="52" t="s">
        <v>215</v>
      </c>
      <c r="E969" s="52" t="s">
        <v>232</v>
      </c>
      <c r="F969" s="52" t="s">
        <v>203</v>
      </c>
      <c r="G969" s="52" t="s">
        <v>233</v>
      </c>
      <c r="H969" s="53">
        <v>35.204902664940619</v>
      </c>
      <c r="I969" s="53">
        <v>0.16360962538862206</v>
      </c>
      <c r="J969" s="54">
        <v>35.368512290329242</v>
      </c>
      <c r="K969" s="53">
        <v>23.438081426452545</v>
      </c>
      <c r="L969" s="53">
        <v>10.214394681728811</v>
      </c>
      <c r="M969" s="54">
        <v>33.652476108181354</v>
      </c>
      <c r="N969" s="53">
        <v>9.6775631675003737</v>
      </c>
      <c r="O969" s="53">
        <v>63.00406958451466</v>
      </c>
      <c r="P969" s="53">
        <v>9.1686351282682832</v>
      </c>
      <c r="Q969" s="53">
        <v>11.203074839727611</v>
      </c>
      <c r="R969" s="53">
        <v>34.889877405852722</v>
      </c>
      <c r="S969" s="53">
        <v>29.955216406221066</v>
      </c>
      <c r="T969" s="53">
        <v>37.296017354504677</v>
      </c>
      <c r="U969" s="53">
        <v>14.113853651678349</v>
      </c>
      <c r="V969" s="54">
        <v>209.30830753826771</v>
      </c>
      <c r="W969" s="54">
        <v>288.42312832257062</v>
      </c>
      <c r="X969" s="53">
        <v>32.93294024066509</v>
      </c>
      <c r="Y969" s="55">
        <v>321.1672755563099</v>
      </c>
      <c r="Z969" s="17" t="str">
        <f>SUBSTITUTE(SUBSTITUTE(SUBSTITUTE(SUBSTITUTE(IF(E969="","",VLOOKUP(E969,[1]Esquemas_NORM!$A$2:$H$126,8,FALSE)),"PROVINCIA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969" s="17" t="str">
        <f>IF($E969="","",INDEX([1]Esquemas_NORM!$H$2:$K$126,MATCH($E969,[1]Esquemas_NORM!$A$2:$A$126,0),MATCH(AA$4,[1]Esquemas_NORM!$H$1:$K$1,0)))</f>
        <v>Región de Planeación y Gestión Aeroportuaria de Oriente</v>
      </c>
      <c r="AB969" s="17" t="str">
        <f>IF($E969="","",INDEX([1]Esquemas_NORM!$H$2:$K$126,MATCH($E969,[1]Esquemas_NORM!$A$2:$A$126,0),MATCH(AB$4,[1]Esquemas_NORM!$H$1:$K$1,0)))</f>
        <v>A la fecha no ha conformado un EAT Área Metropolitana</v>
      </c>
      <c r="AC969" s="17" t="str">
        <f>IF($E969="","",INDEX([1]Esquemas_NORM!$H$2:$K$126,MATCH($E969,[1]Esquemas_NORM!$A$2:$A$126,0),MATCH(AC$4,[1]Esquemas_NORM!$H$1:$K$1,0)))</f>
        <v>MUNICIPIOS ASOCIADOS DEL ALTIPLANO DEL ORIENTE ANTIOQUEÑO - MASORA</v>
      </c>
      <c r="AD969" s="23"/>
    </row>
    <row r="970" spans="1:30" x14ac:dyDescent="0.25">
      <c r="A970" s="51">
        <v>2022</v>
      </c>
      <c r="B970" s="52" t="s">
        <v>36</v>
      </c>
      <c r="C970" s="52" t="s">
        <v>200</v>
      </c>
      <c r="D970" s="52" t="s">
        <v>215</v>
      </c>
      <c r="E970" s="52" t="s">
        <v>234</v>
      </c>
      <c r="F970" s="52" t="s">
        <v>203</v>
      </c>
      <c r="G970" s="52" t="s">
        <v>235</v>
      </c>
      <c r="H970" s="53">
        <v>177.89649618813388</v>
      </c>
      <c r="I970" s="53">
        <v>0.28336798702962368</v>
      </c>
      <c r="J970" s="54">
        <v>178.17986417516352</v>
      </c>
      <c r="K970" s="53">
        <v>442.06864525127457</v>
      </c>
      <c r="L970" s="53">
        <v>92.41146757109405</v>
      </c>
      <c r="M970" s="54">
        <v>534.4801128223686</v>
      </c>
      <c r="N970" s="53">
        <v>67.615375522935906</v>
      </c>
      <c r="O970" s="53">
        <v>172.70825680294155</v>
      </c>
      <c r="P970" s="53">
        <v>31.444221129007158</v>
      </c>
      <c r="Q970" s="53">
        <v>26.892439790413611</v>
      </c>
      <c r="R970" s="53">
        <v>100.31347900132018</v>
      </c>
      <c r="S970" s="53">
        <v>90.02427951071715</v>
      </c>
      <c r="T970" s="53">
        <v>89.625070773095729</v>
      </c>
      <c r="U970" s="53">
        <v>36.195119480282798</v>
      </c>
      <c r="V970" s="54">
        <v>614.8182420107139</v>
      </c>
      <c r="W970" s="54">
        <v>1371.0054415882578</v>
      </c>
      <c r="X970" s="53">
        <v>156.5451444204358</v>
      </c>
      <c r="Y970" s="55">
        <v>1526.6531675480649</v>
      </c>
      <c r="Z970" s="17" t="str">
        <f>SUBSTITUTE(SUBSTITUTE(SUBSTITUTE(SUBSTITUTE(IF(E970="","",VLOOKUP(E970,[1]Esquemas_NORM!$A$2:$H$126,8,FALSE)),"PROVINCIA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70" s="17" t="str">
        <f>IF($E970="","",INDEX([1]Esquemas_NORM!$H$2:$K$126,MATCH($E970,[1]Esquemas_NORM!$A$2:$A$126,0),MATCH(AA$4,[1]Esquemas_NORM!$H$1:$K$1,0)))</f>
        <v>A la fecha no ha conformado un EAT Región</v>
      </c>
      <c r="AB970" s="17" t="str">
        <f>IF($E970="","",INDEX([1]Esquemas_NORM!$H$2:$K$126,MATCH($E970,[1]Esquemas_NORM!$A$2:$A$126,0),MATCH(AB$4,[1]Esquemas_NORM!$H$1:$K$1,0)))</f>
        <v>A la fecha no ha conformado un EAT Área Metropolitana</v>
      </c>
      <c r="AC970" s="17" t="str">
        <f>IF($E970="","",INDEX([1]Esquemas_NORM!$H$2:$K$126,MATCH($E970,[1]Esquemas_NORM!$A$2:$A$126,0),MATCH(AC$4,[1]Esquemas_NORM!$H$1:$K$1,0)))</f>
        <v>MUNICIPIOS ASOCIADOS DEL ALTIPLANO DEL ORIENTE ANTIOQUEÑO - MASORA</v>
      </c>
      <c r="AD970" s="23"/>
    </row>
    <row r="971" spans="1:30" x14ac:dyDescent="0.25">
      <c r="A971" s="51">
        <v>2022</v>
      </c>
      <c r="B971" s="52" t="s">
        <v>36</v>
      </c>
      <c r="C971" s="52" t="s">
        <v>200</v>
      </c>
      <c r="D971" s="52" t="s">
        <v>201</v>
      </c>
      <c r="E971" s="52" t="s">
        <v>236</v>
      </c>
      <c r="F971" s="52" t="s">
        <v>203</v>
      </c>
      <c r="G971" s="52" t="s">
        <v>237</v>
      </c>
      <c r="H971" s="53">
        <v>20.584502690673169</v>
      </c>
      <c r="I971" s="53">
        <v>0</v>
      </c>
      <c r="J971" s="54">
        <v>20.584502690673169</v>
      </c>
      <c r="K971" s="53">
        <v>1.1560511578062178</v>
      </c>
      <c r="L971" s="53">
        <v>5.1088932480116673</v>
      </c>
      <c r="M971" s="54">
        <v>6.2649444058178849</v>
      </c>
      <c r="N971" s="53">
        <v>1.2255312309106616</v>
      </c>
      <c r="O971" s="53">
        <v>16.085058960619957</v>
      </c>
      <c r="P971" s="53">
        <v>3.5021849189094634</v>
      </c>
      <c r="Q971" s="53">
        <v>2.7648706653449469</v>
      </c>
      <c r="R971" s="53">
        <v>10.904726261585683</v>
      </c>
      <c r="S971" s="53">
        <v>10.305249346294044</v>
      </c>
      <c r="T971" s="53">
        <v>22.242017015841224</v>
      </c>
      <c r="U971" s="53">
        <v>5.4082472344739214</v>
      </c>
      <c r="V971" s="54">
        <v>72.437885633979903</v>
      </c>
      <c r="W971" s="54">
        <v>106.44946243131494</v>
      </c>
      <c r="X971" s="53">
        <v>12.154690247238557</v>
      </c>
      <c r="Y971" s="55">
        <v>118.53447409828536</v>
      </c>
      <c r="Z971" s="17" t="str">
        <f>SUBSTITUTE(SUBSTITUTE(SUBSTITUTE(SUBSTITUTE(IF(E971="","",VLOOKUP(E971,[1]Esquemas_NORM!$A$2:$H$126,8,FALSE)),"PROVINCIA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971" s="17" t="str">
        <f>IF($E971="","",INDEX([1]Esquemas_NORM!$H$2:$K$126,MATCH($E971,[1]Esquemas_NORM!$A$2:$A$126,0),MATCH(AA$4,[1]Esquemas_NORM!$H$1:$K$1,0)))</f>
        <v>A la fecha no ha conformado un EAT Región</v>
      </c>
      <c r="AB971" s="17" t="str">
        <f>IF($E971="","",INDEX([1]Esquemas_NORM!$H$2:$K$126,MATCH($E971,[1]Esquemas_NORM!$A$2:$A$126,0),MATCH(AB$4,[1]Esquemas_NORM!$H$1:$K$1,0)))</f>
        <v>A la fecha no ha conformado un EAT Área Metropolitana</v>
      </c>
      <c r="AC971" s="17" t="str">
        <f>IF($E971="","",INDEX([1]Esquemas_NORM!$H$2:$K$126,MATCH($E971,[1]Esquemas_NORM!$A$2:$A$126,0),MATCH(AC$4,[1]Esquemas_NORM!$H$1:$K$1,0)))</f>
        <v>MUNICIPIOS UNIDOS DEL SUR DE ANTIOQUIA - MUSA</v>
      </c>
      <c r="AD971" s="23"/>
    </row>
    <row r="972" spans="1:30" x14ac:dyDescent="0.25">
      <c r="A972" s="51">
        <v>2022</v>
      </c>
      <c r="B972" s="52" t="s">
        <v>36</v>
      </c>
      <c r="C972" s="52" t="s">
        <v>200</v>
      </c>
      <c r="D972" s="52" t="s">
        <v>215</v>
      </c>
      <c r="E972" s="52" t="s">
        <v>238</v>
      </c>
      <c r="F972" s="52" t="s">
        <v>203</v>
      </c>
      <c r="G972" s="52" t="s">
        <v>239</v>
      </c>
      <c r="H972" s="53">
        <v>39.215074267683391</v>
      </c>
      <c r="I972" s="53">
        <v>0.51188545639418892</v>
      </c>
      <c r="J972" s="54">
        <v>39.726959724077581</v>
      </c>
      <c r="K972" s="53">
        <v>1636.3273717136524</v>
      </c>
      <c r="L972" s="53">
        <v>243.20130754118205</v>
      </c>
      <c r="M972" s="54">
        <v>1879.5286792548345</v>
      </c>
      <c r="N972" s="53">
        <v>99.453788944853613</v>
      </c>
      <c r="O972" s="53">
        <v>798.38851253871894</v>
      </c>
      <c r="P972" s="53">
        <v>71.467908167910707</v>
      </c>
      <c r="Q972" s="53">
        <v>87.248331862615856</v>
      </c>
      <c r="R972" s="53">
        <v>245.13680039120578</v>
      </c>
      <c r="S972" s="53">
        <v>271.45307753779343</v>
      </c>
      <c r="T972" s="53">
        <v>274.65424336326464</v>
      </c>
      <c r="U972" s="53">
        <v>77.763268413777624</v>
      </c>
      <c r="V972" s="54">
        <v>1925.5659312201408</v>
      </c>
      <c r="W972" s="54">
        <v>3678.3970031259582</v>
      </c>
      <c r="X972" s="53">
        <v>420.00941252512797</v>
      </c>
      <c r="Y972" s="55">
        <v>4095.9986488574627</v>
      </c>
      <c r="Z972" s="17" t="str">
        <f>SUBSTITUTE(SUBSTITUTE(SUBSTITUTE(SUBSTITUTE(IF(E972="","",VLOOKUP(E972,[1]Esquemas_NORM!$A$2:$H$126,8,FALSE)),"PROVINCIA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972" s="17" t="str">
        <f>IF($E972="","",INDEX([1]Esquemas_NORM!$H$2:$K$126,MATCH($E972,[1]Esquemas_NORM!$A$2:$A$126,0),MATCH(AA$4,[1]Esquemas_NORM!$H$1:$K$1,0)))</f>
        <v>Región de Planeación y Gestión Aeroportuaria de Oriente</v>
      </c>
      <c r="AB972" s="17" t="str">
        <f>IF($E972="","",INDEX([1]Esquemas_NORM!$H$2:$K$126,MATCH($E972,[1]Esquemas_NORM!$A$2:$A$126,0),MATCH(AB$4,[1]Esquemas_NORM!$H$1:$K$1,0)))</f>
        <v>A la fecha no ha conformado un EAT Área Metropolitana</v>
      </c>
      <c r="AC972" s="17" t="str">
        <f>IF($E972="","",INDEX([1]Esquemas_NORM!$H$2:$K$126,MATCH($E972,[1]Esquemas_NORM!$A$2:$A$126,0),MATCH(AC$4,[1]Esquemas_NORM!$H$1:$K$1,0)))</f>
        <v>MUNICIPIOS ASOCIADOS DEL ALTIPLANO DEL ORIENTE ANTIOQUEÑO - MASORA</v>
      </c>
      <c r="AD972" s="23"/>
    </row>
    <row r="973" spans="1:30" x14ac:dyDescent="0.25">
      <c r="A973" s="51">
        <v>2022</v>
      </c>
      <c r="B973" s="52" t="s">
        <v>36</v>
      </c>
      <c r="C973" s="52" t="s">
        <v>200</v>
      </c>
      <c r="D973" s="52" t="s">
        <v>205</v>
      </c>
      <c r="E973" s="52" t="s">
        <v>240</v>
      </c>
      <c r="F973" s="52" t="s">
        <v>203</v>
      </c>
      <c r="G973" s="52" t="s">
        <v>241</v>
      </c>
      <c r="H973" s="53">
        <v>16.833406234023311</v>
      </c>
      <c r="I973" s="53">
        <v>1.2336138693062955</v>
      </c>
      <c r="J973" s="54">
        <v>18.067020103329607</v>
      </c>
      <c r="K973" s="53">
        <v>10.536735934123246</v>
      </c>
      <c r="L973" s="53">
        <v>30.825069632519135</v>
      </c>
      <c r="M973" s="54">
        <v>41.361805566642381</v>
      </c>
      <c r="N973" s="53">
        <v>521.90034103921937</v>
      </c>
      <c r="O973" s="53">
        <v>14.297974927124686</v>
      </c>
      <c r="P973" s="53">
        <v>2.9322968070762494</v>
      </c>
      <c r="Q973" s="53">
        <v>1.9656150299023161</v>
      </c>
      <c r="R973" s="53">
        <v>11.40922104547794</v>
      </c>
      <c r="S973" s="53">
        <v>34.931230826547385</v>
      </c>
      <c r="T973" s="53">
        <v>18.364031413151523</v>
      </c>
      <c r="U973" s="53">
        <v>4.5952295228944431</v>
      </c>
      <c r="V973" s="54">
        <v>610.39594061139383</v>
      </c>
      <c r="W973" s="54">
        <v>813.15573275154213</v>
      </c>
      <c r="X973" s="53">
        <v>92.848341632006012</v>
      </c>
      <c r="Y973" s="55">
        <v>905.47180737438657</v>
      </c>
      <c r="Z973" s="17" t="str">
        <f>SUBSTITUTE(SUBSTITUTE(SUBSTITUTE(SUBSTITUTE(IF(E973="","",VLOOKUP(E973,[1]Esquemas_NORM!$A$2:$H$126,8,FALSE)),"PROVINCIA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73" s="17" t="str">
        <f>IF($E973="","",INDEX([1]Esquemas_NORM!$H$2:$K$126,MATCH($E973,[1]Esquemas_NORM!$A$2:$A$126,0),MATCH(AA$4,[1]Esquemas_NORM!$H$1:$K$1,0)))</f>
        <v>A la fecha no ha conformado un EAT Región</v>
      </c>
      <c r="AB973" s="17" t="str">
        <f>IF($E973="","",INDEX([1]Esquemas_NORM!$H$2:$K$126,MATCH($E973,[1]Esquemas_NORM!$A$2:$A$126,0),MATCH(AB$4,[1]Esquemas_NORM!$H$1:$K$1,0)))</f>
        <v>A la fecha no ha conformado un EAT Área Metropolitana</v>
      </c>
      <c r="AC973" s="17" t="str">
        <f>IF($E973="","",INDEX([1]Esquemas_NORM!$H$2:$K$126,MATCH($E973,[1]Esquemas_NORM!$A$2:$A$126,0),MATCH(AC$4,[1]Esquemas_NORM!$H$1:$K$1,0)))</f>
        <v>A la fecha no ha conformado un EAT asociación - unión</v>
      </c>
      <c r="AD973" s="23"/>
    </row>
    <row r="974" spans="1:30" x14ac:dyDescent="0.25">
      <c r="A974" s="51">
        <v>2022</v>
      </c>
      <c r="B974" s="52" t="s">
        <v>36</v>
      </c>
      <c r="C974" s="52" t="s">
        <v>200</v>
      </c>
      <c r="D974" s="52" t="s">
        <v>210</v>
      </c>
      <c r="E974" s="52" t="s">
        <v>242</v>
      </c>
      <c r="F974" s="52" t="s">
        <v>203</v>
      </c>
      <c r="G974" s="52" t="s">
        <v>243</v>
      </c>
      <c r="H974" s="53">
        <v>5.8059748274256977</v>
      </c>
      <c r="I974" s="53">
        <v>0</v>
      </c>
      <c r="J974" s="54">
        <v>5.8059748274256977</v>
      </c>
      <c r="K974" s="53">
        <v>0.59770333469154258</v>
      </c>
      <c r="L974" s="53">
        <v>2.4385630110280672</v>
      </c>
      <c r="M974" s="54">
        <v>3.0362663457196097</v>
      </c>
      <c r="N974" s="53">
        <v>18.546369333735381</v>
      </c>
      <c r="O974" s="53">
        <v>3.2600658868574248</v>
      </c>
      <c r="P974" s="53">
        <v>0.90501003978583561</v>
      </c>
      <c r="Q974" s="53">
        <v>0.54867166315694649</v>
      </c>
      <c r="R974" s="53">
        <v>2.9649874322055845</v>
      </c>
      <c r="S974" s="53">
        <v>2.7626543727411819</v>
      </c>
      <c r="T974" s="53">
        <v>4.7317845362067636</v>
      </c>
      <c r="U974" s="53">
        <v>1.300179971059982</v>
      </c>
      <c r="V974" s="54">
        <v>35.019723235749105</v>
      </c>
      <c r="W974" s="54">
        <v>50.822427133794577</v>
      </c>
      <c r="X974" s="53">
        <v>5.8030434848178656</v>
      </c>
      <c r="Y974" s="55">
        <v>56.592203803660162</v>
      </c>
      <c r="Z974" s="17" t="str">
        <f>SUBSTITUTE(SUBSTITUTE(SUBSTITUTE(SUBSTITUTE(IF(E974="","",VLOOKUP(E974,[1]Esquemas_NORM!$A$2:$H$126,8,FALSE)),"PROVINCIA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74" s="17" t="str">
        <f>IF($E974="","",INDEX([1]Esquemas_NORM!$H$2:$K$126,MATCH($E974,[1]Esquemas_NORM!$A$2:$A$126,0),MATCH(AA$4,[1]Esquemas_NORM!$H$1:$K$1,0)))</f>
        <v>A la fecha no ha conformado un EAT Región</v>
      </c>
      <c r="AB974" s="17" t="str">
        <f>IF($E974="","",INDEX([1]Esquemas_NORM!$H$2:$K$126,MATCH($E974,[1]Esquemas_NORM!$A$2:$A$126,0),MATCH(AB$4,[1]Esquemas_NORM!$H$1:$K$1,0)))</f>
        <v>A la fecha no ha conformado un EAT Área Metropolitana</v>
      </c>
      <c r="AC974" s="17" t="str">
        <f>IF($E974="","",INDEX([1]Esquemas_NORM!$H$2:$K$126,MATCH($E974,[1]Esquemas_NORM!$A$2:$A$126,0),MATCH(AC$4,[1]Esquemas_NORM!$H$1:$K$1,0)))</f>
        <v>A la fecha no ha conformado un EAT asociación - unión</v>
      </c>
      <c r="AD974" s="23"/>
    </row>
    <row r="975" spans="1:30" x14ac:dyDescent="0.25">
      <c r="A975" s="51">
        <v>2022</v>
      </c>
      <c r="B975" s="52" t="s">
        <v>36</v>
      </c>
      <c r="C975" s="52" t="s">
        <v>200</v>
      </c>
      <c r="D975" s="52" t="s">
        <v>210</v>
      </c>
      <c r="E975" s="52" t="s">
        <v>244</v>
      </c>
      <c r="F975" s="52" t="s">
        <v>203</v>
      </c>
      <c r="G975" s="52" t="s">
        <v>245</v>
      </c>
      <c r="H975" s="53">
        <v>7.5563968852482164</v>
      </c>
      <c r="I975" s="53">
        <v>0</v>
      </c>
      <c r="J975" s="54">
        <v>7.5563968852482164</v>
      </c>
      <c r="K975" s="53">
        <v>2.062747783975603</v>
      </c>
      <c r="L975" s="53">
        <v>4.7628314186758853</v>
      </c>
      <c r="M975" s="54">
        <v>6.8255792026514879</v>
      </c>
      <c r="N975" s="53">
        <v>2.6909068325511813</v>
      </c>
      <c r="O975" s="53">
        <v>25.145579370111395</v>
      </c>
      <c r="P975" s="53">
        <v>7.8237131917909917</v>
      </c>
      <c r="Q975" s="53">
        <v>3.7991591167636516</v>
      </c>
      <c r="R975" s="53">
        <v>15.563893251118305</v>
      </c>
      <c r="S975" s="53">
        <v>12.94902408184975</v>
      </c>
      <c r="T975" s="53">
        <v>25.591415958426705</v>
      </c>
      <c r="U975" s="53">
        <v>8.4559068928846521</v>
      </c>
      <c r="V975" s="54">
        <v>102.01959869549664</v>
      </c>
      <c r="W975" s="54">
        <v>114.82312339748317</v>
      </c>
      <c r="X975" s="53">
        <v>13.1108177180132</v>
      </c>
      <c r="Y975" s="55">
        <v>127.85878139145859</v>
      </c>
      <c r="Z975" s="17" t="str">
        <f>SUBSTITUTE(SUBSTITUTE(SUBSTITUTE(SUBSTITUTE(IF(E975="","",VLOOKUP(E975,[1]Esquemas_NORM!$A$2:$H$126,8,FALSE)),"PROVINCIA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75" s="17" t="str">
        <f>IF($E975="","",INDEX([1]Esquemas_NORM!$H$2:$K$126,MATCH($E975,[1]Esquemas_NORM!$A$2:$A$126,0),MATCH(AA$4,[1]Esquemas_NORM!$H$1:$K$1,0)))</f>
        <v>A la fecha no ha conformado un EAT Región</v>
      </c>
      <c r="AB975" s="17" t="str">
        <f>IF($E975="","",INDEX([1]Esquemas_NORM!$H$2:$K$126,MATCH($E975,[1]Esquemas_NORM!$A$2:$A$126,0),MATCH(AB$4,[1]Esquemas_NORM!$H$1:$K$1,0)))</f>
        <v>A la fecha no ha conformado un EAT Área Metropolitana</v>
      </c>
      <c r="AC975" s="17" t="str">
        <f>IF($E975="","",INDEX([1]Esquemas_NORM!$H$2:$K$126,MATCH($E975,[1]Esquemas_NORM!$A$2:$A$126,0),MATCH(AC$4,[1]Esquemas_NORM!$H$1:$K$1,0)))</f>
        <v>A la fecha no ha conformado un EAT asociación - unión</v>
      </c>
      <c r="AD975" s="23"/>
    </row>
    <row r="976" spans="1:30" x14ac:dyDescent="0.25">
      <c r="A976" s="51">
        <v>2022</v>
      </c>
      <c r="B976" s="52" t="s">
        <v>36</v>
      </c>
      <c r="C976" s="52" t="s">
        <v>200</v>
      </c>
      <c r="D976" s="52" t="s">
        <v>205</v>
      </c>
      <c r="E976" s="52" t="s">
        <v>246</v>
      </c>
      <c r="F976" s="52" t="s">
        <v>203</v>
      </c>
      <c r="G976" s="52" t="s">
        <v>247</v>
      </c>
      <c r="H976" s="53">
        <v>10.856307742652893</v>
      </c>
      <c r="I976" s="53">
        <v>0.49260620737241539</v>
      </c>
      <c r="J976" s="54">
        <v>11.348913950025308</v>
      </c>
      <c r="K976" s="53">
        <v>1.4674936411469273</v>
      </c>
      <c r="L976" s="53">
        <v>6.6680799506643496</v>
      </c>
      <c r="M976" s="54">
        <v>8.1355735918112764</v>
      </c>
      <c r="N976" s="53">
        <v>72.416478344269933</v>
      </c>
      <c r="O976" s="53">
        <v>4.4360303988219902</v>
      </c>
      <c r="P976" s="53">
        <v>0.69343194300930677</v>
      </c>
      <c r="Q976" s="53">
        <v>0.4786698595028181</v>
      </c>
      <c r="R976" s="53">
        <v>2.6480782396242528</v>
      </c>
      <c r="S976" s="53">
        <v>5.6361686937129978</v>
      </c>
      <c r="T976" s="53">
        <v>2.8932085341506144</v>
      </c>
      <c r="U976" s="53">
        <v>1.0368741270743516</v>
      </c>
      <c r="V976" s="54">
        <v>90.238940140166264</v>
      </c>
      <c r="W976" s="54">
        <v>134.19059273267007</v>
      </c>
      <c r="X976" s="53">
        <v>15.322248243498938</v>
      </c>
      <c r="Y976" s="55">
        <v>149.42500389579851</v>
      </c>
      <c r="Z976" s="17" t="str">
        <f>SUBSTITUTE(SUBSTITUTE(SUBSTITUTE(SUBSTITUTE(IF(E976="","",VLOOKUP(E976,[1]Esquemas_NORM!$A$2:$H$126,8,FALSE)),"PROVINCIA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76" s="17" t="str">
        <f>IF($E976="","",INDEX([1]Esquemas_NORM!$H$2:$K$126,MATCH($E976,[1]Esquemas_NORM!$A$2:$A$126,0),MATCH(AA$4,[1]Esquemas_NORM!$H$1:$K$1,0)))</f>
        <v>A la fecha no ha conformado un EAT Región</v>
      </c>
      <c r="AB976" s="17" t="str">
        <f>IF($E976="","",INDEX([1]Esquemas_NORM!$H$2:$K$126,MATCH($E976,[1]Esquemas_NORM!$A$2:$A$126,0),MATCH(AB$4,[1]Esquemas_NORM!$H$1:$K$1,0)))</f>
        <v>A la fecha no ha conformado un EAT Área Metropolitana</v>
      </c>
      <c r="AC976" s="17" t="str">
        <f>IF($E976="","",INDEX([1]Esquemas_NORM!$H$2:$K$126,MATCH($E976,[1]Esquemas_NORM!$A$2:$A$126,0),MATCH(AC$4,[1]Esquemas_NORM!$H$1:$K$1,0)))</f>
        <v>A la fecha no ha conformado un EAT asociación - unión</v>
      </c>
      <c r="AD976" s="23"/>
    </row>
    <row r="977" spans="1:30" x14ac:dyDescent="0.25">
      <c r="A977" s="51">
        <v>2022</v>
      </c>
      <c r="B977" s="52" t="s">
        <v>36</v>
      </c>
      <c r="C977" s="52" t="s">
        <v>200</v>
      </c>
      <c r="D977" s="52" t="s">
        <v>215</v>
      </c>
      <c r="E977" s="52" t="s">
        <v>248</v>
      </c>
      <c r="F977" s="52" t="s">
        <v>203</v>
      </c>
      <c r="G977" s="52" t="s">
        <v>249</v>
      </c>
      <c r="H977" s="53">
        <v>101.81852486275852</v>
      </c>
      <c r="I977" s="53">
        <v>0</v>
      </c>
      <c r="J977" s="54">
        <v>101.81852486275852</v>
      </c>
      <c r="K977" s="53">
        <v>6.1061913030413084</v>
      </c>
      <c r="L977" s="53">
        <v>12.021661664307656</v>
      </c>
      <c r="M977" s="54">
        <v>18.127852967348964</v>
      </c>
      <c r="N977" s="53">
        <v>3.9105930962585802</v>
      </c>
      <c r="O977" s="53">
        <v>35.554237155700655</v>
      </c>
      <c r="P977" s="53">
        <v>7.1959900796908567</v>
      </c>
      <c r="Q977" s="53">
        <v>5.5800862425856881</v>
      </c>
      <c r="R977" s="53">
        <v>40.458097653685833</v>
      </c>
      <c r="S977" s="53">
        <v>18.926645766885642</v>
      </c>
      <c r="T977" s="53">
        <v>34.171040283031694</v>
      </c>
      <c r="U977" s="53">
        <v>13.138406843899517</v>
      </c>
      <c r="V977" s="54">
        <v>158.93509712173847</v>
      </c>
      <c r="W977" s="54">
        <v>326.01493540079605</v>
      </c>
      <c r="X977" s="53">
        <v>37.225275405463655</v>
      </c>
      <c r="Y977" s="55">
        <v>363.02681134583912</v>
      </c>
      <c r="Z977" s="17" t="str">
        <f>SUBSTITUTE(SUBSTITUTE(SUBSTITUTE(SUBSTITUTE(IF(E977="","",VLOOKUP(E977,[1]Esquemas_NORM!$A$2:$H$126,8,FALSE)),"PROVINCIA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977" s="17" t="str">
        <f>IF($E977="","",INDEX([1]Esquemas_NORM!$H$2:$K$126,MATCH($E977,[1]Esquemas_NORM!$A$2:$A$126,0),MATCH(AA$4,[1]Esquemas_NORM!$H$1:$K$1,0)))</f>
        <v>A la fecha no ha conformado un EAT Región</v>
      </c>
      <c r="AB977" s="17" t="str">
        <f>IF($E977="","",INDEX([1]Esquemas_NORM!$H$2:$K$126,MATCH($E977,[1]Esquemas_NORM!$A$2:$A$126,0),MATCH(AB$4,[1]Esquemas_NORM!$H$1:$K$1,0)))</f>
        <v>A la fecha no ha conformado un EAT Área Metropolitana</v>
      </c>
      <c r="AC977" s="17" t="str">
        <f>IF($E977="","",INDEX([1]Esquemas_NORM!$H$2:$K$126,MATCH($E977,[1]Esquemas_NORM!$A$2:$A$126,0),MATCH(AC$4,[1]Esquemas_NORM!$H$1:$K$1,0)))</f>
        <v>MUNICIPIOS ASOCIADOS DEL ALTIPLANO DEL ORIENTE ANTIOQUEÑO - MASORA</v>
      </c>
      <c r="AD977" s="23"/>
    </row>
    <row r="978" spans="1:30" x14ac:dyDescent="0.25">
      <c r="A978" s="51">
        <v>2022</v>
      </c>
      <c r="B978" s="52" t="s">
        <v>36</v>
      </c>
      <c r="C978" s="52" t="s">
        <v>200</v>
      </c>
      <c r="D978" s="52" t="s">
        <v>201</v>
      </c>
      <c r="E978" s="52" t="s">
        <v>250</v>
      </c>
      <c r="F978" s="52" t="s">
        <v>203</v>
      </c>
      <c r="G978" s="52" t="s">
        <v>251</v>
      </c>
      <c r="H978" s="53">
        <v>268.06973091257316</v>
      </c>
      <c r="I978" s="53">
        <v>17.050818347949996</v>
      </c>
      <c r="J978" s="54">
        <v>285.12054926052315</v>
      </c>
      <c r="K978" s="53">
        <v>268.99694138771508</v>
      </c>
      <c r="L978" s="53">
        <v>11.102445170619756</v>
      </c>
      <c r="M978" s="54">
        <v>280.09938655833486</v>
      </c>
      <c r="N978" s="53">
        <v>60.716836087583388</v>
      </c>
      <c r="O978" s="53">
        <v>51.780645366895328</v>
      </c>
      <c r="P978" s="53">
        <v>13.776268166163199</v>
      </c>
      <c r="Q978" s="53">
        <v>12.921611959733047</v>
      </c>
      <c r="R978" s="53">
        <v>40.488718042877238</v>
      </c>
      <c r="S978" s="53">
        <v>74.02981642154883</v>
      </c>
      <c r="T978" s="53">
        <v>61.520420885726352</v>
      </c>
      <c r="U978" s="53">
        <v>18.250675934803251</v>
      </c>
      <c r="V978" s="54">
        <v>333.4849928653307</v>
      </c>
      <c r="W978" s="54">
        <v>1039.7694757446093</v>
      </c>
      <c r="X978" s="53">
        <v>118.72371750457576</v>
      </c>
      <c r="Y978" s="55">
        <v>1157.8125917766997</v>
      </c>
      <c r="Z978" s="17" t="str">
        <f>SUBSTITUTE(SUBSTITUTE(SUBSTITUTE(SUBSTITUTE(IF(E978="","",VLOOKUP(E978,[1]Esquemas_NORM!$A$2:$H$126,8,FALSE)),"PROVINCIA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978" s="17" t="str">
        <f>IF($E978="","",INDEX([1]Esquemas_NORM!$H$2:$K$126,MATCH($E978,[1]Esquemas_NORM!$A$2:$A$126,0),MATCH(AA$4,[1]Esquemas_NORM!$H$1:$K$1,0)))</f>
        <v>A la fecha no ha conformado un EAT Región</v>
      </c>
      <c r="AB978" s="17" t="str">
        <f>IF($E978="","",INDEX([1]Esquemas_NORM!$H$2:$K$126,MATCH($E978,[1]Esquemas_NORM!$A$2:$A$126,0),MATCH(AB$4,[1]Esquemas_NORM!$H$1:$K$1,0)))</f>
        <v>A la fecha no ha conformado un EAT Área Metropolitana</v>
      </c>
      <c r="AC978" s="17" t="str">
        <f>IF($E978="","",INDEX([1]Esquemas_NORM!$H$2:$K$126,MATCH($E978,[1]Esquemas_NORM!$A$2:$A$126,0),MATCH(AC$4,[1]Esquemas_NORM!$H$1:$K$1,0)))</f>
        <v>A la fecha no ha conformado un EAT asociación - unión</v>
      </c>
      <c r="AD978" s="23"/>
    </row>
    <row r="979" spans="1:30" x14ac:dyDescent="0.25">
      <c r="A979" s="51">
        <v>2022</v>
      </c>
      <c r="B979" s="52" t="s">
        <v>36</v>
      </c>
      <c r="C979" s="52" t="s">
        <v>252</v>
      </c>
      <c r="D979" s="52" t="s">
        <v>253</v>
      </c>
      <c r="E979" s="52" t="s">
        <v>254</v>
      </c>
      <c r="F979" s="52" t="s">
        <v>255</v>
      </c>
      <c r="G979" s="52" t="s">
        <v>256</v>
      </c>
      <c r="H979" s="53">
        <v>28.601582883943429</v>
      </c>
      <c r="I979" s="53">
        <v>6.347974451497862</v>
      </c>
      <c r="J979" s="54">
        <v>34.949557335441291</v>
      </c>
      <c r="K979" s="53">
        <v>180.39702525213497</v>
      </c>
      <c r="L979" s="53">
        <v>83.363786681780766</v>
      </c>
      <c r="M979" s="54">
        <v>263.76081193391576</v>
      </c>
      <c r="N979" s="53">
        <v>14.55671753001371</v>
      </c>
      <c r="O979" s="53">
        <v>72.203209556264639</v>
      </c>
      <c r="P979" s="53">
        <v>11.392323197948288</v>
      </c>
      <c r="Q979" s="53">
        <v>9.1386835216425304</v>
      </c>
      <c r="R979" s="53">
        <v>36.259396946156201</v>
      </c>
      <c r="S979" s="53">
        <v>41.243022297569759</v>
      </c>
      <c r="T979" s="53">
        <v>50.691937395948592</v>
      </c>
      <c r="U979" s="53">
        <v>17.221394341685112</v>
      </c>
      <c r="V979" s="54">
        <v>252.70668478722885</v>
      </c>
      <c r="W979" s="54">
        <v>536.91125372356532</v>
      </c>
      <c r="X979" s="53">
        <v>61.305992817771973</v>
      </c>
      <c r="Y979" s="55">
        <v>597.86580076570749</v>
      </c>
      <c r="Z979" s="17" t="str">
        <f>SUBSTITUTE(SUBSTITUTE(SUBSTITUTE(SUBSTITUTE(IF(E979="","",VLOOKUP(E979,[1]Esquemas_NORM!$A$2:$H$126,8,FALSE)),"PROVINCIA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79" s="17" t="str">
        <f>IF($E979="","",INDEX([1]Esquemas_NORM!$H$2:$K$126,MATCH($E979,[1]Esquemas_NORM!$A$2:$A$126,0),MATCH(AA$4,[1]Esquemas_NORM!$H$1:$K$1,0)))</f>
        <v>A la fecha no ha conformado un EAT Región</v>
      </c>
      <c r="AB979" s="17" t="str">
        <f>IF($E979="","",INDEX([1]Esquemas_NORM!$H$2:$K$126,MATCH($E979,[1]Esquemas_NORM!$A$2:$A$126,0),MATCH(AB$4,[1]Esquemas_NORM!$H$1:$K$1,0)))</f>
        <v>A la fecha no ha conformado un EAT Área Metropolitana</v>
      </c>
      <c r="AC979" s="17" t="str">
        <f>IF($E979="","",INDEX([1]Esquemas_NORM!$H$2:$K$126,MATCH($E979,[1]Esquemas_NORM!$A$2:$A$126,0),MATCH(AC$4,[1]Esquemas_NORM!$H$1:$K$1,0)))</f>
        <v>A la fecha no ha conformado un EAT asociación - unión</v>
      </c>
      <c r="AD979" s="23"/>
    </row>
    <row r="980" spans="1:30" x14ac:dyDescent="0.25">
      <c r="A980" s="51">
        <v>2022</v>
      </c>
      <c r="B980" s="52" t="s">
        <v>36</v>
      </c>
      <c r="C980" s="52" t="s">
        <v>252</v>
      </c>
      <c r="D980" s="52" t="s">
        <v>257</v>
      </c>
      <c r="E980" s="52" t="s">
        <v>258</v>
      </c>
      <c r="F980" s="52" t="s">
        <v>255</v>
      </c>
      <c r="G980" s="52" t="s">
        <v>259</v>
      </c>
      <c r="H980" s="53">
        <v>79.107461553636213</v>
      </c>
      <c r="I980" s="53">
        <v>5.3728164215900982</v>
      </c>
      <c r="J980" s="54">
        <v>84.480277975226315</v>
      </c>
      <c r="K980" s="53">
        <v>16.174345570620531</v>
      </c>
      <c r="L980" s="53">
        <v>47.321205856816114</v>
      </c>
      <c r="M980" s="54">
        <v>63.495551427436645</v>
      </c>
      <c r="N980" s="53">
        <v>15.798624931055256</v>
      </c>
      <c r="O980" s="53">
        <v>91.942064294654642</v>
      </c>
      <c r="P980" s="53">
        <v>19.595758106962002</v>
      </c>
      <c r="Q980" s="53">
        <v>23.443191110532801</v>
      </c>
      <c r="R980" s="53">
        <v>51.48121647168103</v>
      </c>
      <c r="S980" s="53">
        <v>49.650197378391788</v>
      </c>
      <c r="T980" s="53">
        <v>87.245065705198158</v>
      </c>
      <c r="U980" s="53">
        <v>23.442025778897872</v>
      </c>
      <c r="V980" s="54">
        <v>362.59814377737354</v>
      </c>
      <c r="W980" s="54">
        <v>536.06351697594914</v>
      </c>
      <c r="X980" s="53">
        <v>61.209195921434322</v>
      </c>
      <c r="Y980" s="55">
        <v>596.92182202444383</v>
      </c>
      <c r="Z980" s="17" t="str">
        <f>SUBSTITUTE(SUBSTITUTE(SUBSTITUTE(SUBSTITUTE(IF(E980="","",VLOOKUP(E980,[1]Esquemas_NORM!$A$2:$H$126,8,FALSE)),"PROVINCIA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980" s="17" t="str">
        <f>IF($E980="","",INDEX([1]Esquemas_NORM!$H$2:$K$126,MATCH($E980,[1]Esquemas_NORM!$A$2:$A$126,0),MATCH(AA$4,[1]Esquemas_NORM!$H$1:$K$1,0)))</f>
        <v>A la fecha no ha conformado un EAT Región</v>
      </c>
      <c r="AB980" s="17" t="str">
        <f>IF($E980="","",INDEX([1]Esquemas_NORM!$H$2:$K$126,MATCH($E980,[1]Esquemas_NORM!$A$2:$A$126,0),MATCH(AB$4,[1]Esquemas_NORM!$H$1:$K$1,0)))</f>
        <v>A la fecha no ha conformado un EAT Área Metropolitana</v>
      </c>
      <c r="AC980" s="17" t="str">
        <f>IF($E980="","",INDEX([1]Esquemas_NORM!$H$2:$K$126,MATCH($E980,[1]Esquemas_NORM!$A$2:$A$126,0),MATCH(AC$4,[1]Esquemas_NORM!$H$1:$K$1,0)))</f>
        <v>A la fecha no ha conformado un EAT asociación - unión</v>
      </c>
      <c r="AD980" s="23"/>
    </row>
    <row r="981" spans="1:30" x14ac:dyDescent="0.25">
      <c r="A981" s="51">
        <v>2022</v>
      </c>
      <c r="B981" s="52" t="s">
        <v>36</v>
      </c>
      <c r="C981" s="52" t="s">
        <v>252</v>
      </c>
      <c r="D981" s="52" t="s">
        <v>253</v>
      </c>
      <c r="E981" s="52" t="s">
        <v>260</v>
      </c>
      <c r="F981" s="52" t="s">
        <v>255</v>
      </c>
      <c r="G981" s="52" t="s">
        <v>261</v>
      </c>
      <c r="H981" s="53">
        <v>18.000767387145363</v>
      </c>
      <c r="I981" s="53">
        <v>1.2587738246928275</v>
      </c>
      <c r="J981" s="54">
        <v>19.25954121183819</v>
      </c>
      <c r="K981" s="53">
        <v>3.6321181727886542</v>
      </c>
      <c r="L981" s="53">
        <v>0.56018611098933324</v>
      </c>
      <c r="M981" s="54">
        <v>4.1923042837779878</v>
      </c>
      <c r="N981" s="53">
        <v>4.0049700665175463</v>
      </c>
      <c r="O981" s="53">
        <v>8.8428645111561881</v>
      </c>
      <c r="P981" s="53">
        <v>2.658031495703971</v>
      </c>
      <c r="Q981" s="53">
        <v>1.6661416009606906</v>
      </c>
      <c r="R981" s="53">
        <v>7.3621518168016475</v>
      </c>
      <c r="S981" s="53">
        <v>7.0029618691648041</v>
      </c>
      <c r="T981" s="53">
        <v>10.384394186988377</v>
      </c>
      <c r="U981" s="53">
        <v>3.6977506975184977</v>
      </c>
      <c r="V981" s="54">
        <v>45.619266244811726</v>
      </c>
      <c r="W981" s="54">
        <v>78.318570809795006</v>
      </c>
      <c r="X981" s="53">
        <v>8.9426282393276999</v>
      </c>
      <c r="Y981" s="55">
        <v>87.209934094861637</v>
      </c>
      <c r="Z981" s="17" t="str">
        <f>SUBSTITUTE(SUBSTITUTE(SUBSTITUTE(SUBSTITUTE(IF(E981="","",VLOOKUP(E981,[1]Esquemas_NORM!$A$2:$H$126,8,FALSE)),"PROVINCIA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81" s="17" t="str">
        <f>IF($E981="","",INDEX([1]Esquemas_NORM!$H$2:$K$126,MATCH($E981,[1]Esquemas_NORM!$A$2:$A$126,0),MATCH(AA$4,[1]Esquemas_NORM!$H$1:$K$1,0)))</f>
        <v>A la fecha no ha conformado un EAT Región</v>
      </c>
      <c r="AB981" s="17" t="str">
        <f>IF($E981="","",INDEX([1]Esquemas_NORM!$H$2:$K$126,MATCH($E981,[1]Esquemas_NORM!$A$2:$A$126,0),MATCH(AB$4,[1]Esquemas_NORM!$H$1:$K$1,0)))</f>
        <v>A la fecha no ha conformado un EAT Área Metropolitana</v>
      </c>
      <c r="AC981" s="17" t="str">
        <f>IF($E981="","",INDEX([1]Esquemas_NORM!$H$2:$K$126,MATCH($E981,[1]Esquemas_NORM!$A$2:$A$126,0),MATCH(AC$4,[1]Esquemas_NORM!$H$1:$K$1,0)))</f>
        <v>A la fecha no ha conformado un EAT asociación - unión</v>
      </c>
      <c r="AD981" s="23"/>
    </row>
    <row r="982" spans="1:30" x14ac:dyDescent="0.25">
      <c r="A982" s="51">
        <v>2022</v>
      </c>
      <c r="B982" s="52" t="s">
        <v>36</v>
      </c>
      <c r="C982" s="52" t="s">
        <v>252</v>
      </c>
      <c r="D982" s="52" t="s">
        <v>257</v>
      </c>
      <c r="E982" s="52" t="s">
        <v>262</v>
      </c>
      <c r="F982" s="52" t="s">
        <v>255</v>
      </c>
      <c r="G982" s="52" t="s">
        <v>263</v>
      </c>
      <c r="H982" s="53">
        <v>66.411012427410796</v>
      </c>
      <c r="I982" s="53">
        <v>0</v>
      </c>
      <c r="J982" s="54">
        <v>66.411012427410796</v>
      </c>
      <c r="K982" s="53">
        <v>4.5293226076426318</v>
      </c>
      <c r="L982" s="53">
        <v>5.4389557841997718</v>
      </c>
      <c r="M982" s="54">
        <v>9.9682783918424036</v>
      </c>
      <c r="N982" s="53">
        <v>2.4201012062098091</v>
      </c>
      <c r="O982" s="53">
        <v>20.613699840275054</v>
      </c>
      <c r="P982" s="53">
        <v>4.538275157752194</v>
      </c>
      <c r="Q982" s="53">
        <v>2.8156296412820487</v>
      </c>
      <c r="R982" s="53">
        <v>12.258484639834073</v>
      </c>
      <c r="S982" s="53">
        <v>10.74068686072658</v>
      </c>
      <c r="T982" s="53">
        <v>17.351439339237952</v>
      </c>
      <c r="U982" s="53">
        <v>5.3066621880889677</v>
      </c>
      <c r="V982" s="54">
        <v>76.044978873406677</v>
      </c>
      <c r="W982" s="54">
        <v>186.27342351712639</v>
      </c>
      <c r="X982" s="53">
        <v>21.26920805826877</v>
      </c>
      <c r="Y982" s="55">
        <v>207.42070265818052</v>
      </c>
      <c r="Z982" s="17" t="str">
        <f>SUBSTITUTE(SUBSTITUTE(SUBSTITUTE(SUBSTITUTE(IF(E982="","",VLOOKUP(E982,[1]Esquemas_NORM!$A$2:$H$126,8,FALSE)),"PROVINCIA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982" s="17" t="str">
        <f>IF($E982="","",INDEX([1]Esquemas_NORM!$H$2:$K$126,MATCH($E982,[1]Esquemas_NORM!$A$2:$A$126,0),MATCH(AA$4,[1]Esquemas_NORM!$H$1:$K$1,0)))</f>
        <v>A la fecha no ha conformado un EAT Región</v>
      </c>
      <c r="AB982" s="17" t="str">
        <f>IF($E982="","",INDEX([1]Esquemas_NORM!$H$2:$K$126,MATCH($E982,[1]Esquemas_NORM!$A$2:$A$126,0),MATCH(AB$4,[1]Esquemas_NORM!$H$1:$K$1,0)))</f>
        <v>A la fecha no ha conformado un EAT Área Metropolitana</v>
      </c>
      <c r="AC982" s="17" t="str">
        <f>IF($E982="","",INDEX([1]Esquemas_NORM!$H$2:$K$126,MATCH($E982,[1]Esquemas_NORM!$A$2:$A$126,0),MATCH(AC$4,[1]Esquemas_NORM!$H$1:$K$1,0)))</f>
        <v>A la fecha no ha conformado un EAT asociación - unión</v>
      </c>
      <c r="AD982" s="23"/>
    </row>
    <row r="983" spans="1:30" x14ac:dyDescent="0.25">
      <c r="A983" s="51">
        <v>2022</v>
      </c>
      <c r="B983" s="52" t="s">
        <v>36</v>
      </c>
      <c r="C983" s="52" t="s">
        <v>252</v>
      </c>
      <c r="D983" s="52" t="s">
        <v>264</v>
      </c>
      <c r="E983" s="52" t="s">
        <v>265</v>
      </c>
      <c r="F983" s="52" t="s">
        <v>255</v>
      </c>
      <c r="G983" s="52" t="s">
        <v>266</v>
      </c>
      <c r="H983" s="53">
        <v>73.890984949552404</v>
      </c>
      <c r="I983" s="53">
        <v>0</v>
      </c>
      <c r="J983" s="54">
        <v>73.890984949552404</v>
      </c>
      <c r="K983" s="53">
        <v>1.6254439493131889</v>
      </c>
      <c r="L983" s="53">
        <v>11.6281489446179</v>
      </c>
      <c r="M983" s="54">
        <v>13.253592893931089</v>
      </c>
      <c r="N983" s="53">
        <v>3.2157738133994833</v>
      </c>
      <c r="O983" s="53">
        <v>25.127471549034826</v>
      </c>
      <c r="P983" s="53">
        <v>7.68992750715827</v>
      </c>
      <c r="Q983" s="53">
        <v>6.8481439727760272</v>
      </c>
      <c r="R983" s="53">
        <v>18.422705660763</v>
      </c>
      <c r="S983" s="53">
        <v>14.524633387709761</v>
      </c>
      <c r="T983" s="53">
        <v>30.449684043312072</v>
      </c>
      <c r="U983" s="53">
        <v>8.511851810945819</v>
      </c>
      <c r="V983" s="54">
        <v>114.79019174509925</v>
      </c>
      <c r="W983" s="54">
        <v>236.31249009334769</v>
      </c>
      <c r="X983" s="53">
        <v>26.982805295902864</v>
      </c>
      <c r="Y983" s="55">
        <v>263.14061242107744</v>
      </c>
      <c r="Z983" s="17" t="str">
        <f>SUBSTITUTE(SUBSTITUTE(SUBSTITUTE(SUBSTITUTE(IF(E983="","",VLOOKUP(E983,[1]Esquemas_NORM!$A$2:$H$126,8,FALSE)),"PROVINCIA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83" s="17" t="str">
        <f>IF($E983="","",INDEX([1]Esquemas_NORM!$H$2:$K$126,MATCH($E983,[1]Esquemas_NORM!$A$2:$A$126,0),MATCH(AA$4,[1]Esquemas_NORM!$H$1:$K$1,0)))</f>
        <v>A la fecha no ha conformado un EAT Región</v>
      </c>
      <c r="AB983" s="17" t="str">
        <f>IF($E983="","",INDEX([1]Esquemas_NORM!$H$2:$K$126,MATCH($E983,[1]Esquemas_NORM!$A$2:$A$126,0),MATCH(AB$4,[1]Esquemas_NORM!$H$1:$K$1,0)))</f>
        <v>A la fecha no ha conformado un EAT Área Metropolitana</v>
      </c>
      <c r="AC983" s="17" t="str">
        <f>IF($E983="","",INDEX([1]Esquemas_NORM!$H$2:$K$126,MATCH($E983,[1]Esquemas_NORM!$A$2:$A$126,0),MATCH(AC$4,[1]Esquemas_NORM!$H$1:$K$1,0)))</f>
        <v>A la fecha no ha conformado un EAT asociación - unión</v>
      </c>
      <c r="AD983" s="23"/>
    </row>
    <row r="984" spans="1:30" x14ac:dyDescent="0.25">
      <c r="A984" s="51">
        <v>2022</v>
      </c>
      <c r="B984" s="52" t="s">
        <v>36</v>
      </c>
      <c r="C984" s="52" t="s">
        <v>252</v>
      </c>
      <c r="D984" s="52" t="s">
        <v>267</v>
      </c>
      <c r="E984" s="52" t="s">
        <v>268</v>
      </c>
      <c r="F984" s="52" t="s">
        <v>255</v>
      </c>
      <c r="G984" s="52" t="s">
        <v>269</v>
      </c>
      <c r="H984" s="53">
        <v>16.732281154211254</v>
      </c>
      <c r="I984" s="53">
        <v>0</v>
      </c>
      <c r="J984" s="54">
        <v>16.732281154211254</v>
      </c>
      <c r="K984" s="53">
        <v>1.6036238511317398</v>
      </c>
      <c r="L984" s="53">
        <v>2.19763060529155</v>
      </c>
      <c r="M984" s="54">
        <v>3.8012544564232895</v>
      </c>
      <c r="N984" s="53">
        <v>1.3767784630392188</v>
      </c>
      <c r="O984" s="53">
        <v>7.2383606909499498</v>
      </c>
      <c r="P984" s="53">
        <v>2.4646269743211917</v>
      </c>
      <c r="Q984" s="53">
        <v>2.0126774922377382</v>
      </c>
      <c r="R984" s="53">
        <v>7.4273476834007255</v>
      </c>
      <c r="S984" s="53">
        <v>5.0948603933895473</v>
      </c>
      <c r="T984" s="53">
        <v>12.453417167067871</v>
      </c>
      <c r="U984" s="53">
        <v>3.2431930042343513</v>
      </c>
      <c r="V984" s="54">
        <v>41.311261868640592</v>
      </c>
      <c r="W984" s="54">
        <v>68.581422950523333</v>
      </c>
      <c r="X984" s="53">
        <v>7.8308141125307023</v>
      </c>
      <c r="Y984" s="55">
        <v>76.367345749609939</v>
      </c>
      <c r="Z984" s="17" t="str">
        <f>SUBSTITUTE(SUBSTITUTE(SUBSTITUTE(SUBSTITUTE(IF(E984="","",VLOOKUP(E984,[1]Esquemas_NORM!$A$2:$H$126,8,FALSE)),"PROVINCIA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984" s="17" t="str">
        <f>IF($E984="","",INDEX([1]Esquemas_NORM!$H$2:$K$126,MATCH($E984,[1]Esquemas_NORM!$A$2:$A$126,0),MATCH(AA$4,[1]Esquemas_NORM!$H$1:$K$1,0)))</f>
        <v>A la fecha no ha conformado un EAT Región</v>
      </c>
      <c r="AB984" s="17" t="str">
        <f>IF($E984="","",INDEX([1]Esquemas_NORM!$H$2:$K$126,MATCH($E984,[1]Esquemas_NORM!$A$2:$A$126,0),MATCH(AB$4,[1]Esquemas_NORM!$H$1:$K$1,0)))</f>
        <v>A la fecha no ha conformado un EAT Área Metropolitana</v>
      </c>
      <c r="AC984" s="17" t="str">
        <f>IF($E984="","",INDEX([1]Esquemas_NORM!$H$2:$K$126,MATCH($E984,[1]Esquemas_NORM!$A$2:$A$126,0),MATCH(AC$4,[1]Esquemas_NORM!$H$1:$K$1,0)))</f>
        <v>A la fecha no ha conformado un EAT asociación - unión</v>
      </c>
      <c r="AD984" s="23"/>
    </row>
    <row r="985" spans="1:30" x14ac:dyDescent="0.25">
      <c r="A985" s="51">
        <v>2022</v>
      </c>
      <c r="B985" s="52" t="s">
        <v>36</v>
      </c>
      <c r="C985" s="52" t="s">
        <v>252</v>
      </c>
      <c r="D985" s="52" t="s">
        <v>257</v>
      </c>
      <c r="E985" s="52" t="s">
        <v>270</v>
      </c>
      <c r="F985" s="52" t="s">
        <v>255</v>
      </c>
      <c r="G985" s="52" t="s">
        <v>271</v>
      </c>
      <c r="H985" s="53">
        <v>84.266528789717441</v>
      </c>
      <c r="I985" s="53">
        <v>0</v>
      </c>
      <c r="J985" s="54">
        <v>84.266528789717441</v>
      </c>
      <c r="K985" s="53">
        <v>8.4401670238109148</v>
      </c>
      <c r="L985" s="53">
        <v>10.082189198614993</v>
      </c>
      <c r="M985" s="54">
        <v>18.522356222425906</v>
      </c>
      <c r="N985" s="53">
        <v>7.6891149029102293</v>
      </c>
      <c r="O985" s="53">
        <v>66.849209227195729</v>
      </c>
      <c r="P985" s="53">
        <v>10.86573966043551</v>
      </c>
      <c r="Q985" s="53">
        <v>12.550213794816051</v>
      </c>
      <c r="R985" s="53">
        <v>27.203531348797164</v>
      </c>
      <c r="S985" s="53">
        <v>33.018080055937432</v>
      </c>
      <c r="T985" s="53">
        <v>65.343193246554947</v>
      </c>
      <c r="U985" s="53">
        <v>13.169714011808098</v>
      </c>
      <c r="V985" s="54">
        <v>236.68879624845519</v>
      </c>
      <c r="W985" s="54">
        <v>377.29981665035956</v>
      </c>
      <c r="X985" s="53">
        <v>43.081123163811192</v>
      </c>
      <c r="Y985" s="55">
        <v>420.13397083039985</v>
      </c>
      <c r="Z985" s="17" t="str">
        <f>SUBSTITUTE(SUBSTITUTE(SUBSTITUTE(SUBSTITUTE(IF(E985="","",VLOOKUP(E985,[1]Esquemas_NORM!$A$2:$H$126,8,FALSE)),"PROVINCIA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985" s="17" t="str">
        <f>IF($E985="","",INDEX([1]Esquemas_NORM!$H$2:$K$126,MATCH($E985,[1]Esquemas_NORM!$A$2:$A$126,0),MATCH(AA$4,[1]Esquemas_NORM!$H$1:$K$1,0)))</f>
        <v>A la fecha no ha conformado un EAT Región</v>
      </c>
      <c r="AB985" s="17" t="str">
        <f>IF($E985="","",INDEX([1]Esquemas_NORM!$H$2:$K$126,MATCH($E985,[1]Esquemas_NORM!$A$2:$A$126,0),MATCH(AB$4,[1]Esquemas_NORM!$H$1:$K$1,0)))</f>
        <v>A la fecha no ha conformado un EAT Área Metropolitana</v>
      </c>
      <c r="AC985" s="17" t="str">
        <f>IF($E985="","",INDEX([1]Esquemas_NORM!$H$2:$K$126,MATCH($E985,[1]Esquemas_NORM!$A$2:$A$126,0),MATCH(AC$4,[1]Esquemas_NORM!$H$1:$K$1,0)))</f>
        <v>A la fecha no ha conformado un EAT asociación - unión</v>
      </c>
      <c r="AD985" s="23"/>
    </row>
    <row r="986" spans="1:30" x14ac:dyDescent="0.25">
      <c r="A986" s="51">
        <v>2022</v>
      </c>
      <c r="B986" s="52" t="s">
        <v>36</v>
      </c>
      <c r="C986" s="52" t="s">
        <v>252</v>
      </c>
      <c r="D986" s="52" t="s">
        <v>264</v>
      </c>
      <c r="E986" s="52" t="s">
        <v>272</v>
      </c>
      <c r="F986" s="52" t="s">
        <v>255</v>
      </c>
      <c r="G986" s="52" t="s">
        <v>273</v>
      </c>
      <c r="H986" s="53">
        <v>114.86101674868074</v>
      </c>
      <c r="I986" s="53">
        <v>0</v>
      </c>
      <c r="J986" s="54">
        <v>114.86101674868074</v>
      </c>
      <c r="K986" s="53">
        <v>6.002284413650619</v>
      </c>
      <c r="L986" s="53">
        <v>13.196782976583174</v>
      </c>
      <c r="M986" s="54">
        <v>19.199067390233793</v>
      </c>
      <c r="N986" s="53">
        <v>11.184618065149943</v>
      </c>
      <c r="O986" s="53">
        <v>28.431525642949062</v>
      </c>
      <c r="P986" s="53">
        <v>10.005714824028205</v>
      </c>
      <c r="Q986" s="53">
        <v>9.0787704161122953</v>
      </c>
      <c r="R986" s="53">
        <v>24.900663764254382</v>
      </c>
      <c r="S986" s="53">
        <v>20.880047537161037</v>
      </c>
      <c r="T986" s="53">
        <v>39.929801521636001</v>
      </c>
      <c r="U986" s="53">
        <v>14.151170614758863</v>
      </c>
      <c r="V986" s="54">
        <v>158.56231238604977</v>
      </c>
      <c r="W986" s="54">
        <v>349.08893657592552</v>
      </c>
      <c r="X986" s="53">
        <v>39.859927855952407</v>
      </c>
      <c r="Y986" s="55">
        <v>388.72036143212273</v>
      </c>
      <c r="Z986" s="17" t="str">
        <f>SUBSTITUTE(SUBSTITUTE(SUBSTITUTE(SUBSTITUTE(IF(E986="","",VLOOKUP(E986,[1]Esquemas_NORM!$A$2:$H$126,8,FALSE)),"PROVINCIA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86" s="17" t="str">
        <f>IF($E986="","",INDEX([1]Esquemas_NORM!$H$2:$K$126,MATCH($E986,[1]Esquemas_NORM!$A$2:$A$126,0),MATCH(AA$4,[1]Esquemas_NORM!$H$1:$K$1,0)))</f>
        <v>A la fecha no ha conformado un EAT Región</v>
      </c>
      <c r="AB986" s="17" t="str">
        <f>IF($E986="","",INDEX([1]Esquemas_NORM!$H$2:$K$126,MATCH($E986,[1]Esquemas_NORM!$A$2:$A$126,0),MATCH(AB$4,[1]Esquemas_NORM!$H$1:$K$1,0)))</f>
        <v>A la fecha no ha conformado un EAT Área Metropolitana</v>
      </c>
      <c r="AC986" s="17" t="str">
        <f>IF($E986="","",INDEX([1]Esquemas_NORM!$H$2:$K$126,MATCH($E986,[1]Esquemas_NORM!$A$2:$A$126,0),MATCH(AC$4,[1]Esquemas_NORM!$H$1:$K$1,0)))</f>
        <v>A la fecha no ha conformado un EAT asociación - unión</v>
      </c>
      <c r="AD986" s="23"/>
    </row>
    <row r="987" spans="1:30" x14ac:dyDescent="0.25">
      <c r="A987" s="51">
        <v>2022</v>
      </c>
      <c r="B987" s="52" t="s">
        <v>36</v>
      </c>
      <c r="C987" s="52" t="s">
        <v>252</v>
      </c>
      <c r="D987" s="52" t="s">
        <v>253</v>
      </c>
      <c r="E987" s="52" t="s">
        <v>274</v>
      </c>
      <c r="F987" s="52" t="s">
        <v>255</v>
      </c>
      <c r="G987" s="52" t="s">
        <v>275</v>
      </c>
      <c r="H987" s="53">
        <v>109.63760220505107</v>
      </c>
      <c r="I987" s="53">
        <v>3.978344572463854</v>
      </c>
      <c r="J987" s="54">
        <v>113.61594677751492</v>
      </c>
      <c r="K987" s="53">
        <v>7.7326042631739389</v>
      </c>
      <c r="L987" s="53">
        <v>14.963837253145691</v>
      </c>
      <c r="M987" s="54">
        <v>22.696441516319631</v>
      </c>
      <c r="N987" s="53">
        <v>7.4940534031472001</v>
      </c>
      <c r="O987" s="53">
        <v>44.904454274122223</v>
      </c>
      <c r="P987" s="53">
        <v>10.934793842255621</v>
      </c>
      <c r="Q987" s="53">
        <v>9.9389257721410402</v>
      </c>
      <c r="R987" s="53">
        <v>33.461972866220727</v>
      </c>
      <c r="S987" s="53">
        <v>27.219389567740226</v>
      </c>
      <c r="T987" s="53">
        <v>38.519846392907723</v>
      </c>
      <c r="U987" s="53">
        <v>17.307203201614655</v>
      </c>
      <c r="V987" s="54">
        <v>189.78063932014942</v>
      </c>
      <c r="W987" s="54">
        <v>379.86138953065671</v>
      </c>
      <c r="X987" s="53">
        <v>43.373610548849761</v>
      </c>
      <c r="Y987" s="55">
        <v>422.98635436804278</v>
      </c>
      <c r="Z987" s="17" t="str">
        <f>SUBSTITUTE(SUBSTITUTE(SUBSTITUTE(SUBSTITUTE(IF(E987="","",VLOOKUP(E987,[1]Esquemas_NORM!$A$2:$H$126,8,FALSE)),"PROVINCIA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987" s="17" t="str">
        <f>IF($E987="","",INDEX([1]Esquemas_NORM!$H$2:$K$126,MATCH($E987,[1]Esquemas_NORM!$A$2:$A$126,0),MATCH(AA$4,[1]Esquemas_NORM!$H$1:$K$1,0)))</f>
        <v>A la fecha no ha conformado un EAT Región</v>
      </c>
      <c r="AB987" s="17" t="str">
        <f>IF($E987="","",INDEX([1]Esquemas_NORM!$H$2:$K$126,MATCH($E987,[1]Esquemas_NORM!$A$2:$A$126,0),MATCH(AB$4,[1]Esquemas_NORM!$H$1:$K$1,0)))</f>
        <v>A la fecha no ha conformado un EAT Área Metropolitana</v>
      </c>
      <c r="AC987" s="17" t="str">
        <f>IF($E987="","",INDEX([1]Esquemas_NORM!$H$2:$K$126,MATCH($E987,[1]Esquemas_NORM!$A$2:$A$126,0),MATCH(AC$4,[1]Esquemas_NORM!$H$1:$K$1,0)))</f>
        <v>A la fecha no ha conformado un EAT asociación - unión</v>
      </c>
      <c r="AD987" s="23"/>
    </row>
    <row r="988" spans="1:30" x14ac:dyDescent="0.25">
      <c r="A988" s="51">
        <v>2022</v>
      </c>
      <c r="B988" s="52" t="s">
        <v>36</v>
      </c>
      <c r="C988" s="52" t="s">
        <v>252</v>
      </c>
      <c r="D988" s="52" t="s">
        <v>257</v>
      </c>
      <c r="E988" s="52" t="s">
        <v>276</v>
      </c>
      <c r="F988" s="52" t="s">
        <v>255</v>
      </c>
      <c r="G988" s="52" t="s">
        <v>277</v>
      </c>
      <c r="H988" s="53">
        <v>17.584352149146891</v>
      </c>
      <c r="I988" s="53">
        <v>0</v>
      </c>
      <c r="J988" s="54">
        <v>17.584352149146891</v>
      </c>
      <c r="K988" s="53">
        <v>2.1249667767252656</v>
      </c>
      <c r="L988" s="53">
        <v>1.9100202811178788</v>
      </c>
      <c r="M988" s="54">
        <v>4.0349870578431446</v>
      </c>
      <c r="N988" s="53">
        <v>2.0815263277379126</v>
      </c>
      <c r="O988" s="53">
        <v>10.328271698025457</v>
      </c>
      <c r="P988" s="53">
        <v>2.2044280870314679</v>
      </c>
      <c r="Q988" s="53">
        <v>1.3801354225262026</v>
      </c>
      <c r="R988" s="53">
        <v>6.9423592596071506</v>
      </c>
      <c r="S988" s="53">
        <v>6.0173311362686865</v>
      </c>
      <c r="T988" s="53">
        <v>10.971286913699254</v>
      </c>
      <c r="U988" s="53">
        <v>3.1874918336902205</v>
      </c>
      <c r="V988" s="54">
        <v>43.112830678586349</v>
      </c>
      <c r="W988" s="54">
        <v>72.68518891864224</v>
      </c>
      <c r="X988" s="53">
        <v>8.2993933148144574</v>
      </c>
      <c r="Y988" s="55">
        <v>80.93700471963281</v>
      </c>
      <c r="Z988" s="17" t="str">
        <f>SUBSTITUTE(SUBSTITUTE(SUBSTITUTE(SUBSTITUTE(IF(E988="","",VLOOKUP(E988,[1]Esquemas_NORM!$A$2:$H$126,8,FALSE)),"PROVINCIA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988" s="17" t="str">
        <f>IF($E988="","",INDEX([1]Esquemas_NORM!$H$2:$K$126,MATCH($E988,[1]Esquemas_NORM!$A$2:$A$126,0),MATCH(AA$4,[1]Esquemas_NORM!$H$1:$K$1,0)))</f>
        <v>A la fecha no ha conformado un EAT Región</v>
      </c>
      <c r="AB988" s="17" t="str">
        <f>IF($E988="","",INDEX([1]Esquemas_NORM!$H$2:$K$126,MATCH($E988,[1]Esquemas_NORM!$A$2:$A$126,0),MATCH(AB$4,[1]Esquemas_NORM!$H$1:$K$1,0)))</f>
        <v>A la fecha no ha conformado un EAT Área Metropolitana</v>
      </c>
      <c r="AC988" s="17" t="str">
        <f>IF($E988="","",INDEX([1]Esquemas_NORM!$H$2:$K$126,MATCH($E988,[1]Esquemas_NORM!$A$2:$A$126,0),MATCH(AC$4,[1]Esquemas_NORM!$H$1:$K$1,0)))</f>
        <v>A la fecha no ha conformado un EAT asociación - unión</v>
      </c>
      <c r="AD988" s="23"/>
    </row>
    <row r="989" spans="1:30" x14ac:dyDescent="0.25">
      <c r="A989" s="51">
        <v>2022</v>
      </c>
      <c r="B989" s="52" t="s">
        <v>36</v>
      </c>
      <c r="C989" s="52" t="s">
        <v>252</v>
      </c>
      <c r="D989" s="52" t="s">
        <v>257</v>
      </c>
      <c r="E989" s="52" t="s">
        <v>278</v>
      </c>
      <c r="F989" s="52" t="s">
        <v>255</v>
      </c>
      <c r="G989" s="52" t="s">
        <v>279</v>
      </c>
      <c r="H989" s="53">
        <v>54.401575169386447</v>
      </c>
      <c r="I989" s="53">
        <v>0</v>
      </c>
      <c r="J989" s="54">
        <v>54.401575169386447</v>
      </c>
      <c r="K989" s="53">
        <v>9.3804923108230795</v>
      </c>
      <c r="L989" s="53">
        <v>4.3198792305621341</v>
      </c>
      <c r="M989" s="54">
        <v>13.700371541385213</v>
      </c>
      <c r="N989" s="53">
        <v>5.891323454274386</v>
      </c>
      <c r="O989" s="53">
        <v>59.443759077562902</v>
      </c>
      <c r="P989" s="53">
        <v>7.3682847953678721</v>
      </c>
      <c r="Q989" s="53">
        <v>7.0409652521594293</v>
      </c>
      <c r="R989" s="53">
        <v>25.486849360598253</v>
      </c>
      <c r="S989" s="53">
        <v>23.13373184638796</v>
      </c>
      <c r="T989" s="53">
        <v>27.222493050996242</v>
      </c>
      <c r="U989" s="53">
        <v>9.4694811419395108</v>
      </c>
      <c r="V989" s="54">
        <v>165.05688797928656</v>
      </c>
      <c r="W989" s="54">
        <v>258.96270208746779</v>
      </c>
      <c r="X989" s="53">
        <v>29.569068340689487</v>
      </c>
      <c r="Y989" s="55">
        <v>288.3622613201569</v>
      </c>
      <c r="Z989" s="17" t="str">
        <f>SUBSTITUTE(SUBSTITUTE(SUBSTITUTE(SUBSTITUTE(IF(E989="","",VLOOKUP(E989,[1]Esquemas_NORM!$A$2:$H$126,8,FALSE)),"PROVINCIA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989" s="17" t="str">
        <f>IF($E989="","",INDEX([1]Esquemas_NORM!$H$2:$K$126,MATCH($E989,[1]Esquemas_NORM!$A$2:$A$126,0),MATCH(AA$4,[1]Esquemas_NORM!$H$1:$K$1,0)))</f>
        <v>A la fecha no ha conformado un EAT Región</v>
      </c>
      <c r="AB989" s="17" t="str">
        <f>IF($E989="","",INDEX([1]Esquemas_NORM!$H$2:$K$126,MATCH($E989,[1]Esquemas_NORM!$A$2:$A$126,0),MATCH(AB$4,[1]Esquemas_NORM!$H$1:$K$1,0)))</f>
        <v>A la fecha no ha conformado un EAT Área Metropolitana</v>
      </c>
      <c r="AC989" s="17" t="str">
        <f>IF($E989="","",INDEX([1]Esquemas_NORM!$H$2:$K$126,MATCH($E989,[1]Esquemas_NORM!$A$2:$A$126,0),MATCH(AC$4,[1]Esquemas_NORM!$H$1:$K$1,0)))</f>
        <v>A la fecha no ha conformado un EAT asociación - unión</v>
      </c>
      <c r="AD989" s="23"/>
    </row>
    <row r="990" spans="1:30" x14ac:dyDescent="0.25">
      <c r="A990" s="51">
        <v>2022</v>
      </c>
      <c r="B990" s="52" t="s">
        <v>36</v>
      </c>
      <c r="C990" s="52" t="s">
        <v>252</v>
      </c>
      <c r="D990" s="52" t="s">
        <v>267</v>
      </c>
      <c r="E990" s="52" t="s">
        <v>280</v>
      </c>
      <c r="F990" s="52" t="s">
        <v>255</v>
      </c>
      <c r="G990" s="52" t="s">
        <v>281</v>
      </c>
      <c r="H990" s="53">
        <v>81.775117569885765</v>
      </c>
      <c r="I990" s="53">
        <v>0</v>
      </c>
      <c r="J990" s="54">
        <v>81.775117569885765</v>
      </c>
      <c r="K990" s="53">
        <v>5.3315939425612928</v>
      </c>
      <c r="L990" s="53">
        <v>8.5261529198313752</v>
      </c>
      <c r="M990" s="54">
        <v>13.857746862392668</v>
      </c>
      <c r="N990" s="53">
        <v>25.132949413951792</v>
      </c>
      <c r="O990" s="53">
        <v>24.851844412146608</v>
      </c>
      <c r="P990" s="53">
        <v>4.8737580285378348</v>
      </c>
      <c r="Q990" s="53">
        <v>3.9203739078657263</v>
      </c>
      <c r="R990" s="53">
        <v>15.617652757328379</v>
      </c>
      <c r="S990" s="53">
        <v>13.445201125790637</v>
      </c>
      <c r="T990" s="53">
        <v>18.382844478514791</v>
      </c>
      <c r="U990" s="53">
        <v>6.7374303109106153</v>
      </c>
      <c r="V990" s="54">
        <v>112.96205443504638</v>
      </c>
      <c r="W990" s="54">
        <v>256.22430240660037</v>
      </c>
      <c r="X990" s="53">
        <v>29.256390388778172</v>
      </c>
      <c r="Y990" s="55">
        <v>285.31297616051648</v>
      </c>
      <c r="Z990" s="17" t="str">
        <f>SUBSTITUTE(SUBSTITUTE(SUBSTITUTE(SUBSTITUTE(IF(E990="","",VLOOKUP(E990,[1]Esquemas_NORM!$A$2:$H$126,8,FALSE)),"PROVINCIA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990" s="17" t="str">
        <f>IF($E990="","",INDEX([1]Esquemas_NORM!$H$2:$K$126,MATCH($E990,[1]Esquemas_NORM!$A$2:$A$126,0),MATCH(AA$4,[1]Esquemas_NORM!$H$1:$K$1,0)))</f>
        <v>A la fecha no ha conformado un EAT Región</v>
      </c>
      <c r="AB990" s="17" t="str">
        <f>IF($E990="","",INDEX([1]Esquemas_NORM!$H$2:$K$126,MATCH($E990,[1]Esquemas_NORM!$A$2:$A$126,0),MATCH(AB$4,[1]Esquemas_NORM!$H$1:$K$1,0)))</f>
        <v>A la fecha no ha conformado un EAT Área Metropolitana</v>
      </c>
      <c r="AC990" s="17" t="str">
        <f>IF($E990="","",INDEX([1]Esquemas_NORM!$H$2:$K$126,MATCH($E990,[1]Esquemas_NORM!$A$2:$A$126,0),MATCH(AC$4,[1]Esquemas_NORM!$H$1:$K$1,0)))</f>
        <v>A la fecha no ha conformado un EAT asociación - unión</v>
      </c>
      <c r="AD990" s="23"/>
    </row>
    <row r="991" spans="1:30" x14ac:dyDescent="0.25">
      <c r="A991" s="51">
        <v>2022</v>
      </c>
      <c r="B991" s="52" t="s">
        <v>36</v>
      </c>
      <c r="C991" s="52" t="s">
        <v>252</v>
      </c>
      <c r="D991" s="52" t="s">
        <v>267</v>
      </c>
      <c r="E991" s="52" t="s">
        <v>282</v>
      </c>
      <c r="F991" s="52" t="s">
        <v>255</v>
      </c>
      <c r="G991" s="52" t="s">
        <v>283</v>
      </c>
      <c r="H991" s="53">
        <v>6.2223769770131385</v>
      </c>
      <c r="I991" s="53">
        <v>3.6942060899854043</v>
      </c>
      <c r="J991" s="54">
        <v>9.9165830669985429</v>
      </c>
      <c r="K991" s="53">
        <v>11.396539746305551</v>
      </c>
      <c r="L991" s="53">
        <v>31.568227079610615</v>
      </c>
      <c r="M991" s="54">
        <v>42.964766825916165</v>
      </c>
      <c r="N991" s="53">
        <v>7.4649515658008072</v>
      </c>
      <c r="O991" s="53">
        <v>45.758032693960807</v>
      </c>
      <c r="P991" s="53">
        <v>4.1069546004434994</v>
      </c>
      <c r="Q991" s="53">
        <v>2.7326950112988921</v>
      </c>
      <c r="R991" s="53">
        <v>11.707105390258024</v>
      </c>
      <c r="S991" s="53">
        <v>13.879584284324594</v>
      </c>
      <c r="T991" s="53">
        <v>15.214473538346054</v>
      </c>
      <c r="U991" s="53">
        <v>6.0216005789326639</v>
      </c>
      <c r="V991" s="54">
        <v>106.88539766336535</v>
      </c>
      <c r="W991" s="54">
        <v>160.1175867803899</v>
      </c>
      <c r="X991" s="53">
        <v>18.282663209387618</v>
      </c>
      <c r="Y991" s="55">
        <v>178.29544188771641</v>
      </c>
      <c r="Z991" s="17" t="str">
        <f>SUBSTITUTE(SUBSTITUTE(SUBSTITUTE(SUBSTITUTE(IF(E991="","",VLOOKUP(E991,[1]Esquemas_NORM!$A$2:$H$126,8,FALSE)),"PROVINCIA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991" s="17" t="str">
        <f>IF($E991="","",INDEX([1]Esquemas_NORM!$H$2:$K$126,MATCH($E991,[1]Esquemas_NORM!$A$2:$A$126,0),MATCH(AA$4,[1]Esquemas_NORM!$H$1:$K$1,0)))</f>
        <v>A la fecha no ha conformado un EAT Región</v>
      </c>
      <c r="AB991" s="17" t="str">
        <f>IF($E991="","",INDEX([1]Esquemas_NORM!$H$2:$K$126,MATCH($E991,[1]Esquemas_NORM!$A$2:$A$126,0),MATCH(AB$4,[1]Esquemas_NORM!$H$1:$K$1,0)))</f>
        <v>A la fecha no ha conformado un EAT Área Metropolitana</v>
      </c>
      <c r="AC991" s="17" t="str">
        <f>IF($E991="","",INDEX([1]Esquemas_NORM!$H$2:$K$126,MATCH($E991,[1]Esquemas_NORM!$A$2:$A$126,0),MATCH(AC$4,[1]Esquemas_NORM!$H$1:$K$1,0)))</f>
        <v>A la fecha no ha conformado un EAT asociación - unión</v>
      </c>
      <c r="AD991" s="23"/>
    </row>
    <row r="992" spans="1:30" x14ac:dyDescent="0.25">
      <c r="A992" s="51">
        <v>2022</v>
      </c>
      <c r="B992" s="52" t="s">
        <v>36</v>
      </c>
      <c r="C992" s="52" t="s">
        <v>252</v>
      </c>
      <c r="D992" s="52" t="s">
        <v>267</v>
      </c>
      <c r="E992" s="52" t="s">
        <v>284</v>
      </c>
      <c r="F992" s="52" t="s">
        <v>255</v>
      </c>
      <c r="G992" s="52" t="s">
        <v>285</v>
      </c>
      <c r="H992" s="53">
        <v>16.001920113130332</v>
      </c>
      <c r="I992" s="53">
        <v>0</v>
      </c>
      <c r="J992" s="54">
        <v>16.001920113130332</v>
      </c>
      <c r="K992" s="53">
        <v>1.6510192064838611</v>
      </c>
      <c r="L992" s="53">
        <v>2.8881615481675995</v>
      </c>
      <c r="M992" s="54">
        <v>4.5391807546514604</v>
      </c>
      <c r="N992" s="53">
        <v>1.2964910027452685</v>
      </c>
      <c r="O992" s="53">
        <v>8.5652952797786082</v>
      </c>
      <c r="P992" s="53">
        <v>2.7085313131666524</v>
      </c>
      <c r="Q992" s="53">
        <v>2.0827087526311967</v>
      </c>
      <c r="R992" s="53">
        <v>11.842640364356322</v>
      </c>
      <c r="S992" s="53">
        <v>7.0587783775943107</v>
      </c>
      <c r="T992" s="53">
        <v>15.872920818016274</v>
      </c>
      <c r="U992" s="53">
        <v>4.1733482977405432</v>
      </c>
      <c r="V992" s="54">
        <v>53.600714206029181</v>
      </c>
      <c r="W992" s="54">
        <v>79.270448701416555</v>
      </c>
      <c r="X992" s="53">
        <v>9.0513162557959479</v>
      </c>
      <c r="Y992" s="55">
        <v>88.269876932636564</v>
      </c>
      <c r="Z992" s="17" t="str">
        <f>SUBSTITUTE(SUBSTITUTE(SUBSTITUTE(SUBSTITUTE(IF(E992="","",VLOOKUP(E992,[1]Esquemas_NORM!$A$2:$H$126,8,FALSE)),"PROVINCIA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992" s="17" t="str">
        <f>IF($E992="","",INDEX([1]Esquemas_NORM!$H$2:$K$126,MATCH($E992,[1]Esquemas_NORM!$A$2:$A$126,0),MATCH(AA$4,[1]Esquemas_NORM!$H$1:$K$1,0)))</f>
        <v>A la fecha no ha conformado un EAT Región</v>
      </c>
      <c r="AB992" s="17" t="str">
        <f>IF($E992="","",INDEX([1]Esquemas_NORM!$H$2:$K$126,MATCH($E992,[1]Esquemas_NORM!$A$2:$A$126,0),MATCH(AB$4,[1]Esquemas_NORM!$H$1:$K$1,0)))</f>
        <v>A la fecha no ha conformado un EAT Área Metropolitana</v>
      </c>
      <c r="AC992" s="17" t="str">
        <f>IF($E992="","",INDEX([1]Esquemas_NORM!$H$2:$K$126,MATCH($E992,[1]Esquemas_NORM!$A$2:$A$126,0),MATCH(AC$4,[1]Esquemas_NORM!$H$1:$K$1,0)))</f>
        <v>A la fecha no ha conformado un EAT asociación - unión</v>
      </c>
      <c r="AD992" s="23"/>
    </row>
    <row r="993" spans="1:30" x14ac:dyDescent="0.25">
      <c r="A993" s="51">
        <v>2022</v>
      </c>
      <c r="B993" s="52" t="s">
        <v>36</v>
      </c>
      <c r="C993" s="52" t="s">
        <v>252</v>
      </c>
      <c r="D993" s="52" t="s">
        <v>267</v>
      </c>
      <c r="E993" s="52" t="s">
        <v>286</v>
      </c>
      <c r="F993" s="52" t="s">
        <v>255</v>
      </c>
      <c r="G993" s="52" t="s">
        <v>287</v>
      </c>
      <c r="H993" s="53">
        <v>32.600177973376994</v>
      </c>
      <c r="I993" s="53">
        <v>0</v>
      </c>
      <c r="J993" s="54">
        <v>32.600177973376994</v>
      </c>
      <c r="K993" s="53">
        <v>1.287852202982158</v>
      </c>
      <c r="L993" s="53">
        <v>5.6042541736126017</v>
      </c>
      <c r="M993" s="54">
        <v>6.8921063765947599</v>
      </c>
      <c r="N993" s="53">
        <v>2.9464998540031275</v>
      </c>
      <c r="O993" s="53">
        <v>9.9351482806431104</v>
      </c>
      <c r="P993" s="53">
        <v>4.1385322853715447</v>
      </c>
      <c r="Q993" s="53">
        <v>2.6394373250859737</v>
      </c>
      <c r="R993" s="53">
        <v>11.193571549259238</v>
      </c>
      <c r="S993" s="53">
        <v>9.5863000021896063</v>
      </c>
      <c r="T993" s="53">
        <v>22.991819265893152</v>
      </c>
      <c r="U993" s="53">
        <v>5.0491516570551767</v>
      </c>
      <c r="V993" s="54">
        <v>68.480460219500927</v>
      </c>
      <c r="W993" s="54">
        <v>121.82491309954942</v>
      </c>
      <c r="X993" s="53">
        <v>13.910301182375182</v>
      </c>
      <c r="Y993" s="55">
        <v>135.65547139931931</v>
      </c>
      <c r="Z993" s="17" t="str">
        <f>SUBSTITUTE(SUBSTITUTE(SUBSTITUTE(SUBSTITUTE(IF(E993="","",VLOOKUP(E993,[1]Esquemas_NORM!$A$2:$H$126,8,FALSE)),"PROVINCIA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993" s="17" t="str">
        <f>IF($E993="","",INDEX([1]Esquemas_NORM!$H$2:$K$126,MATCH($E993,[1]Esquemas_NORM!$A$2:$A$126,0),MATCH(AA$4,[1]Esquemas_NORM!$H$1:$K$1,0)))</f>
        <v>A la fecha no ha conformado un EAT Región</v>
      </c>
      <c r="AB993" s="17" t="str">
        <f>IF($E993="","",INDEX([1]Esquemas_NORM!$H$2:$K$126,MATCH($E993,[1]Esquemas_NORM!$A$2:$A$126,0),MATCH(AB$4,[1]Esquemas_NORM!$H$1:$K$1,0)))</f>
        <v>A la fecha no ha conformado un EAT Área Metropolitana</v>
      </c>
      <c r="AC993" s="17" t="str">
        <f>IF($E993="","",INDEX([1]Esquemas_NORM!$H$2:$K$126,MATCH($E993,[1]Esquemas_NORM!$A$2:$A$126,0),MATCH(AC$4,[1]Esquemas_NORM!$H$1:$K$1,0)))</f>
        <v>A la fecha no ha conformado un EAT asociación - unión</v>
      </c>
      <c r="AD993" s="23"/>
    </row>
    <row r="994" spans="1:30" x14ac:dyDescent="0.25">
      <c r="A994" s="51">
        <v>2022</v>
      </c>
      <c r="B994" s="52" t="s">
        <v>36</v>
      </c>
      <c r="C994" s="52" t="s">
        <v>252</v>
      </c>
      <c r="D994" s="52" t="s">
        <v>264</v>
      </c>
      <c r="E994" s="52" t="s">
        <v>288</v>
      </c>
      <c r="F994" s="52" t="s">
        <v>255</v>
      </c>
      <c r="G994" s="52" t="s">
        <v>289</v>
      </c>
      <c r="H994" s="53">
        <v>96.808911378074555</v>
      </c>
      <c r="I994" s="53">
        <v>7.6648279392394665E-3</v>
      </c>
      <c r="J994" s="54">
        <v>96.816576206013792</v>
      </c>
      <c r="K994" s="53">
        <v>6.9653215899045069</v>
      </c>
      <c r="L994" s="53">
        <v>8.7432669138698476</v>
      </c>
      <c r="M994" s="54">
        <v>15.708588503774354</v>
      </c>
      <c r="N994" s="53">
        <v>16.729032675957612</v>
      </c>
      <c r="O994" s="53">
        <v>26.349440323919801</v>
      </c>
      <c r="P994" s="53">
        <v>5.6029100555750446</v>
      </c>
      <c r="Q994" s="53">
        <v>6.0913525483975954</v>
      </c>
      <c r="R994" s="53">
        <v>17.430383409798164</v>
      </c>
      <c r="S994" s="53">
        <v>14.792564561915786</v>
      </c>
      <c r="T994" s="53">
        <v>26.237422898028505</v>
      </c>
      <c r="U994" s="53">
        <v>10.409424268835647</v>
      </c>
      <c r="V994" s="54">
        <v>123.64253074242815</v>
      </c>
      <c r="W994" s="54">
        <v>288.34174678162776</v>
      </c>
      <c r="X994" s="53">
        <v>32.92364787411455</v>
      </c>
      <c r="Y994" s="55">
        <v>321.07665491869847</v>
      </c>
      <c r="Z994" s="17" t="str">
        <f>SUBSTITUTE(SUBSTITUTE(SUBSTITUTE(SUBSTITUTE(IF(E994="","",VLOOKUP(E994,[1]Esquemas_NORM!$A$2:$H$126,8,FALSE)),"PROVINCIA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994" s="17" t="str">
        <f>IF($E994="","",INDEX([1]Esquemas_NORM!$H$2:$K$126,MATCH($E994,[1]Esquemas_NORM!$A$2:$A$126,0),MATCH(AA$4,[1]Esquemas_NORM!$H$1:$K$1,0)))</f>
        <v>A la fecha no ha conformado un EAT Región</v>
      </c>
      <c r="AB994" s="17" t="str">
        <f>IF($E994="","",INDEX([1]Esquemas_NORM!$H$2:$K$126,MATCH($E994,[1]Esquemas_NORM!$A$2:$A$126,0),MATCH(AB$4,[1]Esquemas_NORM!$H$1:$K$1,0)))</f>
        <v>A la fecha no ha conformado un EAT Área Metropolitana</v>
      </c>
      <c r="AC994" s="17" t="str">
        <f>IF($E994="","",INDEX([1]Esquemas_NORM!$H$2:$K$126,MATCH($E994,[1]Esquemas_NORM!$A$2:$A$126,0),MATCH(AC$4,[1]Esquemas_NORM!$H$1:$K$1,0)))</f>
        <v>A la fecha no ha conformado un EAT asociación - unión</v>
      </c>
      <c r="AD994" s="23"/>
    </row>
    <row r="995" spans="1:30" x14ac:dyDescent="0.25">
      <c r="A995" s="51">
        <v>2022</v>
      </c>
      <c r="B995" s="52" t="s">
        <v>36</v>
      </c>
      <c r="C995" s="52" t="s">
        <v>252</v>
      </c>
      <c r="D995" s="52" t="s">
        <v>267</v>
      </c>
      <c r="E995" s="52" t="s">
        <v>290</v>
      </c>
      <c r="F995" s="52" t="s">
        <v>255</v>
      </c>
      <c r="G995" s="52" t="s">
        <v>291</v>
      </c>
      <c r="H995" s="53">
        <v>75.49233030508644</v>
      </c>
      <c r="I995" s="53">
        <v>3.18665779664319E-2</v>
      </c>
      <c r="J995" s="54">
        <v>75.524196883052866</v>
      </c>
      <c r="K995" s="53">
        <v>10.911678636795605</v>
      </c>
      <c r="L995" s="53">
        <v>7.3500202149819263</v>
      </c>
      <c r="M995" s="54">
        <v>18.261698851777531</v>
      </c>
      <c r="N995" s="53">
        <v>6.587154795599754</v>
      </c>
      <c r="O995" s="53">
        <v>51.09305283085093</v>
      </c>
      <c r="P995" s="53">
        <v>11.573678057030104</v>
      </c>
      <c r="Q995" s="53">
        <v>9.6893317177020108</v>
      </c>
      <c r="R995" s="53">
        <v>39.580535486305315</v>
      </c>
      <c r="S995" s="53">
        <v>26.419292750638128</v>
      </c>
      <c r="T995" s="53">
        <v>39.957272291234162</v>
      </c>
      <c r="U995" s="53">
        <v>15.468943627937641</v>
      </c>
      <c r="V995" s="54">
        <v>200.36926155729807</v>
      </c>
      <c r="W995" s="54">
        <v>326.04511646021035</v>
      </c>
      <c r="X995" s="53">
        <v>37.228721561235439</v>
      </c>
      <c r="Y995" s="55">
        <v>363.06041880542148</v>
      </c>
      <c r="Z995" s="17" t="str">
        <f>SUBSTITUTE(SUBSTITUTE(SUBSTITUTE(SUBSTITUTE(IF(E995="","",VLOOKUP(E995,[1]Esquemas_NORM!$A$2:$H$126,8,FALSE)),"PROVINCIA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995" s="17" t="str">
        <f>IF($E995="","",INDEX([1]Esquemas_NORM!$H$2:$K$126,MATCH($E995,[1]Esquemas_NORM!$A$2:$A$126,0),MATCH(AA$4,[1]Esquemas_NORM!$H$1:$K$1,0)))</f>
        <v>A la fecha no ha conformado un EAT Región</v>
      </c>
      <c r="AB995" s="17" t="str">
        <f>IF($E995="","",INDEX([1]Esquemas_NORM!$H$2:$K$126,MATCH($E995,[1]Esquemas_NORM!$A$2:$A$126,0),MATCH(AB$4,[1]Esquemas_NORM!$H$1:$K$1,0)))</f>
        <v>A la fecha no ha conformado un EAT Área Metropolitana</v>
      </c>
      <c r="AC995" s="17" t="str">
        <f>IF($E995="","",INDEX([1]Esquemas_NORM!$H$2:$K$126,MATCH($E995,[1]Esquemas_NORM!$A$2:$A$126,0),MATCH(AC$4,[1]Esquemas_NORM!$H$1:$K$1,0)))</f>
        <v>A la fecha no ha conformado un EAT asociación - unión</v>
      </c>
      <c r="AD995" s="23"/>
    </row>
    <row r="996" spans="1:30" x14ac:dyDescent="0.25">
      <c r="A996" s="51">
        <v>2022</v>
      </c>
      <c r="B996" s="52" t="s">
        <v>36</v>
      </c>
      <c r="C996" s="52" t="s">
        <v>252</v>
      </c>
      <c r="D996" s="52" t="s">
        <v>267</v>
      </c>
      <c r="E996" s="52" t="s">
        <v>292</v>
      </c>
      <c r="F996" s="52" t="s">
        <v>255</v>
      </c>
      <c r="G996" s="52" t="s">
        <v>293</v>
      </c>
      <c r="H996" s="53">
        <v>82.926128260396695</v>
      </c>
      <c r="I996" s="53">
        <v>0</v>
      </c>
      <c r="J996" s="54">
        <v>82.926128260396695</v>
      </c>
      <c r="K996" s="53">
        <v>12.513841982303168</v>
      </c>
      <c r="L996" s="53">
        <v>15.177931928496635</v>
      </c>
      <c r="M996" s="54">
        <v>27.691773910799803</v>
      </c>
      <c r="N996" s="53">
        <v>4.3288439925758881</v>
      </c>
      <c r="O996" s="53">
        <v>31.347660638655238</v>
      </c>
      <c r="P996" s="53">
        <v>9.816249612919556</v>
      </c>
      <c r="Q996" s="53">
        <v>6.341003843039541</v>
      </c>
      <c r="R996" s="53">
        <v>21.852035487324006</v>
      </c>
      <c r="S996" s="53">
        <v>17.648139019749255</v>
      </c>
      <c r="T996" s="53">
        <v>23.9091437811344</v>
      </c>
      <c r="U996" s="53">
        <v>10.205377417928874</v>
      </c>
      <c r="V996" s="54">
        <v>125.44845379332675</v>
      </c>
      <c r="W996" s="54">
        <v>274.27230086263046</v>
      </c>
      <c r="X996" s="53">
        <v>31.317160126880722</v>
      </c>
      <c r="Y996" s="55">
        <v>305.40993068381999</v>
      </c>
      <c r="Z996" s="17" t="str">
        <f>SUBSTITUTE(SUBSTITUTE(SUBSTITUTE(SUBSTITUTE(IF(E996="","",VLOOKUP(E996,[1]Esquemas_NORM!$A$2:$H$126,8,FALSE)),"PROVINCIA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996" s="17" t="str">
        <f>IF($E996="","",INDEX([1]Esquemas_NORM!$H$2:$K$126,MATCH($E996,[1]Esquemas_NORM!$A$2:$A$126,0),MATCH(AA$4,[1]Esquemas_NORM!$H$1:$K$1,0)))</f>
        <v>A la fecha no ha conformado un EAT Región</v>
      </c>
      <c r="AB996" s="17" t="str">
        <f>IF($E996="","",INDEX([1]Esquemas_NORM!$H$2:$K$126,MATCH($E996,[1]Esquemas_NORM!$A$2:$A$126,0),MATCH(AB$4,[1]Esquemas_NORM!$H$1:$K$1,0)))</f>
        <v>A la fecha no ha conformado un EAT Área Metropolitana</v>
      </c>
      <c r="AC996" s="17" t="str">
        <f>IF($E996="","",INDEX([1]Esquemas_NORM!$H$2:$K$126,MATCH($E996,[1]Esquemas_NORM!$A$2:$A$126,0),MATCH(AC$4,[1]Esquemas_NORM!$H$1:$K$1,0)))</f>
        <v>A la fecha no ha conformado un EAT asociación - unión</v>
      </c>
      <c r="AD996" s="23"/>
    </row>
    <row r="997" spans="1:30" x14ac:dyDescent="0.25">
      <c r="A997" s="51">
        <v>2022</v>
      </c>
      <c r="B997" s="52" t="s">
        <v>36</v>
      </c>
      <c r="C997" s="52" t="s">
        <v>252</v>
      </c>
      <c r="D997" s="52" t="s">
        <v>267</v>
      </c>
      <c r="E997" s="52" t="s">
        <v>294</v>
      </c>
      <c r="F997" s="52" t="s">
        <v>255</v>
      </c>
      <c r="G997" s="52" t="s">
        <v>295</v>
      </c>
      <c r="H997" s="53">
        <v>28.861937080890382</v>
      </c>
      <c r="I997" s="53">
        <v>1.1647169980575891</v>
      </c>
      <c r="J997" s="54">
        <v>30.026654078947971</v>
      </c>
      <c r="K997" s="53">
        <v>2.5771080466227558</v>
      </c>
      <c r="L997" s="53">
        <v>2.91549309188524</v>
      </c>
      <c r="M997" s="54">
        <v>5.4926011385079958</v>
      </c>
      <c r="N997" s="53">
        <v>2.8341224082670129</v>
      </c>
      <c r="O997" s="53">
        <v>8.4391556085961987</v>
      </c>
      <c r="P997" s="53">
        <v>2.6185053456681184</v>
      </c>
      <c r="Q997" s="53">
        <v>2.530212978373731</v>
      </c>
      <c r="R997" s="53">
        <v>8.1607070626054181</v>
      </c>
      <c r="S997" s="53">
        <v>7.2375987963126134</v>
      </c>
      <c r="T997" s="53">
        <v>15.730649852670515</v>
      </c>
      <c r="U997" s="53">
        <v>3.9278633491437205</v>
      </c>
      <c r="V997" s="54">
        <v>51.478815401637327</v>
      </c>
      <c r="W997" s="54">
        <v>101.13376861748232</v>
      </c>
      <c r="X997" s="53">
        <v>11.5477298147408</v>
      </c>
      <c r="Y997" s="55">
        <v>112.61529934343982</v>
      </c>
      <c r="Z997" s="17" t="str">
        <f>SUBSTITUTE(SUBSTITUTE(SUBSTITUTE(SUBSTITUTE(IF(E997="","",VLOOKUP(E997,[1]Esquemas_NORM!$A$2:$H$126,8,FALSE)),"PROVINCIA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997" s="17" t="str">
        <f>IF($E997="","",INDEX([1]Esquemas_NORM!$H$2:$K$126,MATCH($E997,[1]Esquemas_NORM!$A$2:$A$126,0),MATCH(AA$4,[1]Esquemas_NORM!$H$1:$K$1,0)))</f>
        <v>A la fecha no ha conformado un EAT Región</v>
      </c>
      <c r="AB997" s="17" t="str">
        <f>IF($E997="","",INDEX([1]Esquemas_NORM!$H$2:$K$126,MATCH($E997,[1]Esquemas_NORM!$A$2:$A$126,0),MATCH(AB$4,[1]Esquemas_NORM!$H$1:$K$1,0)))</f>
        <v>A la fecha no ha conformado un EAT Área Metropolitana</v>
      </c>
      <c r="AC997" s="17" t="str">
        <f>IF($E997="","",INDEX([1]Esquemas_NORM!$H$2:$K$126,MATCH($E997,[1]Esquemas_NORM!$A$2:$A$126,0),MATCH(AC$4,[1]Esquemas_NORM!$H$1:$K$1,0)))</f>
        <v>A la fecha no ha conformado un EAT asociación - unión</v>
      </c>
      <c r="AD997" s="23"/>
    </row>
    <row r="998" spans="1:30" x14ac:dyDescent="0.25">
      <c r="A998" s="51">
        <v>2022</v>
      </c>
      <c r="B998" s="52" t="s">
        <v>36</v>
      </c>
      <c r="C998" s="52" t="s">
        <v>252</v>
      </c>
      <c r="D998" s="52" t="s">
        <v>253</v>
      </c>
      <c r="E998" s="52" t="s">
        <v>296</v>
      </c>
      <c r="F998" s="52" t="s">
        <v>255</v>
      </c>
      <c r="G998" s="52" t="s">
        <v>297</v>
      </c>
      <c r="H998" s="53">
        <v>19.738874236693597</v>
      </c>
      <c r="I998" s="53">
        <v>7.8734831397612979</v>
      </c>
      <c r="J998" s="54">
        <v>27.612357376454895</v>
      </c>
      <c r="K998" s="53">
        <v>3.5139515194027848</v>
      </c>
      <c r="L998" s="53">
        <v>3.1233025587586964</v>
      </c>
      <c r="M998" s="54">
        <v>6.6372540781614813</v>
      </c>
      <c r="N998" s="53">
        <v>4.4025774770293591</v>
      </c>
      <c r="O998" s="53">
        <v>16.627893037924544</v>
      </c>
      <c r="P998" s="53">
        <v>5.6480942348148426</v>
      </c>
      <c r="Q998" s="53">
        <v>3.1829986082758444</v>
      </c>
      <c r="R998" s="53">
        <v>15.634015923788363</v>
      </c>
      <c r="S998" s="53">
        <v>11.534887143361919</v>
      </c>
      <c r="T998" s="53">
        <v>15.492749290894825</v>
      </c>
      <c r="U998" s="53">
        <v>8.7263535833292742</v>
      </c>
      <c r="V998" s="54">
        <v>81.249569299418965</v>
      </c>
      <c r="W998" s="54">
        <v>127.23677007444007</v>
      </c>
      <c r="X998" s="53">
        <v>14.528241787154837</v>
      </c>
      <c r="Y998" s="55">
        <v>141.68172654202425</v>
      </c>
      <c r="Z998" s="17" t="str">
        <f>SUBSTITUTE(SUBSTITUTE(SUBSTITUTE(SUBSTITUTE(IF(E998="","",VLOOKUP(E998,[1]Esquemas_NORM!$A$2:$H$126,8,FALSE)),"PROVINCIA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98" s="17" t="str">
        <f>IF($E998="","",INDEX([1]Esquemas_NORM!$H$2:$K$126,MATCH($E998,[1]Esquemas_NORM!$A$2:$A$126,0),MATCH(AA$4,[1]Esquemas_NORM!$H$1:$K$1,0)))</f>
        <v>A la fecha no ha conformado un EAT Región</v>
      </c>
      <c r="AB998" s="17" t="str">
        <f>IF($E998="","",INDEX([1]Esquemas_NORM!$H$2:$K$126,MATCH($E998,[1]Esquemas_NORM!$A$2:$A$126,0),MATCH(AB$4,[1]Esquemas_NORM!$H$1:$K$1,0)))</f>
        <v>A la fecha no ha conformado un EAT Área Metropolitana</v>
      </c>
      <c r="AC998" s="17" t="str">
        <f>IF($E998="","",INDEX([1]Esquemas_NORM!$H$2:$K$126,MATCH($E998,[1]Esquemas_NORM!$A$2:$A$126,0),MATCH(AC$4,[1]Esquemas_NORM!$H$1:$K$1,0)))</f>
        <v>A la fecha no ha conformado un EAT asociación - unión</v>
      </c>
      <c r="AD998" s="23"/>
    </row>
    <row r="999" spans="1:30" x14ac:dyDescent="0.25">
      <c r="A999" s="51">
        <v>2022</v>
      </c>
      <c r="B999" s="52" t="s">
        <v>36</v>
      </c>
      <c r="C999" s="52" t="s">
        <v>252</v>
      </c>
      <c r="D999" s="52" t="s">
        <v>264</v>
      </c>
      <c r="E999" s="52" t="s">
        <v>298</v>
      </c>
      <c r="F999" s="52" t="s">
        <v>255</v>
      </c>
      <c r="G999" s="52" t="s">
        <v>299</v>
      </c>
      <c r="H999" s="53">
        <v>228.55729240927491</v>
      </c>
      <c r="I999" s="53">
        <v>0</v>
      </c>
      <c r="J999" s="54">
        <v>228.55729240927491</v>
      </c>
      <c r="K999" s="53">
        <v>10.191363466412007</v>
      </c>
      <c r="L999" s="53">
        <v>25.426568107195159</v>
      </c>
      <c r="M999" s="54">
        <v>35.617931573607166</v>
      </c>
      <c r="N999" s="53">
        <v>8.3523887579739533</v>
      </c>
      <c r="O999" s="53">
        <v>47.048773679840593</v>
      </c>
      <c r="P999" s="53">
        <v>13.050876070495475</v>
      </c>
      <c r="Q999" s="53">
        <v>13.82190714982911</v>
      </c>
      <c r="R999" s="53">
        <v>35.916956046867803</v>
      </c>
      <c r="S999" s="53">
        <v>32.509979257235614</v>
      </c>
      <c r="T999" s="53">
        <v>62.982031985188989</v>
      </c>
      <c r="U999" s="53">
        <v>19.354998529464797</v>
      </c>
      <c r="V999" s="54">
        <v>233.03791147689637</v>
      </c>
      <c r="W999" s="54">
        <v>611.80263769808857</v>
      </c>
      <c r="X999" s="53">
        <v>69.857295507329766</v>
      </c>
      <c r="Y999" s="55">
        <v>681.25946580778816</v>
      </c>
      <c r="Z999" s="17" t="str">
        <f>SUBSTITUTE(SUBSTITUTE(SUBSTITUTE(SUBSTITUTE(IF(E999="","",VLOOKUP(E999,[1]Esquemas_NORM!$A$2:$H$126,8,FALSE)),"PROVINCIA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999" s="17" t="str">
        <f>IF($E999="","",INDEX([1]Esquemas_NORM!$H$2:$K$126,MATCH($E999,[1]Esquemas_NORM!$A$2:$A$126,0),MATCH(AA$4,[1]Esquemas_NORM!$H$1:$K$1,0)))</f>
        <v>A la fecha no ha conformado un EAT Región</v>
      </c>
      <c r="AB999" s="17" t="str">
        <f>IF($E999="","",INDEX([1]Esquemas_NORM!$H$2:$K$126,MATCH($E999,[1]Esquemas_NORM!$A$2:$A$126,0),MATCH(AB$4,[1]Esquemas_NORM!$H$1:$K$1,0)))</f>
        <v>A la fecha no ha conformado un EAT Área Metropolitana</v>
      </c>
      <c r="AC999" s="17" t="str">
        <f>IF($E999="","",INDEX([1]Esquemas_NORM!$H$2:$K$126,MATCH($E999,[1]Esquemas_NORM!$A$2:$A$126,0),MATCH(AC$4,[1]Esquemas_NORM!$H$1:$K$1,0)))</f>
        <v>A la fecha no ha conformado un EAT asociación - unión</v>
      </c>
      <c r="AD999" s="23"/>
    </row>
    <row r="1000" spans="1:30" x14ac:dyDescent="0.25">
      <c r="A1000" s="51">
        <v>2022</v>
      </c>
      <c r="B1000" s="52" t="s">
        <v>36</v>
      </c>
      <c r="C1000" s="52" t="s">
        <v>252</v>
      </c>
      <c r="D1000" s="52" t="s">
        <v>267</v>
      </c>
      <c r="E1000" s="52" t="s">
        <v>300</v>
      </c>
      <c r="F1000" s="52" t="s">
        <v>255</v>
      </c>
      <c r="G1000" s="52" t="s">
        <v>301</v>
      </c>
      <c r="H1000" s="53">
        <v>109.32274842920934</v>
      </c>
      <c r="I1000" s="53">
        <v>10.352565622953655</v>
      </c>
      <c r="J1000" s="54">
        <v>119.675314052163</v>
      </c>
      <c r="K1000" s="53">
        <v>4.2024084971973439</v>
      </c>
      <c r="L1000" s="53">
        <v>8.7442048169146975</v>
      </c>
      <c r="M1000" s="54">
        <v>12.946613314112042</v>
      </c>
      <c r="N1000" s="53">
        <v>2.206365710640751</v>
      </c>
      <c r="O1000" s="53">
        <v>9.2282728186331031</v>
      </c>
      <c r="P1000" s="53">
        <v>3.4524289585529737</v>
      </c>
      <c r="Q1000" s="53">
        <v>2.3540303621397998</v>
      </c>
      <c r="R1000" s="53">
        <v>12.365793786906064</v>
      </c>
      <c r="S1000" s="53">
        <v>9.0600228639735381</v>
      </c>
      <c r="T1000" s="53">
        <v>16.123167017837968</v>
      </c>
      <c r="U1000" s="53">
        <v>6.2791766361717212</v>
      </c>
      <c r="V1000" s="54">
        <v>61.069258154855923</v>
      </c>
      <c r="W1000" s="54">
        <v>257.85535754600704</v>
      </c>
      <c r="X1000" s="53">
        <v>29.442628717678794</v>
      </c>
      <c r="Y1000" s="55">
        <v>287.12920198974081</v>
      </c>
      <c r="Z1000" s="17" t="str">
        <f>SUBSTITUTE(SUBSTITUTE(SUBSTITUTE(SUBSTITUTE(IF(E1000="","",VLOOKUP(E1000,[1]Esquemas_NORM!$A$2:$H$126,8,FALSE)),"PROVINCIA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000" s="17" t="str">
        <f>IF($E1000="","",INDEX([1]Esquemas_NORM!$H$2:$K$126,MATCH($E1000,[1]Esquemas_NORM!$A$2:$A$126,0),MATCH(AA$4,[1]Esquemas_NORM!$H$1:$K$1,0)))</f>
        <v>A la fecha no ha conformado un EAT Región</v>
      </c>
      <c r="AB1000" s="17" t="str">
        <f>IF($E1000="","",INDEX([1]Esquemas_NORM!$H$2:$K$126,MATCH($E1000,[1]Esquemas_NORM!$A$2:$A$126,0),MATCH(AB$4,[1]Esquemas_NORM!$H$1:$K$1,0)))</f>
        <v>A la fecha no ha conformado un EAT Área Metropolitana</v>
      </c>
      <c r="AC1000" s="17" t="str">
        <f>IF($E1000="","",INDEX([1]Esquemas_NORM!$H$2:$K$126,MATCH($E1000,[1]Esquemas_NORM!$A$2:$A$126,0),MATCH(AC$4,[1]Esquemas_NORM!$H$1:$K$1,0)))</f>
        <v>A la fecha no ha conformado un EAT asociación - unión</v>
      </c>
      <c r="AD1000" s="23"/>
    </row>
    <row r="1001" spans="1:30" x14ac:dyDescent="0.25">
      <c r="A1001" s="51">
        <v>2022</v>
      </c>
      <c r="B1001" s="52" t="s">
        <v>36</v>
      </c>
      <c r="C1001" s="52" t="s">
        <v>252</v>
      </c>
      <c r="D1001" s="52" t="s">
        <v>253</v>
      </c>
      <c r="E1001" s="52" t="s">
        <v>302</v>
      </c>
      <c r="F1001" s="52" t="s">
        <v>255</v>
      </c>
      <c r="G1001" s="52" t="s">
        <v>303</v>
      </c>
      <c r="H1001" s="53">
        <v>42.88949401561603</v>
      </c>
      <c r="I1001" s="53">
        <v>11.46681963201803</v>
      </c>
      <c r="J1001" s="54">
        <v>54.35631364763406</v>
      </c>
      <c r="K1001" s="53">
        <v>5.4776252028097083</v>
      </c>
      <c r="L1001" s="53">
        <v>6.1490396664344003</v>
      </c>
      <c r="M1001" s="54">
        <v>11.626664869244109</v>
      </c>
      <c r="N1001" s="53">
        <v>12.16457805791002</v>
      </c>
      <c r="O1001" s="53">
        <v>33.232019227966063</v>
      </c>
      <c r="P1001" s="53">
        <v>5.4451668158164326</v>
      </c>
      <c r="Q1001" s="53">
        <v>3.7726748989084493</v>
      </c>
      <c r="R1001" s="53">
        <v>17.391760179813492</v>
      </c>
      <c r="S1001" s="53">
        <v>18.210717253043569</v>
      </c>
      <c r="T1001" s="53">
        <v>26.354628949717721</v>
      </c>
      <c r="U1001" s="53">
        <v>7.2268244539843067</v>
      </c>
      <c r="V1001" s="54">
        <v>123.79836983716005</v>
      </c>
      <c r="W1001" s="54">
        <v>218.70427356149614</v>
      </c>
      <c r="X1001" s="53">
        <v>24.972251058605391</v>
      </c>
      <c r="Y1001" s="55">
        <v>243.53336745488616</v>
      </c>
      <c r="Z1001" s="17" t="str">
        <f>SUBSTITUTE(SUBSTITUTE(SUBSTITUTE(SUBSTITUTE(IF(E1001="","",VLOOKUP(E1001,[1]Esquemas_NORM!$A$2:$H$126,8,FALSE)),"PROVINCIA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001" s="17" t="str">
        <f>IF($E1001="","",INDEX([1]Esquemas_NORM!$H$2:$K$126,MATCH($E1001,[1]Esquemas_NORM!$A$2:$A$126,0),MATCH(AA$4,[1]Esquemas_NORM!$H$1:$K$1,0)))</f>
        <v>A la fecha no ha conformado un EAT Región</v>
      </c>
      <c r="AB1001" s="17" t="str">
        <f>IF($E1001="","",INDEX([1]Esquemas_NORM!$H$2:$K$126,MATCH($E1001,[1]Esquemas_NORM!$A$2:$A$126,0),MATCH(AB$4,[1]Esquemas_NORM!$H$1:$K$1,0)))</f>
        <v>A la fecha no ha conformado un EAT Área Metropolitana</v>
      </c>
      <c r="AC1001" s="17" t="str">
        <f>IF($E1001="","",INDEX([1]Esquemas_NORM!$H$2:$K$126,MATCH($E1001,[1]Esquemas_NORM!$A$2:$A$126,0),MATCH(AC$4,[1]Esquemas_NORM!$H$1:$K$1,0)))</f>
        <v>A la fecha no ha conformado un EAT asociación - unión</v>
      </c>
      <c r="AD1001" s="23"/>
    </row>
    <row r="1002" spans="1:30" x14ac:dyDescent="0.25">
      <c r="A1002" s="51">
        <v>2022</v>
      </c>
      <c r="B1002" s="52" t="s">
        <v>36</v>
      </c>
      <c r="C1002" s="52" t="s">
        <v>304</v>
      </c>
      <c r="D1002" s="52" t="s">
        <v>305</v>
      </c>
      <c r="E1002" s="52" t="s">
        <v>306</v>
      </c>
      <c r="F1002" s="52" t="s">
        <v>307</v>
      </c>
      <c r="G1002" s="52" t="s">
        <v>308</v>
      </c>
      <c r="H1002" s="53">
        <v>477.94835138358229</v>
      </c>
      <c r="I1002" s="53">
        <v>3.3927371345235189</v>
      </c>
      <c r="J1002" s="54">
        <v>481.34108851810583</v>
      </c>
      <c r="K1002" s="53">
        <v>77.971291040392401</v>
      </c>
      <c r="L1002" s="53">
        <v>81.267984298322602</v>
      </c>
      <c r="M1002" s="54">
        <v>159.239275338715</v>
      </c>
      <c r="N1002" s="53">
        <v>56.369277170057039</v>
      </c>
      <c r="O1002" s="53">
        <v>475.15417844036386</v>
      </c>
      <c r="P1002" s="53">
        <v>74.947590011527751</v>
      </c>
      <c r="Q1002" s="53">
        <v>74.982061617092029</v>
      </c>
      <c r="R1002" s="53">
        <v>116.97890830169483</v>
      </c>
      <c r="S1002" s="53">
        <v>220.309041672891</v>
      </c>
      <c r="T1002" s="53">
        <v>346.62973274192012</v>
      </c>
      <c r="U1002" s="53">
        <v>77.560027415797919</v>
      </c>
      <c r="V1002" s="54">
        <v>1442.9308173713446</v>
      </c>
      <c r="W1002" s="54">
        <v>2307.0298312778255</v>
      </c>
      <c r="X1002" s="53">
        <v>263.42296475583936</v>
      </c>
      <c r="Y1002" s="55">
        <v>2568.942684478302</v>
      </c>
      <c r="Z1002" s="17" t="str">
        <f>SUBSTITUTE(SUBSTITUTE(SUBSTITUTE(SUBSTITUTE(IF(E1002="","",VLOOKUP(E1002,[1]Esquemas_NORM!$A$2:$H$126,8,FALSE)),"PROVINCIA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02" s="17" t="str">
        <f>IF($E1002="","",INDEX([1]Esquemas_NORM!$H$2:$K$126,MATCH($E1002,[1]Esquemas_NORM!$A$2:$A$126,0),MATCH(AA$4,[1]Esquemas_NORM!$H$1:$K$1,0)))</f>
        <v>Región de Planeación y Gestión de Urabá - RPG (Acuerdo de Voluntades)</v>
      </c>
      <c r="AB1002" s="17" t="str">
        <f>IF($E1002="","",INDEX([1]Esquemas_NORM!$H$2:$K$126,MATCH($E1002,[1]Esquemas_NORM!$A$2:$A$126,0),MATCH(AB$4,[1]Esquemas_NORM!$H$1:$K$1,0)))</f>
        <v>A la fecha no ha conformado un EAT Área Metropolitana</v>
      </c>
      <c r="AC1002" s="17" t="str">
        <f>IF($E1002="","",INDEX([1]Esquemas_NORM!$H$2:$K$126,MATCH($E1002,[1]Esquemas_NORM!$A$2:$A$126,0),MATCH(AC$4,[1]Esquemas_NORM!$H$1:$K$1,0)))</f>
        <v>ASOCIACIÓN DE MUNICIPIOS DEL URABÁ ANTIOQUEÑO - ASOMURA</v>
      </c>
      <c r="AD1002" s="23"/>
    </row>
    <row r="1003" spans="1:30" x14ac:dyDescent="0.25">
      <c r="A1003" s="51">
        <v>2022</v>
      </c>
      <c r="B1003" s="52" t="s">
        <v>36</v>
      </c>
      <c r="C1003" s="52" t="s">
        <v>304</v>
      </c>
      <c r="D1003" s="52" t="s">
        <v>309</v>
      </c>
      <c r="E1003" s="52" t="s">
        <v>310</v>
      </c>
      <c r="F1003" s="52" t="s">
        <v>307</v>
      </c>
      <c r="G1003" s="52" t="s">
        <v>311</v>
      </c>
      <c r="H1003" s="53">
        <v>48.624049702655874</v>
      </c>
      <c r="I1003" s="53">
        <v>0</v>
      </c>
      <c r="J1003" s="54">
        <v>48.624049702655874</v>
      </c>
      <c r="K1003" s="53">
        <v>2.3508029614675019</v>
      </c>
      <c r="L1003" s="53">
        <v>14.900308750171748</v>
      </c>
      <c r="M1003" s="54">
        <v>17.251111711639251</v>
      </c>
      <c r="N1003" s="53">
        <v>5.4337080912068041</v>
      </c>
      <c r="O1003" s="53">
        <v>59.065120648809611</v>
      </c>
      <c r="P1003" s="53">
        <v>10.975536675566486</v>
      </c>
      <c r="Q1003" s="53">
        <v>8.5885982251570763</v>
      </c>
      <c r="R1003" s="53">
        <v>18.517418405143825</v>
      </c>
      <c r="S1003" s="53">
        <v>26.906158325974207</v>
      </c>
      <c r="T1003" s="53">
        <v>66.367500665606642</v>
      </c>
      <c r="U1003" s="53">
        <v>12.366859665418641</v>
      </c>
      <c r="V1003" s="54">
        <v>208.22090070288328</v>
      </c>
      <c r="W1003" s="54">
        <v>292.15875961543696</v>
      </c>
      <c r="X1003" s="53">
        <v>33.359484820648454</v>
      </c>
      <c r="Y1003" s="55">
        <v>325.32700619854097</v>
      </c>
      <c r="Z1003" s="17" t="str">
        <f>SUBSTITUTE(SUBSTITUTE(SUBSTITUTE(SUBSTITUTE(IF(E1003="","",VLOOKUP(E1003,[1]Esquemas_NORM!$A$2:$H$126,8,FALSE)),"PROVINCIA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03" s="17" t="str">
        <f>IF($E1003="","",INDEX([1]Esquemas_NORM!$H$2:$K$126,MATCH($E1003,[1]Esquemas_NORM!$A$2:$A$126,0),MATCH(AA$4,[1]Esquemas_NORM!$H$1:$K$1,0)))</f>
        <v>Región de Planeación y Gestión de Urabá - RPG (Acuerdo de Voluntades)</v>
      </c>
      <c r="AB1003" s="17" t="str">
        <f>IF($E1003="","",INDEX([1]Esquemas_NORM!$H$2:$K$126,MATCH($E1003,[1]Esquemas_NORM!$A$2:$A$126,0),MATCH(AB$4,[1]Esquemas_NORM!$H$1:$K$1,0)))</f>
        <v>A la fecha no ha conformado un EAT Área Metropolitana</v>
      </c>
      <c r="AC1003" s="17" t="str">
        <f>IF($E1003="","",INDEX([1]Esquemas_NORM!$H$2:$K$126,MATCH($E1003,[1]Esquemas_NORM!$A$2:$A$126,0),MATCH(AC$4,[1]Esquemas_NORM!$H$1:$K$1,0)))</f>
        <v>ASOCIACIÓN DE MUNICIPIOS DEL URABÁ ANTIOQUEÑO - ASOMURA /ASOCIACIÓN DE MUNICIPIOS DEL URABÁ NORTE-ASOURANOR</v>
      </c>
      <c r="AD1003" s="23"/>
    </row>
    <row r="1004" spans="1:30" x14ac:dyDescent="0.25">
      <c r="A1004" s="51">
        <v>2022</v>
      </c>
      <c r="B1004" s="52" t="s">
        <v>36</v>
      </c>
      <c r="C1004" s="52" t="s">
        <v>304</v>
      </c>
      <c r="D1004" s="52" t="s">
        <v>305</v>
      </c>
      <c r="E1004" s="52" t="s">
        <v>312</v>
      </c>
      <c r="F1004" s="52" t="s">
        <v>307</v>
      </c>
      <c r="G1004" s="52" t="s">
        <v>313</v>
      </c>
      <c r="H1004" s="53">
        <v>418.23085137276826</v>
      </c>
      <c r="I1004" s="53">
        <v>2.4499133028372562</v>
      </c>
      <c r="J1004" s="54">
        <v>420.68076467560553</v>
      </c>
      <c r="K1004" s="53">
        <v>38.83670152515392</v>
      </c>
      <c r="L1004" s="53">
        <v>19.111825293052998</v>
      </c>
      <c r="M1004" s="54">
        <v>57.948526818206915</v>
      </c>
      <c r="N1004" s="53">
        <v>20.933113714520566</v>
      </c>
      <c r="O1004" s="53">
        <v>124.50876677202191</v>
      </c>
      <c r="P1004" s="53">
        <v>25.318995868614131</v>
      </c>
      <c r="Q1004" s="53">
        <v>18.528900497763498</v>
      </c>
      <c r="R1004" s="53">
        <v>44.241165657073992</v>
      </c>
      <c r="S1004" s="53">
        <v>61.087533323727378</v>
      </c>
      <c r="T1004" s="53">
        <v>94.280678401310539</v>
      </c>
      <c r="U1004" s="53">
        <v>24.512800305141898</v>
      </c>
      <c r="V1004" s="54">
        <v>413.41195454017395</v>
      </c>
      <c r="W1004" s="54">
        <v>1117.1677530114603</v>
      </c>
      <c r="X1004" s="53">
        <v>127.56126411454632</v>
      </c>
      <c r="Y1004" s="55">
        <v>1243.9977530954227</v>
      </c>
      <c r="Z1004" s="17" t="str">
        <f>SUBSTITUTE(SUBSTITUTE(SUBSTITUTE(SUBSTITUTE(IF(E1004="","",VLOOKUP(E1004,[1]Esquemas_NORM!$A$2:$H$126,8,FALSE)),"PROVINCIA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04" s="17" t="str">
        <f>IF($E1004="","",INDEX([1]Esquemas_NORM!$H$2:$K$126,MATCH($E1004,[1]Esquemas_NORM!$A$2:$A$126,0),MATCH(AA$4,[1]Esquemas_NORM!$H$1:$K$1,0)))</f>
        <v>Región de Planeación y Gestión de Urabá - RPG (Acuerdo de Voluntades)</v>
      </c>
      <c r="AB1004" s="17" t="str">
        <f>IF($E1004="","",INDEX([1]Esquemas_NORM!$H$2:$K$126,MATCH($E1004,[1]Esquemas_NORM!$A$2:$A$126,0),MATCH(AB$4,[1]Esquemas_NORM!$H$1:$K$1,0)))</f>
        <v>A la fecha no ha conformado un EAT Área Metropolitana</v>
      </c>
      <c r="AC1004" s="17" t="str">
        <f>IF($E1004="","",INDEX([1]Esquemas_NORM!$H$2:$K$126,MATCH($E1004,[1]Esquemas_NORM!$A$2:$A$126,0),MATCH(AC$4,[1]Esquemas_NORM!$H$1:$K$1,0)))</f>
        <v>ASOCIACIÓN DE MUNICIPIOS DEL URABÁ ANTIOQUEÑO - ASOMURA / ASOCIACIÓN DE MUNICIPIOS DEL CHOCÓ Y URABÁ - ASUMUCUR</v>
      </c>
      <c r="AD1004" s="23"/>
    </row>
    <row r="1005" spans="1:30" x14ac:dyDescent="0.25">
      <c r="A1005" s="51">
        <v>2022</v>
      </c>
      <c r="B1005" s="52" t="s">
        <v>36</v>
      </c>
      <c r="C1005" s="52" t="s">
        <v>304</v>
      </c>
      <c r="D1005" s="52" t="s">
        <v>305</v>
      </c>
      <c r="E1005" s="52" t="s">
        <v>314</v>
      </c>
      <c r="F1005" s="52" t="s">
        <v>307</v>
      </c>
      <c r="G1005" s="52" t="s">
        <v>315</v>
      </c>
      <c r="H1005" s="53">
        <v>313.72748234597339</v>
      </c>
      <c r="I1005" s="53">
        <v>0.96073436206839258</v>
      </c>
      <c r="J1005" s="54">
        <v>314.68821670804175</v>
      </c>
      <c r="K1005" s="53">
        <v>17.885968054928604</v>
      </c>
      <c r="L1005" s="53">
        <v>38.499702423958695</v>
      </c>
      <c r="M1005" s="54">
        <v>56.385670478887299</v>
      </c>
      <c r="N1005" s="53">
        <v>25.043983921119128</v>
      </c>
      <c r="O1005" s="53">
        <v>152.68896640455142</v>
      </c>
      <c r="P1005" s="53">
        <v>37.035735568820925</v>
      </c>
      <c r="Q1005" s="53">
        <v>30.81159499816669</v>
      </c>
      <c r="R1005" s="53">
        <v>52.888202148228046</v>
      </c>
      <c r="S1005" s="53">
        <v>68.270191560290343</v>
      </c>
      <c r="T1005" s="53">
        <v>116.86966547057065</v>
      </c>
      <c r="U1005" s="53">
        <v>34.666254184985995</v>
      </c>
      <c r="V1005" s="54">
        <v>518.27459425673317</v>
      </c>
      <c r="W1005" s="54">
        <v>1046.8979096871972</v>
      </c>
      <c r="X1005" s="53">
        <v>119.53766155406724</v>
      </c>
      <c r="Y1005" s="55">
        <v>1165.7503037127444</v>
      </c>
      <c r="Z1005" s="17" t="str">
        <f>SUBSTITUTE(SUBSTITUTE(SUBSTITUTE(SUBSTITUTE(IF(E1005="","",VLOOKUP(E1005,[1]Esquemas_NORM!$A$2:$H$126,8,FALSE)),"PROVINCIA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05" s="17" t="str">
        <f>IF($E1005="","",INDEX([1]Esquemas_NORM!$H$2:$K$126,MATCH($E1005,[1]Esquemas_NORM!$A$2:$A$126,0),MATCH(AA$4,[1]Esquemas_NORM!$H$1:$K$1,0)))</f>
        <v>Región de Planeación y Gestión de Urabá - RPG (Acuerdo de Voluntades)</v>
      </c>
      <c r="AB1005" s="17" t="str">
        <f>IF($E1005="","",INDEX([1]Esquemas_NORM!$H$2:$K$126,MATCH($E1005,[1]Esquemas_NORM!$A$2:$A$126,0),MATCH(AB$4,[1]Esquemas_NORM!$H$1:$K$1,0)))</f>
        <v>A la fecha no ha conformado un EAT Área Metropolitana</v>
      </c>
      <c r="AC1005" s="17" t="str">
        <f>IF($E1005="","",INDEX([1]Esquemas_NORM!$H$2:$K$126,MATCH($E1005,[1]Esquemas_NORM!$A$2:$A$126,0),MATCH(AC$4,[1]Esquemas_NORM!$H$1:$K$1,0)))</f>
        <v>ASOCIACIÓN DE MUNICIPIOS DEL URABÁ ANTIOQUEÑO - ASOMURA</v>
      </c>
      <c r="AD1005" s="23"/>
    </row>
    <row r="1006" spans="1:30" x14ac:dyDescent="0.25">
      <c r="A1006" s="51">
        <v>2022</v>
      </c>
      <c r="B1006" s="52" t="s">
        <v>36</v>
      </c>
      <c r="C1006" s="52" t="s">
        <v>304</v>
      </c>
      <c r="D1006" s="52" t="s">
        <v>316</v>
      </c>
      <c r="E1006" s="52" t="s">
        <v>317</v>
      </c>
      <c r="F1006" s="52" t="s">
        <v>307</v>
      </c>
      <c r="G1006" s="52" t="s">
        <v>318</v>
      </c>
      <c r="H1006" s="53">
        <v>1.8809582227315844</v>
      </c>
      <c r="I1006" s="53">
        <v>0</v>
      </c>
      <c r="J1006" s="54">
        <v>1.8809582227315844</v>
      </c>
      <c r="K1006" s="53">
        <v>1.3719434760171519E-2</v>
      </c>
      <c r="L1006" s="53">
        <v>2.0607435387914488</v>
      </c>
      <c r="M1006" s="54">
        <v>2.0744629735516202</v>
      </c>
      <c r="N1006" s="53">
        <v>0.32870764397519792</v>
      </c>
      <c r="O1006" s="53">
        <v>5.6092314410579585</v>
      </c>
      <c r="P1006" s="53">
        <v>1.8340962877445408</v>
      </c>
      <c r="Q1006" s="53">
        <v>0.79231911363375929</v>
      </c>
      <c r="R1006" s="53">
        <v>3.1520411817465694</v>
      </c>
      <c r="S1006" s="53">
        <v>5.9725283819963373</v>
      </c>
      <c r="T1006" s="53">
        <v>18.811696744547234</v>
      </c>
      <c r="U1006" s="53">
        <v>2.6356066470222523</v>
      </c>
      <c r="V1006" s="54">
        <v>39.136227441723847</v>
      </c>
      <c r="W1006" s="54">
        <v>41.515885176055747</v>
      </c>
      <c r="X1006" s="53">
        <v>4.7403971154925122</v>
      </c>
      <c r="Y1006" s="55">
        <v>46.229107255887406</v>
      </c>
      <c r="Z1006" s="17" t="str">
        <f>SUBSTITUTE(SUBSTITUTE(SUBSTITUTE(SUBSTITUTE(IF(E1006="","",VLOOKUP(E1006,[1]Esquemas_NORM!$A$2:$H$126,8,FALSE)),"PROVINCIA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06" s="17" t="str">
        <f>IF($E1006="","",INDEX([1]Esquemas_NORM!$H$2:$K$126,MATCH($E1006,[1]Esquemas_NORM!$A$2:$A$126,0),MATCH(AA$4,[1]Esquemas_NORM!$H$1:$K$1,0)))</f>
        <v>Región de Planeación y Gestión de Urabá - RPG (Acuerdo de Voluntades)</v>
      </c>
      <c r="AB1006" s="17" t="str">
        <f>IF($E1006="","",INDEX([1]Esquemas_NORM!$H$2:$K$126,MATCH($E1006,[1]Esquemas_NORM!$A$2:$A$126,0),MATCH(AB$4,[1]Esquemas_NORM!$H$1:$K$1,0)))</f>
        <v>A la fecha no ha conformado un EAT Área Metropolitana</v>
      </c>
      <c r="AC1006" s="17" t="str">
        <f>IF($E1006="","",INDEX([1]Esquemas_NORM!$H$2:$K$126,MATCH($E1006,[1]Esquemas_NORM!$A$2:$A$126,0),MATCH(AC$4,[1]Esquemas_NORM!$H$1:$K$1,0)))</f>
        <v>ASOCIACION DE MUNICIPIOS DE LA CUENCA DEL ATRATO Y DARIEN ASOATRATO / ASOCIACIÓN DE MUNICIPIOS DEL CHOCÓ Y URABÁ - ASUMUCUR</v>
      </c>
      <c r="AD1006" s="23"/>
    </row>
    <row r="1007" spans="1:30" x14ac:dyDescent="0.25">
      <c r="A1007" s="51">
        <v>2022</v>
      </c>
      <c r="B1007" s="52" t="s">
        <v>36</v>
      </c>
      <c r="C1007" s="52" t="s">
        <v>304</v>
      </c>
      <c r="D1007" s="52" t="s">
        <v>305</v>
      </c>
      <c r="E1007" s="52" t="s">
        <v>319</v>
      </c>
      <c r="F1007" s="52" t="s">
        <v>307</v>
      </c>
      <c r="G1007" s="52" t="s">
        <v>320</v>
      </c>
      <c r="H1007" s="53">
        <v>51.460453974926438</v>
      </c>
      <c r="I1007" s="53">
        <v>10.797421157289321</v>
      </c>
      <c r="J1007" s="54">
        <v>62.257875132215759</v>
      </c>
      <c r="K1007" s="53">
        <v>4.3461461766433951</v>
      </c>
      <c r="L1007" s="53">
        <v>7.3253830173788801</v>
      </c>
      <c r="M1007" s="54">
        <v>11.671529194022275</v>
      </c>
      <c r="N1007" s="53">
        <v>3.5580752982411692</v>
      </c>
      <c r="O1007" s="53">
        <v>34.691345720811739</v>
      </c>
      <c r="P1007" s="53">
        <v>5.5988829032591925</v>
      </c>
      <c r="Q1007" s="53">
        <v>5.0055560595857616</v>
      </c>
      <c r="R1007" s="53">
        <v>10.311051246351939</v>
      </c>
      <c r="S1007" s="53">
        <v>16.124627046294872</v>
      </c>
      <c r="T1007" s="53">
        <v>39.813882546382644</v>
      </c>
      <c r="U1007" s="53">
        <v>5.7735278996496309</v>
      </c>
      <c r="V1007" s="54">
        <v>120.87694872057696</v>
      </c>
      <c r="W1007" s="54">
        <v>226.02798322911505</v>
      </c>
      <c r="X1007" s="53">
        <v>25.808492223540213</v>
      </c>
      <c r="Y1007" s="55">
        <v>251.68852440985447</v>
      </c>
      <c r="Z1007" s="17" t="str">
        <f>SUBSTITUTE(SUBSTITUTE(SUBSTITUTE(SUBSTITUTE(IF(E1007="","",VLOOKUP(E1007,[1]Esquemas_NORM!$A$2:$H$126,8,FALSE)),"PROVINCIA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07" s="17" t="str">
        <f>IF($E1007="","",INDEX([1]Esquemas_NORM!$H$2:$K$126,MATCH($E1007,[1]Esquemas_NORM!$A$2:$A$126,0),MATCH(AA$4,[1]Esquemas_NORM!$H$1:$K$1,0)))</f>
        <v>Región de Planeación y Gestión de Urabá - RPG (Acuerdo de Voluntades)</v>
      </c>
      <c r="AB1007" s="17" t="str">
        <f>IF($E1007="","",INDEX([1]Esquemas_NORM!$H$2:$K$126,MATCH($E1007,[1]Esquemas_NORM!$A$2:$A$126,0),MATCH(AB$4,[1]Esquemas_NORM!$H$1:$K$1,0)))</f>
        <v>A la fecha no ha conformado un EAT Área Metropolitana</v>
      </c>
      <c r="AC1007" s="17" t="str">
        <f>IF($E1007="","",INDEX([1]Esquemas_NORM!$H$2:$K$126,MATCH($E1007,[1]Esquemas_NORM!$A$2:$A$126,0),MATCH(AC$4,[1]Esquemas_NORM!$H$1:$K$1,0)))</f>
        <v>ASOCIACIÓN DE MUNICIPIOS DEL URABÁ ANTIOQUEÑO - ASOMURA / ASOCIACIÓN DE MUNICIPIOS DEL CHOCÓ Y URABÁ - ASUMUCUR</v>
      </c>
      <c r="AD1007" s="23"/>
    </row>
    <row r="1008" spans="1:30" x14ac:dyDescent="0.25">
      <c r="A1008" s="51">
        <v>2022</v>
      </c>
      <c r="B1008" s="52" t="s">
        <v>36</v>
      </c>
      <c r="C1008" s="52" t="s">
        <v>304</v>
      </c>
      <c r="D1008" s="52" t="s">
        <v>309</v>
      </c>
      <c r="E1008" s="52" t="s">
        <v>321</v>
      </c>
      <c r="F1008" s="52" t="s">
        <v>307</v>
      </c>
      <c r="G1008" s="52" t="s">
        <v>322</v>
      </c>
      <c r="H1008" s="53">
        <v>132.84159591704883</v>
      </c>
      <c r="I1008" s="53">
        <v>0</v>
      </c>
      <c r="J1008" s="54">
        <v>132.84159591704883</v>
      </c>
      <c r="K1008" s="53">
        <v>2.8987381458162891</v>
      </c>
      <c r="L1008" s="53">
        <v>29.596212304923704</v>
      </c>
      <c r="M1008" s="54">
        <v>32.494950450739992</v>
      </c>
      <c r="N1008" s="53">
        <v>10.824304606809552</v>
      </c>
      <c r="O1008" s="53">
        <v>104.8602087754669</v>
      </c>
      <c r="P1008" s="53">
        <v>15.864622070336695</v>
      </c>
      <c r="Q1008" s="53">
        <v>13.917295921902221</v>
      </c>
      <c r="R1008" s="53">
        <v>29.670568088675257</v>
      </c>
      <c r="S1008" s="53">
        <v>46.780188536279475</v>
      </c>
      <c r="T1008" s="53">
        <v>110.44877841777246</v>
      </c>
      <c r="U1008" s="53">
        <v>18.371527806822435</v>
      </c>
      <c r="V1008" s="54">
        <v>350.73749422406496</v>
      </c>
      <c r="W1008" s="54">
        <v>577.16191565335362</v>
      </c>
      <c r="X1008" s="53">
        <v>65.901923288674055</v>
      </c>
      <c r="Y1008" s="55">
        <v>642.68604630739139</v>
      </c>
      <c r="Z1008" s="17" t="str">
        <f>SUBSTITUTE(SUBSTITUTE(SUBSTITUTE(SUBSTITUTE(IF(E1008="","",VLOOKUP(E1008,[1]Esquemas_NORM!$A$2:$H$126,8,FALSE)),"PROVINCIA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08" s="17" t="str">
        <f>IF($E1008="","",INDEX([1]Esquemas_NORM!$H$2:$K$126,MATCH($E1008,[1]Esquemas_NORM!$A$2:$A$126,0),MATCH(AA$4,[1]Esquemas_NORM!$H$1:$K$1,0)))</f>
        <v>Región de Planeación y Gestión de Urabá - RPG (Acuerdo de Voluntades)</v>
      </c>
      <c r="AB1008" s="17" t="str">
        <f>IF($E1008="","",INDEX([1]Esquemas_NORM!$H$2:$K$126,MATCH($E1008,[1]Esquemas_NORM!$A$2:$A$126,0),MATCH(AB$4,[1]Esquemas_NORM!$H$1:$K$1,0)))</f>
        <v>A la fecha no ha conformado un EAT Área Metropolitana</v>
      </c>
      <c r="AC1008" s="17" t="str">
        <f>IF($E1008="","",INDEX([1]Esquemas_NORM!$H$2:$K$126,MATCH($E1008,[1]Esquemas_NORM!$A$2:$A$126,0),MATCH(AC$4,[1]Esquemas_NORM!$H$1:$K$1,0)))</f>
        <v>ASOCIACIÓN DE MUNICIPIOS DEL URABÁ NORTE-ASOURANOR</v>
      </c>
      <c r="AD1008" s="23"/>
    </row>
    <row r="1009" spans="1:30" x14ac:dyDescent="0.25">
      <c r="A1009" s="51">
        <v>2022</v>
      </c>
      <c r="B1009" s="52" t="s">
        <v>36</v>
      </c>
      <c r="C1009" s="52" t="s">
        <v>304</v>
      </c>
      <c r="D1009" s="52" t="s">
        <v>309</v>
      </c>
      <c r="E1009" s="52" t="s">
        <v>323</v>
      </c>
      <c r="F1009" s="52" t="s">
        <v>307</v>
      </c>
      <c r="G1009" s="52" t="s">
        <v>324</v>
      </c>
      <c r="H1009" s="53">
        <v>39.858068959510504</v>
      </c>
      <c r="I1009" s="53">
        <v>0</v>
      </c>
      <c r="J1009" s="54">
        <v>39.858068959510504</v>
      </c>
      <c r="K1009" s="53">
        <v>5.9515413173111451</v>
      </c>
      <c r="L1009" s="53">
        <v>5.512175644752606</v>
      </c>
      <c r="M1009" s="54">
        <v>11.463716962063751</v>
      </c>
      <c r="N1009" s="53">
        <v>3.4660720177619981</v>
      </c>
      <c r="O1009" s="53">
        <v>27.673483102344331</v>
      </c>
      <c r="P1009" s="53">
        <v>7.0990864467445212</v>
      </c>
      <c r="Q1009" s="53">
        <v>5.8514836573638176</v>
      </c>
      <c r="R1009" s="53">
        <v>9.8678926110759146</v>
      </c>
      <c r="S1009" s="53">
        <v>18.809160651093482</v>
      </c>
      <c r="T1009" s="53">
        <v>56.118010241183903</v>
      </c>
      <c r="U1009" s="53">
        <v>7.7898402507387363</v>
      </c>
      <c r="V1009" s="54">
        <v>136.6750289783067</v>
      </c>
      <c r="W1009" s="54">
        <v>203.21475793986068</v>
      </c>
      <c r="X1009" s="53">
        <v>23.203615875660901</v>
      </c>
      <c r="Y1009" s="55">
        <v>226.28535561609269</v>
      </c>
      <c r="Z1009" s="17" t="str">
        <f>SUBSTITUTE(SUBSTITUTE(SUBSTITUTE(SUBSTITUTE(IF(E1009="","",VLOOKUP(E1009,[1]Esquemas_NORM!$A$2:$H$126,8,FALSE)),"PROVINCIA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09" s="17" t="str">
        <f>IF($E1009="","",INDEX([1]Esquemas_NORM!$H$2:$K$126,MATCH($E1009,[1]Esquemas_NORM!$A$2:$A$126,0),MATCH(AA$4,[1]Esquemas_NORM!$H$1:$K$1,0)))</f>
        <v>Región de Planeación y Gestión de Urabá - RPG (Acuerdo de Voluntades)</v>
      </c>
      <c r="AB1009" s="17" t="str">
        <f>IF($E1009="","",INDEX([1]Esquemas_NORM!$H$2:$K$126,MATCH($E1009,[1]Esquemas_NORM!$A$2:$A$126,0),MATCH(AB$4,[1]Esquemas_NORM!$H$1:$K$1,0)))</f>
        <v>A la fecha no ha conformado un EAT Área Metropolitana</v>
      </c>
      <c r="AC1009" s="17" t="str">
        <f>IF($E1009="","",INDEX([1]Esquemas_NORM!$H$2:$K$126,MATCH($E1009,[1]Esquemas_NORM!$A$2:$A$126,0),MATCH(AC$4,[1]Esquemas_NORM!$H$1:$K$1,0)))</f>
        <v>ASOCIACIÓN DE MUNICIPIOS DEL URABÁ ANTIOQUEÑO - ASOMURA / ASOCIACIÓN DE MUNICIPIOS DEL CHOCÓ Y URABÁ - ASUMUCUR</v>
      </c>
      <c r="AD1009" s="23"/>
    </row>
    <row r="1010" spans="1:30" x14ac:dyDescent="0.25">
      <c r="A1010" s="51">
        <v>2022</v>
      </c>
      <c r="B1010" s="52" t="s">
        <v>36</v>
      </c>
      <c r="C1010" s="52" t="s">
        <v>304</v>
      </c>
      <c r="D1010" s="52" t="s">
        <v>309</v>
      </c>
      <c r="E1010" s="52" t="s">
        <v>325</v>
      </c>
      <c r="F1010" s="52" t="s">
        <v>307</v>
      </c>
      <c r="G1010" s="52" t="s">
        <v>326</v>
      </c>
      <c r="H1010" s="53">
        <v>40.234604625844582</v>
      </c>
      <c r="I1010" s="53">
        <v>0</v>
      </c>
      <c r="J1010" s="54">
        <v>40.234604625844582</v>
      </c>
      <c r="K1010" s="53">
        <v>2.5998181576155672</v>
      </c>
      <c r="L1010" s="53">
        <v>14.023416945421284</v>
      </c>
      <c r="M1010" s="54">
        <v>16.623235103036851</v>
      </c>
      <c r="N1010" s="53">
        <v>6.5749750434872229</v>
      </c>
      <c r="O1010" s="53">
        <v>54.88686609465271</v>
      </c>
      <c r="P1010" s="53">
        <v>13.139606638561419</v>
      </c>
      <c r="Q1010" s="53">
        <v>7.9421415457217392</v>
      </c>
      <c r="R1010" s="53">
        <v>16.269599724050273</v>
      </c>
      <c r="S1010" s="53">
        <v>28.60454285093909</v>
      </c>
      <c r="T1010" s="53">
        <v>70.613514096170462</v>
      </c>
      <c r="U1010" s="53">
        <v>9.0675164752016801</v>
      </c>
      <c r="V1010" s="54">
        <v>207.09876246878457</v>
      </c>
      <c r="W1010" s="54">
        <v>277.24107464286271</v>
      </c>
      <c r="X1010" s="53">
        <v>31.656142822426059</v>
      </c>
      <c r="Y1010" s="55">
        <v>308.71574389058094</v>
      </c>
      <c r="Z1010" s="17" t="str">
        <f>SUBSTITUTE(SUBSTITUTE(SUBSTITUTE(SUBSTITUTE(IF(E1010="","",VLOOKUP(E1010,[1]Esquemas_NORM!$A$2:$H$126,8,FALSE)),"PROVINCIA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10" s="17" t="str">
        <f>IF($E1010="","",INDEX([1]Esquemas_NORM!$H$2:$K$126,MATCH($E1010,[1]Esquemas_NORM!$A$2:$A$126,0),MATCH(AA$4,[1]Esquemas_NORM!$H$1:$K$1,0)))</f>
        <v>Región de Planeación y Gestión de Urabá - RPG (Acuerdo de Voluntades)</v>
      </c>
      <c r="AB1010" s="17" t="str">
        <f>IF($E1010="","",INDEX([1]Esquemas_NORM!$H$2:$K$126,MATCH($E1010,[1]Esquemas_NORM!$A$2:$A$126,0),MATCH(AB$4,[1]Esquemas_NORM!$H$1:$K$1,0)))</f>
        <v>A la fecha no ha conformado un EAT Área Metropolitana</v>
      </c>
      <c r="AC1010" s="17" t="str">
        <f>IF($E1010="","",INDEX([1]Esquemas_NORM!$H$2:$K$126,MATCH($E1010,[1]Esquemas_NORM!$A$2:$A$126,0),MATCH(AC$4,[1]Esquemas_NORM!$H$1:$K$1,0)))</f>
        <v>ASOCIACIÓN DE MUNICIPIOS DEL URABÁ NORTE-ASOURANOR</v>
      </c>
      <c r="AD1010" s="23"/>
    </row>
    <row r="1011" spans="1:30" x14ac:dyDescent="0.25">
      <c r="A1011" s="51">
        <v>2022</v>
      </c>
      <c r="B1011" s="52" t="s">
        <v>36</v>
      </c>
      <c r="C1011" s="52" t="s">
        <v>304</v>
      </c>
      <c r="D1011" s="52" t="s">
        <v>305</v>
      </c>
      <c r="E1011" s="52" t="s">
        <v>327</v>
      </c>
      <c r="F1011" s="52" t="s">
        <v>307</v>
      </c>
      <c r="G1011" s="52" t="s">
        <v>328</v>
      </c>
      <c r="H1011" s="53">
        <v>570.40074915829598</v>
      </c>
      <c r="I1011" s="53">
        <v>1.4462429004930317</v>
      </c>
      <c r="J1011" s="54">
        <v>571.84699205878906</v>
      </c>
      <c r="K1011" s="53">
        <v>41.515656004253927</v>
      </c>
      <c r="L1011" s="53">
        <v>82.963498312253293</v>
      </c>
      <c r="M1011" s="54">
        <v>124.47915431650722</v>
      </c>
      <c r="N1011" s="53">
        <v>41.205401875247837</v>
      </c>
      <c r="O1011" s="53">
        <v>376.6851717725495</v>
      </c>
      <c r="P1011" s="53">
        <v>70.586269305550047</v>
      </c>
      <c r="Q1011" s="53">
        <v>56.186695775282189</v>
      </c>
      <c r="R1011" s="53">
        <v>114.61052461858202</v>
      </c>
      <c r="S1011" s="53">
        <v>191.74143159651936</v>
      </c>
      <c r="T1011" s="53">
        <v>414.48008264221374</v>
      </c>
      <c r="U1011" s="53">
        <v>60.942609120474856</v>
      </c>
      <c r="V1011" s="54">
        <v>1326.4381867064194</v>
      </c>
      <c r="W1011" s="54">
        <v>2291.6986512046356</v>
      </c>
      <c r="X1011" s="53">
        <v>261.67240875807971</v>
      </c>
      <c r="Y1011" s="55">
        <v>2551.8709837315055</v>
      </c>
      <c r="Z1011" s="17" t="str">
        <f>SUBSTITUTE(SUBSTITUTE(SUBSTITUTE(SUBSTITUTE(IF(E1011="","",VLOOKUP(E1011,[1]Esquemas_NORM!$A$2:$H$126,8,FALSE)),"PROVINCIA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11" s="17" t="str">
        <f>IF($E1011="","",INDEX([1]Esquemas_NORM!$H$2:$K$126,MATCH($E1011,[1]Esquemas_NORM!$A$2:$A$126,0),MATCH(AA$4,[1]Esquemas_NORM!$H$1:$K$1,0)))</f>
        <v>Región de Planeación y Gestión de Urabá - RPG (Acuerdo de Voluntades)</v>
      </c>
      <c r="AB1011" s="17" t="str">
        <f>IF($E1011="","",INDEX([1]Esquemas_NORM!$H$2:$K$126,MATCH($E1011,[1]Esquemas_NORM!$A$2:$A$126,0),MATCH(AB$4,[1]Esquemas_NORM!$H$1:$K$1,0)))</f>
        <v>A la fecha no ha conformado un EAT Área Metropolitana</v>
      </c>
      <c r="AC1011" s="17" t="str">
        <f>IF($E1011="","",INDEX([1]Esquemas_NORM!$H$2:$K$126,MATCH($E1011,[1]Esquemas_NORM!$A$2:$A$126,0),MATCH(AC$4,[1]Esquemas_NORM!$H$1:$K$1,0)))</f>
        <v>ASOCIACIÓN DE MUNICIPIOS DEL URABÁ ANTIOQUEÑO - ASOMURA</v>
      </c>
      <c r="AD1011" s="23"/>
    </row>
    <row r="1012" spans="1:30" ht="15.75" thickBot="1" x14ac:dyDescent="0.3">
      <c r="A1012" s="61">
        <v>2022</v>
      </c>
      <c r="B1012" s="62" t="s">
        <v>36</v>
      </c>
      <c r="C1012" s="62" t="s">
        <v>304</v>
      </c>
      <c r="D1012" s="62" t="s">
        <v>316</v>
      </c>
      <c r="E1012" s="62" t="s">
        <v>329</v>
      </c>
      <c r="F1012" s="62" t="s">
        <v>307</v>
      </c>
      <c r="G1012" s="62" t="s">
        <v>330</v>
      </c>
      <c r="H1012" s="63">
        <v>12.437773300570061</v>
      </c>
      <c r="I1012" s="63">
        <v>0</v>
      </c>
      <c r="J1012" s="64">
        <v>12.437773300570061</v>
      </c>
      <c r="K1012" s="63">
        <v>0.76140525033290418</v>
      </c>
      <c r="L1012" s="63">
        <v>3.2963323693424575</v>
      </c>
      <c r="M1012" s="64">
        <v>4.0577376196753621</v>
      </c>
      <c r="N1012" s="63">
        <v>1.5233838821361503</v>
      </c>
      <c r="O1012" s="63">
        <v>13.568607313461776</v>
      </c>
      <c r="P1012" s="63">
        <v>2.8726019269951677</v>
      </c>
      <c r="Q1012" s="63">
        <v>1.8321535860435321</v>
      </c>
      <c r="R1012" s="63">
        <v>5.3805622469455496</v>
      </c>
      <c r="S1012" s="63">
        <v>10.075427704524577</v>
      </c>
      <c r="T1012" s="63">
        <v>23.35883048186486</v>
      </c>
      <c r="U1012" s="63">
        <v>3.5634707384739834</v>
      </c>
      <c r="V1012" s="64">
        <v>62.175037880445601</v>
      </c>
      <c r="W1012" s="64">
        <v>82.542597264767366</v>
      </c>
      <c r="X1012" s="63">
        <v>9.424939112335661</v>
      </c>
      <c r="Y1012" s="65">
        <v>91.913506503605348</v>
      </c>
      <c r="Z1012" s="17" t="str">
        <f>SUBSTITUTE(SUBSTITUTE(SUBSTITUTE(SUBSTITUTE(IF(E1012="","",VLOOKUP(E1012,[1]Esquemas_NORM!$A$2:$H$126,8,FALSE)),"PROVINCIA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12" s="17" t="str">
        <f>IF($E1012="","",INDEX([1]Esquemas_NORM!$H$2:$K$126,MATCH($E1012,[1]Esquemas_NORM!$A$2:$A$126,0),MATCH(AA$4,[1]Esquemas_NORM!$H$1:$K$1,0)))</f>
        <v>Región de Planeación y Gestión de Urabá - RPG (Acuerdo de Voluntades)</v>
      </c>
      <c r="AB1012" s="17" t="str">
        <f>IF($E1012="","",INDEX([1]Esquemas_NORM!$H$2:$K$126,MATCH($E1012,[1]Esquemas_NORM!$A$2:$A$126,0),MATCH(AB$4,[1]Esquemas_NORM!$H$1:$K$1,0)))</f>
        <v>A la fecha no ha conformado un EAT Área Metropolitana</v>
      </c>
      <c r="AC1012" s="17" t="str">
        <f>IF($E1012="","",INDEX([1]Esquemas_NORM!$H$2:$K$126,MATCH($E1012,[1]Esquemas_NORM!$A$2:$A$126,0),MATCH(AC$4,[1]Esquemas_NORM!$H$1:$K$1,0)))</f>
        <v>ASOCIACION DE MUNICIPIOS DE LA CUENCA DEL ATRATO Y DARIEN ASOATRATO</v>
      </c>
      <c r="AD1012" s="23"/>
    </row>
    <row r="1013" spans="1:30" ht="15.75" thickBot="1" x14ac:dyDescent="0.3">
      <c r="A1013" s="42">
        <v>2023</v>
      </c>
      <c r="B1013" s="43" t="s">
        <v>36</v>
      </c>
      <c r="C1013" s="43"/>
      <c r="D1013" s="43"/>
      <c r="E1013" s="43"/>
      <c r="F1013" s="43"/>
      <c r="G1013" s="43" t="s">
        <v>37</v>
      </c>
      <c r="H1013" s="44">
        <v>7520.7213687945477</v>
      </c>
      <c r="I1013" s="44">
        <v>3318.9277866553916</v>
      </c>
      <c r="J1013" s="44">
        <v>10839.649155449939</v>
      </c>
      <c r="K1013" s="44">
        <v>21526.65658380917</v>
      </c>
      <c r="L1013" s="44">
        <v>5767.1102970980346</v>
      </c>
      <c r="M1013" s="44">
        <v>27293.766880907206</v>
      </c>
      <c r="N1013" s="44">
        <v>6152.6698723952322</v>
      </c>
      <c r="O1013" s="44">
        <v>24554.127385986529</v>
      </c>
      <c r="P1013" s="44">
        <v>4461.4723272253332</v>
      </c>
      <c r="Q1013" s="44">
        <v>8293.9381889523193</v>
      </c>
      <c r="R1013" s="44">
        <v>12927.241203359432</v>
      </c>
      <c r="S1013" s="44">
        <v>13181.749306483642</v>
      </c>
      <c r="T1013" s="44">
        <v>17575.130333930352</v>
      </c>
      <c r="U1013" s="44">
        <v>5680.0449200771081</v>
      </c>
      <c r="V1013" s="44">
        <v>92826.373538409956</v>
      </c>
      <c r="W1013" s="44">
        <v>131749.33237045287</v>
      </c>
      <c r="X1013" s="44">
        <v>14594.548248354575</v>
      </c>
      <c r="Y1013" s="45">
        <v>146272.28860791906</v>
      </c>
      <c r="Z1013" s="17" t="str">
        <f>SUBSTITUTE(SUBSTITUTE(SUBSTITUTE(SUBSTITUTE(IF(E1013="","",VLOOKUP(E1013,[1]Esquemas_NORM!$A$2:$H$126,8,FALSE)),"PROVINCIA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1013" s="17" t="str">
        <f>IF($E1013="","",INDEX([1]Esquemas_NORM!$H$2:$K$126,MATCH($E1013,[1]Esquemas_NORM!$A$2:$A$126,0),MATCH(AA$4,[1]Esquemas_NORM!$H$1:$K$1,0)))</f>
        <v/>
      </c>
      <c r="AB1013" s="17" t="str">
        <f>IF($E1013="","",INDEX([1]Esquemas_NORM!$H$2:$K$126,MATCH($E1013,[1]Esquemas_NORM!$A$2:$A$126,0),MATCH(AB$4,[1]Esquemas_NORM!$H$1:$K$1,0)))</f>
        <v/>
      </c>
      <c r="AC1013" s="17" t="str">
        <f>IF($E1013="","",INDEX([1]Esquemas_NORM!$H$2:$K$126,MATCH($E1013,[1]Esquemas_NORM!$A$2:$A$126,0),MATCH(AC$4,[1]Esquemas_NORM!$H$1:$K$1,0)))</f>
        <v/>
      </c>
      <c r="AD1013" s="23"/>
    </row>
    <row r="1014" spans="1:30" x14ac:dyDescent="0.25">
      <c r="A1014" s="46">
        <v>2023</v>
      </c>
      <c r="B1014" s="47" t="s">
        <v>36</v>
      </c>
      <c r="C1014" s="47" t="s">
        <v>38</v>
      </c>
      <c r="D1014" s="47" t="s">
        <v>39</v>
      </c>
      <c r="E1014" s="47" t="s">
        <v>40</v>
      </c>
      <c r="F1014" s="47" t="s">
        <v>41</v>
      </c>
      <c r="G1014" s="47" t="s">
        <v>42</v>
      </c>
      <c r="H1014" s="48">
        <v>96.614649960947276</v>
      </c>
      <c r="I1014" s="48">
        <v>8.6217819502445057</v>
      </c>
      <c r="J1014" s="49">
        <v>105.23643191119179</v>
      </c>
      <c r="K1014" s="48">
        <v>7628.7742800575734</v>
      </c>
      <c r="L1014" s="48">
        <v>2513.9685682941895</v>
      </c>
      <c r="M1014" s="49">
        <v>10142.742848351763</v>
      </c>
      <c r="N1014" s="48">
        <v>2104.038640290185</v>
      </c>
      <c r="O1014" s="48">
        <v>12065.316815317339</v>
      </c>
      <c r="P1014" s="48">
        <v>2090.3890767270627</v>
      </c>
      <c r="Q1014" s="48">
        <v>5827.6312393007602</v>
      </c>
      <c r="R1014" s="48">
        <v>6078.4213263586516</v>
      </c>
      <c r="S1014" s="48">
        <v>6404.0720717919658</v>
      </c>
      <c r="T1014" s="48">
        <v>8634.7566918012344</v>
      </c>
      <c r="U1014" s="48">
        <v>2431.4280089235831</v>
      </c>
      <c r="V1014" s="49">
        <v>45636.05387051079</v>
      </c>
      <c r="W1014" s="49">
        <v>53150.690447063193</v>
      </c>
      <c r="X1014" s="48">
        <v>5887.7741708920703</v>
      </c>
      <c r="Y1014" s="50">
        <v>59009.582765267689</v>
      </c>
      <c r="Z1014" s="17" t="str">
        <f>SUBSTITUTE(SUBSTITUTE(SUBSTITUTE(SUBSTITUTE(IF(E1014="","",VLOOKUP(E1014,[1]Esquemas_NORM!$A$2:$H$126,8,FALSE)),"PROVINCIA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14" s="17" t="str">
        <f>IF($E1014="","",INDEX([1]Esquemas_NORM!$H$2:$K$126,MATCH($E1014,[1]Esquemas_NORM!$A$2:$A$126,0),MATCH(AA$4,[1]Esquemas_NORM!$H$1:$K$1,0)))</f>
        <v>A la fecha no ha conformado un EAT Región</v>
      </c>
      <c r="AB1014" s="17" t="str">
        <f>IF($E1014="","",INDEX([1]Esquemas_NORM!$H$2:$K$126,MATCH($E1014,[1]Esquemas_NORM!$A$2:$A$126,0),MATCH(AB$4,[1]Esquemas_NORM!$H$1:$K$1,0)))</f>
        <v>Área Metropolitana del Valle de Aburrá</v>
      </c>
      <c r="AC1014" s="17" t="str">
        <f>IF($E1014="","",INDEX([1]Esquemas_NORM!$H$2:$K$126,MATCH($E1014,[1]Esquemas_NORM!$A$2:$A$126,0),MATCH(AC$4,[1]Esquemas_NORM!$H$1:$K$1,0)))</f>
        <v>A la fecha no ha conformado un EAT asociación - unión</v>
      </c>
      <c r="AD1014" s="23"/>
    </row>
    <row r="1015" spans="1:30" x14ac:dyDescent="0.25">
      <c r="A1015" s="51">
        <v>2023</v>
      </c>
      <c r="B1015" s="52" t="s">
        <v>36</v>
      </c>
      <c r="C1015" s="52" t="s">
        <v>38</v>
      </c>
      <c r="D1015" s="52" t="s">
        <v>43</v>
      </c>
      <c r="E1015" s="52" t="s">
        <v>44</v>
      </c>
      <c r="F1015" s="52" t="s">
        <v>41</v>
      </c>
      <c r="G1015" s="52" t="s">
        <v>45</v>
      </c>
      <c r="H1015" s="53">
        <v>90.535782286542471</v>
      </c>
      <c r="I1015" s="53">
        <v>2.2969523250360893</v>
      </c>
      <c r="J1015" s="54">
        <v>92.832734611578559</v>
      </c>
      <c r="K1015" s="53">
        <v>355.11427339326144</v>
      </c>
      <c r="L1015" s="53">
        <v>88.174034290215744</v>
      </c>
      <c r="M1015" s="54">
        <v>443.28830768347717</v>
      </c>
      <c r="N1015" s="53">
        <v>118.30189967899567</v>
      </c>
      <c r="O1015" s="53">
        <v>141.87367588541213</v>
      </c>
      <c r="P1015" s="53">
        <v>16.53303936474115</v>
      </c>
      <c r="Q1015" s="53">
        <v>12.156201907292267</v>
      </c>
      <c r="R1015" s="53">
        <v>50.690709912895855</v>
      </c>
      <c r="S1015" s="53">
        <v>66.398731650672303</v>
      </c>
      <c r="T1015" s="53">
        <v>57.788026284245596</v>
      </c>
      <c r="U1015" s="53">
        <v>26.253640087066081</v>
      </c>
      <c r="V1015" s="54">
        <v>489.99592477132097</v>
      </c>
      <c r="W1015" s="54">
        <v>1067.1064696807769</v>
      </c>
      <c r="X1015" s="53">
        <v>118.20884840691241</v>
      </c>
      <c r="Y1015" s="55">
        <v>1184.7354570999933</v>
      </c>
      <c r="Z1015" s="17" t="str">
        <f>SUBSTITUTE(SUBSTITUTE(SUBSTITUTE(SUBSTITUTE(IF(E1015="","",VLOOKUP(E1015,[1]Esquemas_NORM!$A$2:$H$126,8,FALSE)),"PROVINCIA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15" s="17" t="str">
        <f>IF($E1015="","",INDEX([1]Esquemas_NORM!$H$2:$K$126,MATCH($E1015,[1]Esquemas_NORM!$A$2:$A$126,0),MATCH(AA$4,[1]Esquemas_NORM!$H$1:$K$1,0)))</f>
        <v>A la fecha no ha conformado un EAT Región</v>
      </c>
      <c r="AB1015" s="17" t="str">
        <f>IF($E1015="","",INDEX([1]Esquemas_NORM!$H$2:$K$126,MATCH($E1015,[1]Esquemas_NORM!$A$2:$A$126,0),MATCH(AB$4,[1]Esquemas_NORM!$H$1:$K$1,0)))</f>
        <v>Área Metropolitana del Valle de Aburrá</v>
      </c>
      <c r="AC1015" s="17" t="str">
        <f>IF($E1015="","",INDEX([1]Esquemas_NORM!$H$2:$K$126,MATCH($E1015,[1]Esquemas_NORM!$A$2:$A$126,0),MATCH(AC$4,[1]Esquemas_NORM!$H$1:$K$1,0)))</f>
        <v>A la fecha no ha conformado un EAT asociación - unión</v>
      </c>
      <c r="AD1015" s="23"/>
    </row>
    <row r="1016" spans="1:30" x14ac:dyDescent="0.25">
      <c r="A1016" s="51">
        <v>2023</v>
      </c>
      <c r="B1016" s="52" t="s">
        <v>36</v>
      </c>
      <c r="C1016" s="52" t="s">
        <v>38</v>
      </c>
      <c r="D1016" s="52" t="s">
        <v>43</v>
      </c>
      <c r="E1016" s="52" t="s">
        <v>46</v>
      </c>
      <c r="F1016" s="52" t="s">
        <v>41</v>
      </c>
      <c r="G1016" s="52" t="s">
        <v>47</v>
      </c>
      <c r="H1016" s="53">
        <v>33.256624452720096</v>
      </c>
      <c r="I1016" s="53">
        <v>3.118518248337848</v>
      </c>
      <c r="J1016" s="54">
        <v>36.375142701057946</v>
      </c>
      <c r="K1016" s="53">
        <v>726.97926909729063</v>
      </c>
      <c r="L1016" s="53">
        <v>218.17940073393044</v>
      </c>
      <c r="M1016" s="54">
        <v>945.158669831221</v>
      </c>
      <c r="N1016" s="53">
        <v>224.96159362651011</v>
      </c>
      <c r="O1016" s="53">
        <v>1419.3339869782064</v>
      </c>
      <c r="P1016" s="53">
        <v>310.21847382722626</v>
      </c>
      <c r="Q1016" s="53">
        <v>246.91666938726226</v>
      </c>
      <c r="R1016" s="53">
        <v>755.54963577057265</v>
      </c>
      <c r="S1016" s="53">
        <v>676.98940479885403</v>
      </c>
      <c r="T1016" s="53">
        <v>864.16863521849871</v>
      </c>
      <c r="U1016" s="53">
        <v>342.93686555330567</v>
      </c>
      <c r="V1016" s="54">
        <v>4841.0752651604353</v>
      </c>
      <c r="W1016" s="54">
        <v>5613.7912113053135</v>
      </c>
      <c r="X1016" s="53">
        <v>621.86840126986419</v>
      </c>
      <c r="Y1016" s="55">
        <v>6232.6091029878153</v>
      </c>
      <c r="Z1016" s="17" t="str">
        <f>SUBSTITUTE(SUBSTITUTE(SUBSTITUTE(SUBSTITUTE(IF(E1016="","",VLOOKUP(E1016,[1]Esquemas_NORM!$A$2:$H$126,8,FALSE)),"PROVINCIA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16" s="17" t="str">
        <f>IF($E1016="","",INDEX([1]Esquemas_NORM!$H$2:$K$126,MATCH($E1016,[1]Esquemas_NORM!$A$2:$A$126,0),MATCH(AA$4,[1]Esquemas_NORM!$H$1:$K$1,0)))</f>
        <v>A la fecha no ha conformado un EAT Región</v>
      </c>
      <c r="AB1016" s="17" t="str">
        <f>IF($E1016="","",INDEX([1]Esquemas_NORM!$H$2:$K$126,MATCH($E1016,[1]Esquemas_NORM!$A$2:$A$126,0),MATCH(AB$4,[1]Esquemas_NORM!$H$1:$K$1,0)))</f>
        <v>Área Metropolitana del Valle de Aburrá</v>
      </c>
      <c r="AC1016" s="17" t="str">
        <f>IF($E1016="","",INDEX([1]Esquemas_NORM!$H$2:$K$126,MATCH($E1016,[1]Esquemas_NORM!$A$2:$A$126,0),MATCH(AC$4,[1]Esquemas_NORM!$H$1:$K$1,0)))</f>
        <v>A la fecha no ha conformado un EAT asociación - unión</v>
      </c>
      <c r="AD1016" s="23"/>
    </row>
    <row r="1017" spans="1:30" x14ac:dyDescent="0.25">
      <c r="A1017" s="51">
        <v>2023</v>
      </c>
      <c r="B1017" s="52" t="s">
        <v>36</v>
      </c>
      <c r="C1017" s="52" t="s">
        <v>38</v>
      </c>
      <c r="D1017" s="52" t="s">
        <v>48</v>
      </c>
      <c r="E1017" s="52" t="s">
        <v>49</v>
      </c>
      <c r="F1017" s="52" t="s">
        <v>41</v>
      </c>
      <c r="G1017" s="52" t="s">
        <v>50</v>
      </c>
      <c r="H1017" s="53">
        <v>49.545617203738388</v>
      </c>
      <c r="I1017" s="53">
        <v>0.10025712504251065</v>
      </c>
      <c r="J1017" s="54">
        <v>49.645874328780899</v>
      </c>
      <c r="K1017" s="53">
        <v>255.31799572905456</v>
      </c>
      <c r="L1017" s="53">
        <v>38.679690853071321</v>
      </c>
      <c r="M1017" s="54">
        <v>293.99768658212588</v>
      </c>
      <c r="N1017" s="53">
        <v>41.370808106341052</v>
      </c>
      <c r="O1017" s="53">
        <v>244.22841274774976</v>
      </c>
      <c r="P1017" s="53">
        <v>52.565285842190356</v>
      </c>
      <c r="Q1017" s="53">
        <v>45.261751186768279</v>
      </c>
      <c r="R1017" s="53">
        <v>115.69546640898754</v>
      </c>
      <c r="S1017" s="53">
        <v>129.97689647542504</v>
      </c>
      <c r="T1017" s="53">
        <v>119.21813061708373</v>
      </c>
      <c r="U1017" s="53">
        <v>61.141421313567534</v>
      </c>
      <c r="V1017" s="54">
        <v>809.45817269811323</v>
      </c>
      <c r="W1017" s="54">
        <v>1131.6169003923553</v>
      </c>
      <c r="X1017" s="53">
        <v>125.35499918127398</v>
      </c>
      <c r="Y1017" s="55">
        <v>1256.3569839000786</v>
      </c>
      <c r="Z1017" s="17" t="str">
        <f>SUBSTITUTE(SUBSTITUTE(SUBSTITUTE(SUBSTITUTE(IF(E1017="","",VLOOKUP(E1017,[1]Esquemas_NORM!$A$2:$H$126,8,FALSE)),"PROVINCIA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17" s="17" t="str">
        <f>IF($E1017="","",INDEX([1]Esquemas_NORM!$H$2:$K$126,MATCH($E1017,[1]Esquemas_NORM!$A$2:$A$126,0),MATCH(AA$4,[1]Esquemas_NORM!$H$1:$K$1,0)))</f>
        <v>A la fecha no ha conformado un EAT Región</v>
      </c>
      <c r="AB1017" s="17" t="str">
        <f>IF($E1017="","",INDEX([1]Esquemas_NORM!$H$2:$K$126,MATCH($E1017,[1]Esquemas_NORM!$A$2:$A$126,0),MATCH(AB$4,[1]Esquemas_NORM!$H$1:$K$1,0)))</f>
        <v>Área Metropolitana del Valle de Aburrá</v>
      </c>
      <c r="AC1017" s="17" t="str">
        <f>IF($E1017="","",INDEX([1]Esquemas_NORM!$H$2:$K$126,MATCH($E1017,[1]Esquemas_NORM!$A$2:$A$126,0),MATCH(AC$4,[1]Esquemas_NORM!$H$1:$K$1,0)))</f>
        <v>A la fecha no ha conformado un EAT asociación - unión</v>
      </c>
      <c r="AD1017" s="23"/>
    </row>
    <row r="1018" spans="1:30" x14ac:dyDescent="0.25">
      <c r="A1018" s="51">
        <v>2023</v>
      </c>
      <c r="B1018" s="52" t="s">
        <v>36</v>
      </c>
      <c r="C1018" s="52" t="s">
        <v>38</v>
      </c>
      <c r="D1018" s="52" t="s">
        <v>43</v>
      </c>
      <c r="E1018" s="52" t="s">
        <v>51</v>
      </c>
      <c r="F1018" s="52" t="s">
        <v>41</v>
      </c>
      <c r="G1018" s="52" t="s">
        <v>52</v>
      </c>
      <c r="H1018" s="53">
        <v>11.096162541719806</v>
      </c>
      <c r="I1018" s="53">
        <v>0.15686382346421576</v>
      </c>
      <c r="J1018" s="54">
        <v>11.253026365184022</v>
      </c>
      <c r="K1018" s="53">
        <v>606.40528521345095</v>
      </c>
      <c r="L1018" s="53">
        <v>52.665843711945243</v>
      </c>
      <c r="M1018" s="54">
        <v>659.07112892539624</v>
      </c>
      <c r="N1018" s="53">
        <v>47.526851648976489</v>
      </c>
      <c r="O1018" s="53">
        <v>253.2437297265179</v>
      </c>
      <c r="P1018" s="53">
        <v>56.935931518061793</v>
      </c>
      <c r="Q1018" s="53">
        <v>38.81432234908609</v>
      </c>
      <c r="R1018" s="53">
        <v>109.77380341415144</v>
      </c>
      <c r="S1018" s="53">
        <v>125.05390875398977</v>
      </c>
      <c r="T1018" s="53">
        <v>89.126622975055056</v>
      </c>
      <c r="U1018" s="53">
        <v>47.976749205560495</v>
      </c>
      <c r="V1018" s="54">
        <v>768.45191959139902</v>
      </c>
      <c r="W1018" s="54">
        <v>1372.7404561790565</v>
      </c>
      <c r="X1018" s="53">
        <v>152.06549027391523</v>
      </c>
      <c r="Y1018" s="55">
        <v>1524.0600052939731</v>
      </c>
      <c r="Z1018" s="17" t="str">
        <f>SUBSTITUTE(SUBSTITUTE(SUBSTITUTE(SUBSTITUTE(IF(E1018="","",VLOOKUP(E1018,[1]Esquemas_NORM!$A$2:$H$126,8,FALSE)),"PROVINCIA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18" s="17" t="str">
        <f>IF($E1018="","",INDEX([1]Esquemas_NORM!$H$2:$K$126,MATCH($E1018,[1]Esquemas_NORM!$A$2:$A$126,0),MATCH(AA$4,[1]Esquemas_NORM!$H$1:$K$1,0)))</f>
        <v>A la fecha no ha conformado un EAT Región</v>
      </c>
      <c r="AB1018" s="17" t="str">
        <f>IF($E1018="","",INDEX([1]Esquemas_NORM!$H$2:$K$126,MATCH($E1018,[1]Esquemas_NORM!$A$2:$A$126,0),MATCH(AB$4,[1]Esquemas_NORM!$H$1:$K$1,0)))</f>
        <v>Área Metropolitana del Valle de Aburrá</v>
      </c>
      <c r="AC1018" s="17" t="str">
        <f>IF($E1018="","",INDEX([1]Esquemas_NORM!$H$2:$K$126,MATCH($E1018,[1]Esquemas_NORM!$A$2:$A$126,0),MATCH(AC$4,[1]Esquemas_NORM!$H$1:$K$1,0)))</f>
        <v>A la fecha no ha conformado un EAT asociación - unión</v>
      </c>
      <c r="AD1018" s="23"/>
    </row>
    <row r="1019" spans="1:30" x14ac:dyDescent="0.25">
      <c r="A1019" s="51">
        <v>2023</v>
      </c>
      <c r="B1019" s="52" t="s">
        <v>36</v>
      </c>
      <c r="C1019" s="52" t="s">
        <v>38</v>
      </c>
      <c r="D1019" s="52" t="s">
        <v>48</v>
      </c>
      <c r="E1019" s="52" t="s">
        <v>53</v>
      </c>
      <c r="F1019" s="52" t="s">
        <v>41</v>
      </c>
      <c r="G1019" s="52" t="s">
        <v>54</v>
      </c>
      <c r="H1019" s="53">
        <v>11.922564581163567</v>
      </c>
      <c r="I1019" s="53">
        <v>0</v>
      </c>
      <c r="J1019" s="54">
        <v>11.922564581163567</v>
      </c>
      <c r="K1019" s="53">
        <v>1704.874243213306</v>
      </c>
      <c r="L1019" s="53">
        <v>254.76842690040118</v>
      </c>
      <c r="M1019" s="54">
        <v>1959.6426701137073</v>
      </c>
      <c r="N1019" s="53">
        <v>301.25851355523758</v>
      </c>
      <c r="O1019" s="53">
        <v>1247.5320265391611</v>
      </c>
      <c r="P1019" s="53">
        <v>266.18662477407662</v>
      </c>
      <c r="Q1019" s="53">
        <v>424.90544903446909</v>
      </c>
      <c r="R1019" s="53">
        <v>1539.9208506105542</v>
      </c>
      <c r="S1019" s="53">
        <v>815.90126063700836</v>
      </c>
      <c r="T1019" s="53">
        <v>935.63275356744646</v>
      </c>
      <c r="U1019" s="53">
        <v>587.35901534120194</v>
      </c>
      <c r="V1019" s="54">
        <v>6118.6964940591552</v>
      </c>
      <c r="W1019" s="54">
        <v>7587.7723768196538</v>
      </c>
      <c r="X1019" s="53">
        <v>840.5364039314295</v>
      </c>
      <c r="Y1019" s="55">
        <v>8424.1856184333246</v>
      </c>
      <c r="Z1019" s="17" t="str">
        <f>SUBSTITUTE(SUBSTITUTE(SUBSTITUTE(SUBSTITUTE(IF(E1019="","",VLOOKUP(E1019,[1]Esquemas_NORM!$A$2:$H$126,8,FALSE)),"PROVINCIA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19" s="17" t="str">
        <f>IF($E1019="","",INDEX([1]Esquemas_NORM!$H$2:$K$126,MATCH($E1019,[1]Esquemas_NORM!$A$2:$A$126,0),MATCH(AA$4,[1]Esquemas_NORM!$H$1:$K$1,0)))</f>
        <v>A la fecha no ha conformado un EAT Región</v>
      </c>
      <c r="AB1019" s="17" t="str">
        <f>IF($E1019="","",INDEX([1]Esquemas_NORM!$H$2:$K$126,MATCH($E1019,[1]Esquemas_NORM!$A$2:$A$126,0),MATCH(AB$4,[1]Esquemas_NORM!$H$1:$K$1,0)))</f>
        <v>Área Metropolitana del Valle de Aburrá</v>
      </c>
      <c r="AC1019" s="17" t="str">
        <f>IF($E1019="","",INDEX([1]Esquemas_NORM!$H$2:$K$126,MATCH($E1019,[1]Esquemas_NORM!$A$2:$A$126,0),MATCH(AC$4,[1]Esquemas_NORM!$H$1:$K$1,0)))</f>
        <v>A la fecha no ha conformado un EAT asociación - unión</v>
      </c>
      <c r="AD1019" s="23"/>
    </row>
    <row r="1020" spans="1:30" x14ac:dyDescent="0.25">
      <c r="A1020" s="51">
        <v>2023</v>
      </c>
      <c r="B1020" s="52" t="s">
        <v>36</v>
      </c>
      <c r="C1020" s="52" t="s">
        <v>38</v>
      </c>
      <c r="D1020" s="52" t="s">
        <v>43</v>
      </c>
      <c r="E1020" s="52" t="s">
        <v>55</v>
      </c>
      <c r="F1020" s="52" t="s">
        <v>41</v>
      </c>
      <c r="G1020" s="52" t="s">
        <v>56</v>
      </c>
      <c r="H1020" s="53">
        <v>64.128369808799533</v>
      </c>
      <c r="I1020" s="53">
        <v>6.8350985275951146</v>
      </c>
      <c r="J1020" s="54">
        <v>70.963468336394641</v>
      </c>
      <c r="K1020" s="53">
        <v>1411.4206684380943</v>
      </c>
      <c r="L1020" s="53">
        <v>135.88302135637662</v>
      </c>
      <c r="M1020" s="54">
        <v>1547.3036897944708</v>
      </c>
      <c r="N1020" s="53">
        <v>107.79459506189696</v>
      </c>
      <c r="O1020" s="53">
        <v>257.87836671680611</v>
      </c>
      <c r="P1020" s="53">
        <v>35.940023156722255</v>
      </c>
      <c r="Q1020" s="53">
        <v>28.619825690814512</v>
      </c>
      <c r="R1020" s="53">
        <v>84.682499679836369</v>
      </c>
      <c r="S1020" s="53">
        <v>100.97768420943288</v>
      </c>
      <c r="T1020" s="53">
        <v>87.963126602683786</v>
      </c>
      <c r="U1020" s="53">
        <v>37.814622487572201</v>
      </c>
      <c r="V1020" s="54">
        <v>741.67074360576521</v>
      </c>
      <c r="W1020" s="54">
        <v>2281.6806786134043</v>
      </c>
      <c r="X1020" s="53">
        <v>252.7534534879486</v>
      </c>
      <c r="Y1020" s="55">
        <v>2533.1942768015338</v>
      </c>
      <c r="Z1020" s="17" t="str">
        <f>SUBSTITUTE(SUBSTITUTE(SUBSTITUTE(SUBSTITUTE(IF(E1020="","",VLOOKUP(E1020,[1]Esquemas_NORM!$A$2:$H$126,8,FALSE)),"PROVINCIA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0" s="17" t="str">
        <f>IF($E1020="","",INDEX([1]Esquemas_NORM!$H$2:$K$126,MATCH($E1020,[1]Esquemas_NORM!$A$2:$A$126,0),MATCH(AA$4,[1]Esquemas_NORM!$H$1:$K$1,0)))</f>
        <v>A la fecha no ha conformado un EAT Región</v>
      </c>
      <c r="AB1020" s="17" t="str">
        <f>IF($E1020="","",INDEX([1]Esquemas_NORM!$H$2:$K$126,MATCH($E1020,[1]Esquemas_NORM!$A$2:$A$126,0),MATCH(AB$4,[1]Esquemas_NORM!$H$1:$K$1,0)))</f>
        <v>Área Metropolitana del Valle de Aburrá</v>
      </c>
      <c r="AC1020" s="17" t="str">
        <f>IF($E1020="","",INDEX([1]Esquemas_NORM!$H$2:$K$126,MATCH($E1020,[1]Esquemas_NORM!$A$2:$A$126,0),MATCH(AC$4,[1]Esquemas_NORM!$H$1:$K$1,0)))</f>
        <v>A la fecha no ha conformado un EAT asociación - unión</v>
      </c>
      <c r="AD1020" s="23"/>
    </row>
    <row r="1021" spans="1:30" x14ac:dyDescent="0.25">
      <c r="A1021" s="51">
        <v>2023</v>
      </c>
      <c r="B1021" s="52" t="s">
        <v>36</v>
      </c>
      <c r="C1021" s="52" t="s">
        <v>38</v>
      </c>
      <c r="D1021" s="52" t="s">
        <v>48</v>
      </c>
      <c r="E1021" s="52" t="s">
        <v>57</v>
      </c>
      <c r="F1021" s="52" t="s">
        <v>41</v>
      </c>
      <c r="G1021" s="52" t="s">
        <v>58</v>
      </c>
      <c r="H1021" s="53">
        <v>0.83972977690575956</v>
      </c>
      <c r="I1021" s="53">
        <v>0.2693035929467843</v>
      </c>
      <c r="J1021" s="54">
        <v>1.1090333698525439</v>
      </c>
      <c r="K1021" s="53">
        <v>2279.9062156356081</v>
      </c>
      <c r="L1021" s="53">
        <v>723.37289365398487</v>
      </c>
      <c r="M1021" s="54">
        <v>3003.2791092895932</v>
      </c>
      <c r="N1021" s="53">
        <v>291.60304381629305</v>
      </c>
      <c r="O1021" s="53">
        <v>1400.1790124333779</v>
      </c>
      <c r="P1021" s="53">
        <v>262.25558784206351</v>
      </c>
      <c r="Q1021" s="53">
        <v>290.17335907615558</v>
      </c>
      <c r="R1021" s="53">
        <v>759.69777371726366</v>
      </c>
      <c r="S1021" s="53">
        <v>654.02744565087119</v>
      </c>
      <c r="T1021" s="53">
        <v>672.74034713700519</v>
      </c>
      <c r="U1021" s="53">
        <v>344.98669887065608</v>
      </c>
      <c r="V1021" s="54">
        <v>4675.6632685436862</v>
      </c>
      <c r="W1021" s="54">
        <v>7306.3413802751784</v>
      </c>
      <c r="X1021" s="53">
        <v>809.3608512075466</v>
      </c>
      <c r="Y1021" s="55">
        <v>8111.731997537403</v>
      </c>
      <c r="Z1021" s="17" t="str">
        <f>SUBSTITUTE(SUBSTITUTE(SUBSTITUTE(SUBSTITUTE(IF(E1021="","",VLOOKUP(E1021,[1]Esquemas_NORM!$A$2:$H$126,8,FALSE)),"PROVINCIA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1" s="17" t="str">
        <f>IF($E1021="","",INDEX([1]Esquemas_NORM!$H$2:$K$126,MATCH($E1021,[1]Esquemas_NORM!$A$2:$A$126,0),MATCH(AA$4,[1]Esquemas_NORM!$H$1:$K$1,0)))</f>
        <v>A la fecha no ha conformado un EAT Región</v>
      </c>
      <c r="AB1021" s="17" t="str">
        <f>IF($E1021="","",INDEX([1]Esquemas_NORM!$H$2:$K$126,MATCH($E1021,[1]Esquemas_NORM!$A$2:$A$126,0),MATCH(AB$4,[1]Esquemas_NORM!$H$1:$K$1,0)))</f>
        <v>Área Metropolitana del Valle de Aburrá</v>
      </c>
      <c r="AC1021" s="17" t="str">
        <f>IF($E1021="","",INDEX([1]Esquemas_NORM!$H$2:$K$126,MATCH($E1021,[1]Esquemas_NORM!$A$2:$A$126,0),MATCH(AC$4,[1]Esquemas_NORM!$H$1:$K$1,0)))</f>
        <v>A la fecha no ha conformado un EAT asociación - unión</v>
      </c>
      <c r="AD1021" s="23"/>
    </row>
    <row r="1022" spans="1:30" x14ac:dyDescent="0.25">
      <c r="A1022" s="51">
        <v>2023</v>
      </c>
      <c r="B1022" s="52" t="s">
        <v>36</v>
      </c>
      <c r="C1022" s="52" t="s">
        <v>38</v>
      </c>
      <c r="D1022" s="52" t="s">
        <v>48</v>
      </c>
      <c r="E1022" s="52" t="s">
        <v>59</v>
      </c>
      <c r="F1022" s="52" t="s">
        <v>41</v>
      </c>
      <c r="G1022" s="52" t="s">
        <v>60</v>
      </c>
      <c r="H1022" s="53">
        <v>5.9266503251180254</v>
      </c>
      <c r="I1022" s="53">
        <v>0</v>
      </c>
      <c r="J1022" s="54">
        <v>5.9266503251180254</v>
      </c>
      <c r="K1022" s="53">
        <v>867.03937390284409</v>
      </c>
      <c r="L1022" s="53">
        <v>99.297116428544172</v>
      </c>
      <c r="M1022" s="54">
        <v>966.33649033138829</v>
      </c>
      <c r="N1022" s="53">
        <v>95.340053213818095</v>
      </c>
      <c r="O1022" s="53">
        <v>324.59891392500555</v>
      </c>
      <c r="P1022" s="53">
        <v>67.108314622369278</v>
      </c>
      <c r="Q1022" s="53">
        <v>41.808731931300755</v>
      </c>
      <c r="R1022" s="53">
        <v>161.05593171350898</v>
      </c>
      <c r="S1022" s="53">
        <v>183.81094734069464</v>
      </c>
      <c r="T1022" s="53">
        <v>185.14951115164871</v>
      </c>
      <c r="U1022" s="53">
        <v>74.356799322764189</v>
      </c>
      <c r="V1022" s="54">
        <v>1133.2292032211101</v>
      </c>
      <c r="W1022" s="54">
        <v>2009.9127607814751</v>
      </c>
      <c r="X1022" s="53">
        <v>222.6483294786529</v>
      </c>
      <c r="Y1022" s="55">
        <v>2231.4689124580432</v>
      </c>
      <c r="Z1022" s="17" t="str">
        <f>SUBSTITUTE(SUBSTITUTE(SUBSTITUTE(SUBSTITUTE(IF(E1022="","",VLOOKUP(E1022,[1]Esquemas_NORM!$A$2:$H$126,8,FALSE)),"PROVINCIA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2" s="17" t="str">
        <f>IF($E1022="","",INDEX([1]Esquemas_NORM!$H$2:$K$126,MATCH($E1022,[1]Esquemas_NORM!$A$2:$A$126,0),MATCH(AA$4,[1]Esquemas_NORM!$H$1:$K$1,0)))</f>
        <v>A la fecha no ha conformado un EAT Región</v>
      </c>
      <c r="AB1022" s="17" t="str">
        <f>IF($E1022="","",INDEX([1]Esquemas_NORM!$H$2:$K$126,MATCH($E1022,[1]Esquemas_NORM!$A$2:$A$126,0),MATCH(AB$4,[1]Esquemas_NORM!$H$1:$K$1,0)))</f>
        <v>Área Metropolitana del Valle de Aburrá</v>
      </c>
      <c r="AC1022" s="17" t="str">
        <f>IF($E1022="","",INDEX([1]Esquemas_NORM!$H$2:$K$126,MATCH($E1022,[1]Esquemas_NORM!$A$2:$A$126,0),MATCH(AC$4,[1]Esquemas_NORM!$H$1:$K$1,0)))</f>
        <v>A la fecha no ha conformado un EAT asociación - unión</v>
      </c>
      <c r="AD1022" s="23"/>
    </row>
    <row r="1023" spans="1:30" x14ac:dyDescent="0.25">
      <c r="A1023" s="51">
        <v>2023</v>
      </c>
      <c r="B1023" s="52" t="s">
        <v>36</v>
      </c>
      <c r="C1023" s="52" t="s">
        <v>38</v>
      </c>
      <c r="D1023" s="52" t="s">
        <v>48</v>
      </c>
      <c r="E1023" s="52" t="s">
        <v>61</v>
      </c>
      <c r="F1023" s="52" t="s">
        <v>41</v>
      </c>
      <c r="G1023" s="52" t="s">
        <v>62</v>
      </c>
      <c r="H1023" s="53">
        <v>4.7286675099933939</v>
      </c>
      <c r="I1023" s="53">
        <v>0</v>
      </c>
      <c r="J1023" s="54">
        <v>4.7286675099933939</v>
      </c>
      <c r="K1023" s="53">
        <v>888.72320823320388</v>
      </c>
      <c r="L1023" s="53">
        <v>57.980861808276117</v>
      </c>
      <c r="M1023" s="54">
        <v>946.70407004148001</v>
      </c>
      <c r="N1023" s="53">
        <v>121.31879938445749</v>
      </c>
      <c r="O1023" s="53">
        <v>506.1699941222725</v>
      </c>
      <c r="P1023" s="53">
        <v>97.336379351852955</v>
      </c>
      <c r="Q1023" s="53">
        <v>97.472434999609348</v>
      </c>
      <c r="R1023" s="53">
        <v>351.05947299665917</v>
      </c>
      <c r="S1023" s="53">
        <v>270.10379583350908</v>
      </c>
      <c r="T1023" s="53">
        <v>379.38859682118499</v>
      </c>
      <c r="U1023" s="53">
        <v>178.86488865605008</v>
      </c>
      <c r="V1023" s="54">
        <v>2001.714362165596</v>
      </c>
      <c r="W1023" s="54">
        <v>2809.2155263537388</v>
      </c>
      <c r="X1023" s="53">
        <v>311.19119013153664</v>
      </c>
      <c r="Y1023" s="55">
        <v>3118.8802010568334</v>
      </c>
      <c r="Z1023" s="17" t="str">
        <f>SUBSTITUTE(SUBSTITUTE(SUBSTITUTE(SUBSTITUTE(IF(E1023="","",VLOOKUP(E1023,[1]Esquemas_NORM!$A$2:$H$126,8,FALSE)),"PROVINCIA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3" s="17" t="str">
        <f>IF($E1023="","",INDEX([1]Esquemas_NORM!$H$2:$K$126,MATCH($E1023,[1]Esquemas_NORM!$A$2:$A$126,0),MATCH(AA$4,[1]Esquemas_NORM!$H$1:$K$1,0)))</f>
        <v>A la fecha no ha conformado un EAT Región</v>
      </c>
      <c r="AB1023" s="17" t="str">
        <f>IF($E1023="","",INDEX([1]Esquemas_NORM!$H$2:$K$126,MATCH($E1023,[1]Esquemas_NORM!$A$2:$A$126,0),MATCH(AB$4,[1]Esquemas_NORM!$H$1:$K$1,0)))</f>
        <v>Área Metropolitana del Valle de Aburrá</v>
      </c>
      <c r="AC1023" s="17" t="str">
        <f>IF($E1023="","",INDEX([1]Esquemas_NORM!$H$2:$K$126,MATCH($E1023,[1]Esquemas_NORM!$A$2:$A$126,0),MATCH(AC$4,[1]Esquemas_NORM!$H$1:$K$1,0)))</f>
        <v>A la fecha no ha conformado un EAT asociación - unión</v>
      </c>
      <c r="AD1023" s="23"/>
    </row>
    <row r="1024" spans="1:30" x14ac:dyDescent="0.25">
      <c r="A1024" s="51">
        <v>2023</v>
      </c>
      <c r="B1024" s="52" t="s">
        <v>36</v>
      </c>
      <c r="C1024" s="52" t="s">
        <v>63</v>
      </c>
      <c r="D1024" s="52" t="s">
        <v>64</v>
      </c>
      <c r="E1024" s="52" t="s">
        <v>65</v>
      </c>
      <c r="F1024" s="52" t="s">
        <v>66</v>
      </c>
      <c r="G1024" s="52" t="s">
        <v>67</v>
      </c>
      <c r="H1024" s="53">
        <v>37.309826848772111</v>
      </c>
      <c r="I1024" s="53">
        <v>18.470634713455063</v>
      </c>
      <c r="J1024" s="54">
        <v>55.780461562227174</v>
      </c>
      <c r="K1024" s="53">
        <v>11.280370218706286</v>
      </c>
      <c r="L1024" s="53">
        <v>5.6750710216245883</v>
      </c>
      <c r="M1024" s="54">
        <v>16.955441240330874</v>
      </c>
      <c r="N1024" s="53">
        <v>6.6836275399967366</v>
      </c>
      <c r="O1024" s="53">
        <v>85.130413906486396</v>
      </c>
      <c r="P1024" s="53">
        <v>10.769894671748691</v>
      </c>
      <c r="Q1024" s="53">
        <v>8.9279714435771478</v>
      </c>
      <c r="R1024" s="53">
        <v>16.55695003113393</v>
      </c>
      <c r="S1024" s="53">
        <v>31.44321812628317</v>
      </c>
      <c r="T1024" s="53">
        <v>62.411495866111288</v>
      </c>
      <c r="U1024" s="53">
        <v>13.848665421784551</v>
      </c>
      <c r="V1024" s="54">
        <v>235.7722370071219</v>
      </c>
      <c r="W1024" s="54">
        <v>334.57195700771996</v>
      </c>
      <c r="X1024" s="53">
        <v>37.062249054632431</v>
      </c>
      <c r="Y1024" s="55">
        <v>371.45240112445975</v>
      </c>
      <c r="Z1024" s="17" t="str">
        <f>SUBSTITUTE(SUBSTITUTE(SUBSTITUTE(SUBSTITUTE(IF(E1024="","",VLOOKUP(E1024,[1]Esquemas_NORM!$A$2:$H$126,8,FALSE)),"PROVINCIA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4" s="17" t="str">
        <f>IF($E1024="","",INDEX([1]Esquemas_NORM!$H$2:$K$126,MATCH($E1024,[1]Esquemas_NORM!$A$2:$A$126,0),MATCH(AA$4,[1]Esquemas_NORM!$H$1:$K$1,0)))</f>
        <v>Región de Planeación y Gestión del Bajo Cauca</v>
      </c>
      <c r="AB1024" s="17" t="str">
        <f>IF($E1024="","",INDEX([1]Esquemas_NORM!$H$2:$K$126,MATCH($E1024,[1]Esquemas_NORM!$A$2:$A$126,0),MATCH(AB$4,[1]Esquemas_NORM!$H$1:$K$1,0)))</f>
        <v>A la fecha no ha conformado un EAT Área Metropolitana</v>
      </c>
      <c r="AC1024" s="17" t="str">
        <f>IF($E1024="","",INDEX([1]Esquemas_NORM!$H$2:$K$126,MATCH($E1024,[1]Esquemas_NORM!$A$2:$A$126,0),MATCH(AC$4,[1]Esquemas_NORM!$H$1:$K$1,0)))</f>
        <v>A la fecha no ha conformado un EAT asociación - unión</v>
      </c>
      <c r="AD1024" s="23"/>
    </row>
    <row r="1025" spans="1:30" x14ac:dyDescent="0.25">
      <c r="A1025" s="51">
        <v>2023</v>
      </c>
      <c r="B1025" s="52" t="s">
        <v>36</v>
      </c>
      <c r="C1025" s="52" t="s">
        <v>63</v>
      </c>
      <c r="D1025" s="52" t="s">
        <v>64</v>
      </c>
      <c r="E1025" s="52" t="s">
        <v>68</v>
      </c>
      <c r="F1025" s="52" t="s">
        <v>66</v>
      </c>
      <c r="G1025" s="52" t="s">
        <v>69</v>
      </c>
      <c r="H1025" s="53">
        <v>22.40198541898037</v>
      </c>
      <c r="I1025" s="53">
        <v>601.16951843605898</v>
      </c>
      <c r="J1025" s="54">
        <v>623.5715038550394</v>
      </c>
      <c r="K1025" s="53">
        <v>29.851524213191524</v>
      </c>
      <c r="L1025" s="53">
        <v>19.657235388417632</v>
      </c>
      <c r="M1025" s="54">
        <v>49.508759601609157</v>
      </c>
      <c r="N1025" s="53">
        <v>48.102947710475547</v>
      </c>
      <c r="O1025" s="53">
        <v>243.9355168760853</v>
      </c>
      <c r="P1025" s="53">
        <v>34.51553694680581</v>
      </c>
      <c r="Q1025" s="53">
        <v>38.400639971625033</v>
      </c>
      <c r="R1025" s="53">
        <v>57.246449641459208</v>
      </c>
      <c r="S1025" s="53">
        <v>149.00224341952571</v>
      </c>
      <c r="T1025" s="53">
        <v>213.83343430958325</v>
      </c>
      <c r="U1025" s="53">
        <v>42.410187456831544</v>
      </c>
      <c r="V1025" s="54">
        <v>827.44695633239132</v>
      </c>
      <c r="W1025" s="54">
        <v>1843.9745214445602</v>
      </c>
      <c r="X1025" s="53">
        <v>204.26650092035089</v>
      </c>
      <c r="Y1025" s="55">
        <v>2047.2390146762311</v>
      </c>
      <c r="Z1025" s="17" t="str">
        <f>SUBSTITUTE(SUBSTITUTE(SUBSTITUTE(SUBSTITUTE(IF(E1025="","",VLOOKUP(E1025,[1]Esquemas_NORM!$A$2:$H$126,8,FALSE)),"PROVINCIA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5" s="17" t="str">
        <f>IF($E1025="","",INDEX([1]Esquemas_NORM!$H$2:$K$126,MATCH($E1025,[1]Esquemas_NORM!$A$2:$A$126,0),MATCH(AA$4,[1]Esquemas_NORM!$H$1:$K$1,0)))</f>
        <v>Región de Planeación y Gestión del Bajo Cauca</v>
      </c>
      <c r="AB1025" s="17" t="str">
        <f>IF($E1025="","",INDEX([1]Esquemas_NORM!$H$2:$K$126,MATCH($E1025,[1]Esquemas_NORM!$A$2:$A$126,0),MATCH(AB$4,[1]Esquemas_NORM!$H$1:$K$1,0)))</f>
        <v>A la fecha no ha conformado un EAT Área Metropolitana</v>
      </c>
      <c r="AC1025" s="17" t="str">
        <f>IF($E1025="","",INDEX([1]Esquemas_NORM!$H$2:$K$126,MATCH($E1025,[1]Esquemas_NORM!$A$2:$A$126,0),MATCH(AC$4,[1]Esquemas_NORM!$H$1:$K$1,0)))</f>
        <v>A la fecha no ha conformado un EAT asociación - unión</v>
      </c>
      <c r="AD1025" s="23"/>
    </row>
    <row r="1026" spans="1:30" x14ac:dyDescent="0.25">
      <c r="A1026" s="51">
        <v>2023</v>
      </c>
      <c r="B1026" s="52" t="s">
        <v>36</v>
      </c>
      <c r="C1026" s="52" t="s">
        <v>63</v>
      </c>
      <c r="D1026" s="52" t="s">
        <v>64</v>
      </c>
      <c r="E1026" s="52" t="s">
        <v>70</v>
      </c>
      <c r="F1026" s="52" t="s">
        <v>66</v>
      </c>
      <c r="G1026" s="52" t="s">
        <v>71</v>
      </c>
      <c r="H1026" s="53">
        <v>13.05861405528095</v>
      </c>
      <c r="I1026" s="53">
        <v>269.83323689798777</v>
      </c>
      <c r="J1026" s="54">
        <v>282.89185095326872</v>
      </c>
      <c r="K1026" s="53">
        <v>5.0533673874126341</v>
      </c>
      <c r="L1026" s="53">
        <v>19.702597222888269</v>
      </c>
      <c r="M1026" s="54">
        <v>24.755964610300904</v>
      </c>
      <c r="N1026" s="53">
        <v>22.142099704598433</v>
      </c>
      <c r="O1026" s="53">
        <v>116.74392446745667</v>
      </c>
      <c r="P1026" s="53">
        <v>23.678142271937649</v>
      </c>
      <c r="Q1026" s="53">
        <v>16.505425275225555</v>
      </c>
      <c r="R1026" s="53">
        <v>31.620639617791081</v>
      </c>
      <c r="S1026" s="53">
        <v>72.507106989761937</v>
      </c>
      <c r="T1026" s="53">
        <v>104.88990958186599</v>
      </c>
      <c r="U1026" s="53">
        <v>23.934247739237541</v>
      </c>
      <c r="V1026" s="54">
        <v>412.02149564787487</v>
      </c>
      <c r="W1026" s="54">
        <v>872.10121891907477</v>
      </c>
      <c r="X1026" s="53">
        <v>96.607118138182273</v>
      </c>
      <c r="Y1026" s="55">
        <v>968.23444106981094</v>
      </c>
      <c r="Z1026" s="17" t="str">
        <f>SUBSTITUTE(SUBSTITUTE(SUBSTITUTE(SUBSTITUTE(IF(E1026="","",VLOOKUP(E1026,[1]Esquemas_NORM!$A$2:$H$126,8,FALSE)),"PROVINCIA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6" s="17" t="str">
        <f>IF($E1026="","",INDEX([1]Esquemas_NORM!$H$2:$K$126,MATCH($E1026,[1]Esquemas_NORM!$A$2:$A$126,0),MATCH(AA$4,[1]Esquemas_NORM!$H$1:$K$1,0)))</f>
        <v>Región de Planeación y Gestión del Bajo Cauca</v>
      </c>
      <c r="AB1026" s="17" t="str">
        <f>IF($E1026="","",INDEX([1]Esquemas_NORM!$H$2:$K$126,MATCH($E1026,[1]Esquemas_NORM!$A$2:$A$126,0),MATCH(AB$4,[1]Esquemas_NORM!$H$1:$K$1,0)))</f>
        <v>A la fecha no ha conformado un EAT Área Metropolitana</v>
      </c>
      <c r="AC1026" s="17" t="str">
        <f>IF($E1026="","",INDEX([1]Esquemas_NORM!$H$2:$K$126,MATCH($E1026,[1]Esquemas_NORM!$A$2:$A$126,0),MATCH(AC$4,[1]Esquemas_NORM!$H$1:$K$1,0)))</f>
        <v>A la fecha no ha conformado un EAT asociación - unión</v>
      </c>
      <c r="AD1026" s="23"/>
    </row>
    <row r="1027" spans="1:30" x14ac:dyDescent="0.25">
      <c r="A1027" s="51">
        <v>2023</v>
      </c>
      <c r="B1027" s="52" t="s">
        <v>36</v>
      </c>
      <c r="C1027" s="52" t="s">
        <v>63</v>
      </c>
      <c r="D1027" s="52" t="s">
        <v>64</v>
      </c>
      <c r="E1027" s="52" t="s">
        <v>72</v>
      </c>
      <c r="F1027" s="52" t="s">
        <v>66</v>
      </c>
      <c r="G1027" s="52" t="s">
        <v>73</v>
      </c>
      <c r="H1027" s="53">
        <v>13.31330709602579</v>
      </c>
      <c r="I1027" s="53">
        <v>7.1119712748037109</v>
      </c>
      <c r="J1027" s="54">
        <v>20.425278370829503</v>
      </c>
      <c r="K1027" s="53">
        <v>9.1351384004147267</v>
      </c>
      <c r="L1027" s="53">
        <v>3.4670628545921276</v>
      </c>
      <c r="M1027" s="54">
        <v>12.602201255006854</v>
      </c>
      <c r="N1027" s="53">
        <v>9.9202622658532551</v>
      </c>
      <c r="O1027" s="53">
        <v>58.086008356438022</v>
      </c>
      <c r="P1027" s="53">
        <v>9.2645043145116794</v>
      </c>
      <c r="Q1027" s="53">
        <v>8.4735420421843628</v>
      </c>
      <c r="R1027" s="53">
        <v>15.455818644647568</v>
      </c>
      <c r="S1027" s="53">
        <v>27.151451222932991</v>
      </c>
      <c r="T1027" s="53">
        <v>55.115940139201335</v>
      </c>
      <c r="U1027" s="53">
        <v>12.248209474441889</v>
      </c>
      <c r="V1027" s="54">
        <v>195.71573646021113</v>
      </c>
      <c r="W1027" s="54">
        <v>235.64424240360489</v>
      </c>
      <c r="X1027" s="53">
        <v>26.103519489086604</v>
      </c>
      <c r="Y1027" s="55">
        <v>261.61971384216713</v>
      </c>
      <c r="Z1027" s="17" t="str">
        <f>SUBSTITUTE(SUBSTITUTE(SUBSTITUTE(SUBSTITUTE(IF(E1027="","",VLOOKUP(E1027,[1]Esquemas_NORM!$A$2:$H$126,8,FALSE)),"PROVINCIA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7" s="17" t="str">
        <f>IF($E1027="","",INDEX([1]Esquemas_NORM!$H$2:$K$126,MATCH($E1027,[1]Esquemas_NORM!$A$2:$A$126,0),MATCH(AA$4,[1]Esquemas_NORM!$H$1:$K$1,0)))</f>
        <v>Región de Planeación y Gestión del Bajo Cauca</v>
      </c>
      <c r="AB1027" s="17" t="str">
        <f>IF($E1027="","",INDEX([1]Esquemas_NORM!$H$2:$K$126,MATCH($E1027,[1]Esquemas_NORM!$A$2:$A$126,0),MATCH(AB$4,[1]Esquemas_NORM!$H$1:$K$1,0)))</f>
        <v>A la fecha no ha conformado un EAT Área Metropolitana</v>
      </c>
      <c r="AC1027" s="17" t="str">
        <f>IF($E1027="","",INDEX([1]Esquemas_NORM!$H$2:$K$126,MATCH($E1027,[1]Esquemas_NORM!$A$2:$A$126,0),MATCH(AC$4,[1]Esquemas_NORM!$H$1:$K$1,0)))</f>
        <v>A la fecha no ha conformado un EAT asociación - unión</v>
      </c>
      <c r="AD1027" s="23"/>
    </row>
    <row r="1028" spans="1:30" x14ac:dyDescent="0.25">
      <c r="A1028" s="51">
        <v>2023</v>
      </c>
      <c r="B1028" s="52" t="s">
        <v>36</v>
      </c>
      <c r="C1028" s="52" t="s">
        <v>63</v>
      </c>
      <c r="D1028" s="52" t="s">
        <v>64</v>
      </c>
      <c r="E1028" s="52" t="s">
        <v>74</v>
      </c>
      <c r="F1028" s="52" t="s">
        <v>66</v>
      </c>
      <c r="G1028" s="52" t="s">
        <v>75</v>
      </c>
      <c r="H1028" s="53">
        <v>21.961318633149837</v>
      </c>
      <c r="I1028" s="53">
        <v>13.617827214758773</v>
      </c>
      <c r="J1028" s="54">
        <v>35.579145847908606</v>
      </c>
      <c r="K1028" s="53">
        <v>12.775258707861466</v>
      </c>
      <c r="L1028" s="53">
        <v>2.4948158039577213</v>
      </c>
      <c r="M1028" s="54">
        <v>15.270074511819187</v>
      </c>
      <c r="N1028" s="53">
        <v>8.6171223079308188</v>
      </c>
      <c r="O1028" s="53">
        <v>67.891635776665296</v>
      </c>
      <c r="P1028" s="53">
        <v>12.47085519818401</v>
      </c>
      <c r="Q1028" s="53">
        <v>11.24259707548655</v>
      </c>
      <c r="R1028" s="53">
        <v>20.821881973989989</v>
      </c>
      <c r="S1028" s="53">
        <v>35.31310631595489</v>
      </c>
      <c r="T1028" s="53">
        <v>72.088109023321792</v>
      </c>
      <c r="U1028" s="53">
        <v>16.526470485705978</v>
      </c>
      <c r="V1028" s="54">
        <v>244.9717781572393</v>
      </c>
      <c r="W1028" s="54">
        <v>307.09683139652799</v>
      </c>
      <c r="X1028" s="53">
        <v>34.018688687778244</v>
      </c>
      <c r="Y1028" s="55">
        <v>340.94864500948404</v>
      </c>
      <c r="Z1028" s="17" t="str">
        <f>SUBSTITUTE(SUBSTITUTE(SUBSTITUTE(SUBSTITUTE(IF(E1028="","",VLOOKUP(E1028,[1]Esquemas_NORM!$A$2:$H$126,8,FALSE)),"PROVINCIA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8" s="17" t="str">
        <f>IF($E1028="","",INDEX([1]Esquemas_NORM!$H$2:$K$126,MATCH($E1028,[1]Esquemas_NORM!$A$2:$A$126,0),MATCH(AA$4,[1]Esquemas_NORM!$H$1:$K$1,0)))</f>
        <v>Región de Planeación y Gestión del Bajo Cauca</v>
      </c>
      <c r="AB1028" s="17" t="str">
        <f>IF($E1028="","",INDEX([1]Esquemas_NORM!$H$2:$K$126,MATCH($E1028,[1]Esquemas_NORM!$A$2:$A$126,0),MATCH(AB$4,[1]Esquemas_NORM!$H$1:$K$1,0)))</f>
        <v>A la fecha no ha conformado un EAT Área Metropolitana</v>
      </c>
      <c r="AC1028" s="17" t="str">
        <f>IF($E1028="","",INDEX([1]Esquemas_NORM!$H$2:$K$126,MATCH($E1028,[1]Esquemas_NORM!$A$2:$A$126,0),MATCH(AC$4,[1]Esquemas_NORM!$H$1:$K$1,0)))</f>
        <v>A la fecha no ha conformado un EAT asociación - unión</v>
      </c>
      <c r="AD1028" s="23"/>
    </row>
    <row r="1029" spans="1:30" x14ac:dyDescent="0.25">
      <c r="A1029" s="51">
        <v>2023</v>
      </c>
      <c r="B1029" s="52" t="s">
        <v>36</v>
      </c>
      <c r="C1029" s="52" t="s">
        <v>63</v>
      </c>
      <c r="D1029" s="52" t="s">
        <v>64</v>
      </c>
      <c r="E1029" s="52" t="s">
        <v>76</v>
      </c>
      <c r="F1029" s="52" t="s">
        <v>66</v>
      </c>
      <c r="G1029" s="52" t="s">
        <v>77</v>
      </c>
      <c r="H1029" s="53">
        <v>16.483165249940335</v>
      </c>
      <c r="I1029" s="53">
        <v>56.796104208426918</v>
      </c>
      <c r="J1029" s="54">
        <v>73.279269458367253</v>
      </c>
      <c r="K1029" s="53">
        <v>4.9322169283210604</v>
      </c>
      <c r="L1029" s="53">
        <v>7.6430953850592722</v>
      </c>
      <c r="M1029" s="54">
        <v>12.575312313380334</v>
      </c>
      <c r="N1029" s="53">
        <v>5.4790637332283278</v>
      </c>
      <c r="O1029" s="53">
        <v>58.649688763626152</v>
      </c>
      <c r="P1029" s="53">
        <v>7.5843628088453716</v>
      </c>
      <c r="Q1029" s="53">
        <v>6.5718665794032294</v>
      </c>
      <c r="R1029" s="53">
        <v>14.841418725135789</v>
      </c>
      <c r="S1029" s="53">
        <v>24.768871684393886</v>
      </c>
      <c r="T1029" s="53">
        <v>57.538300199471855</v>
      </c>
      <c r="U1029" s="53">
        <v>9.8988894089538739</v>
      </c>
      <c r="V1029" s="54">
        <v>185.33246190305849</v>
      </c>
      <c r="W1029" s="54">
        <v>308.00262762149873</v>
      </c>
      <c r="X1029" s="53">
        <v>34.119028374262079</v>
      </c>
      <c r="Y1029" s="55">
        <v>341.95428871523427</v>
      </c>
      <c r="Z1029" s="17" t="str">
        <f>SUBSTITUTE(SUBSTITUTE(SUBSTITUTE(SUBSTITUTE(IF(E1029="","",VLOOKUP(E1029,[1]Esquemas_NORM!$A$2:$H$126,8,FALSE)),"PROVINCIA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29" s="17" t="str">
        <f>IF($E1029="","",INDEX([1]Esquemas_NORM!$H$2:$K$126,MATCH($E1029,[1]Esquemas_NORM!$A$2:$A$126,0),MATCH(AA$4,[1]Esquemas_NORM!$H$1:$K$1,0)))</f>
        <v>Región de Planeación y Gestión del Bajo Cauca</v>
      </c>
      <c r="AB1029" s="17" t="str">
        <f>IF($E1029="","",INDEX([1]Esquemas_NORM!$H$2:$K$126,MATCH($E1029,[1]Esquemas_NORM!$A$2:$A$126,0),MATCH(AB$4,[1]Esquemas_NORM!$H$1:$K$1,0)))</f>
        <v>A la fecha no ha conformado un EAT Área Metropolitana</v>
      </c>
      <c r="AC1029" s="17" t="str">
        <f>IF($E1029="","",INDEX([1]Esquemas_NORM!$H$2:$K$126,MATCH($E1029,[1]Esquemas_NORM!$A$2:$A$126,0),MATCH(AC$4,[1]Esquemas_NORM!$H$1:$K$1,0)))</f>
        <v>A la fecha no ha conformado un EAT asociación - unión</v>
      </c>
      <c r="AD1029" s="23"/>
    </row>
    <row r="1030" spans="1:30" x14ac:dyDescent="0.25">
      <c r="A1030" s="51">
        <v>2023</v>
      </c>
      <c r="B1030" s="52" t="s">
        <v>36</v>
      </c>
      <c r="C1030" s="52" t="s">
        <v>78</v>
      </c>
      <c r="D1030" s="52" t="s">
        <v>79</v>
      </c>
      <c r="E1030" s="52" t="s">
        <v>80</v>
      </c>
      <c r="F1030" s="52" t="s">
        <v>81</v>
      </c>
      <c r="G1030" s="52" t="s">
        <v>82</v>
      </c>
      <c r="H1030" s="53">
        <v>6.7004935013929643</v>
      </c>
      <c r="I1030" s="53">
        <v>3.9742493749284964E-2</v>
      </c>
      <c r="J1030" s="54">
        <v>6.7402359951422497</v>
      </c>
      <c r="K1030" s="53">
        <v>1.7184886840659577</v>
      </c>
      <c r="L1030" s="53">
        <v>1.106991638437171</v>
      </c>
      <c r="M1030" s="54">
        <v>2.8254803225031289</v>
      </c>
      <c r="N1030" s="53">
        <v>3.9540510883555724</v>
      </c>
      <c r="O1030" s="53">
        <v>7.8703619250408572</v>
      </c>
      <c r="P1030" s="53">
        <v>1.8877672310039759</v>
      </c>
      <c r="Q1030" s="53">
        <v>1.8395288223509285</v>
      </c>
      <c r="R1030" s="53">
        <v>4.7384933721057276</v>
      </c>
      <c r="S1030" s="53">
        <v>5.8069341403992212</v>
      </c>
      <c r="T1030" s="53">
        <v>11.661952893268635</v>
      </c>
      <c r="U1030" s="53">
        <v>2.9013872984745177</v>
      </c>
      <c r="V1030" s="54">
        <v>40.660476770999438</v>
      </c>
      <c r="W1030" s="54">
        <v>52.71735031294638</v>
      </c>
      <c r="X1030" s="53">
        <v>5.8397708650581794</v>
      </c>
      <c r="Y1030" s="55">
        <v>58.528474800450212</v>
      </c>
      <c r="Z1030" s="17" t="str">
        <f>SUBSTITUTE(SUBSTITUTE(SUBSTITUTE(SUBSTITUTE(IF(E1030="","",VLOOKUP(E1030,[1]Esquemas_NORM!$A$2:$H$126,8,FALSE)),"PROVINCIA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30" s="17" t="str">
        <f>IF($E1030="","",INDEX([1]Esquemas_NORM!$H$2:$K$126,MATCH($E1030,[1]Esquemas_NORM!$A$2:$A$126,0),MATCH(AA$4,[1]Esquemas_NORM!$H$1:$K$1,0)))</f>
        <v>A la fecha no ha conformado un EAT Región</v>
      </c>
      <c r="AB1030" s="17" t="str">
        <f>IF($E1030="","",INDEX([1]Esquemas_NORM!$H$2:$K$126,MATCH($E1030,[1]Esquemas_NORM!$A$2:$A$126,0),MATCH(AB$4,[1]Esquemas_NORM!$H$1:$K$1,0)))</f>
        <v>A la fecha no ha conformado un EAT Área Metropolitana</v>
      </c>
      <c r="AC1030" s="17" t="str">
        <f>IF($E1030="","",INDEX([1]Esquemas_NORM!$H$2:$K$126,MATCH($E1030,[1]Esquemas_NORM!$A$2:$A$126,0),MATCH(AC$4,[1]Esquemas_NORM!$H$1:$K$1,0)))</f>
        <v>ASOCIACIÓN DE MUNICIPIOS DEL MAGDALENA MEDIO ANTIOQUEÑO - AMMA</v>
      </c>
      <c r="AD1030" s="23"/>
    </row>
    <row r="1031" spans="1:30" x14ac:dyDescent="0.25">
      <c r="A1031" s="51">
        <v>2023</v>
      </c>
      <c r="B1031" s="52" t="s">
        <v>36</v>
      </c>
      <c r="C1031" s="52" t="s">
        <v>78</v>
      </c>
      <c r="D1031" s="52" t="s">
        <v>79</v>
      </c>
      <c r="E1031" s="52" t="s">
        <v>83</v>
      </c>
      <c r="F1031" s="52" t="s">
        <v>81</v>
      </c>
      <c r="G1031" s="52" t="s">
        <v>84</v>
      </c>
      <c r="H1031" s="53">
        <v>27.620312415628607</v>
      </c>
      <c r="I1031" s="53">
        <v>0.20449937291088327</v>
      </c>
      <c r="J1031" s="54">
        <v>27.824811788539492</v>
      </c>
      <c r="K1031" s="53">
        <v>2.8456656004437666</v>
      </c>
      <c r="L1031" s="53">
        <v>2.9568851174718596</v>
      </c>
      <c r="M1031" s="54">
        <v>5.8025507179156257</v>
      </c>
      <c r="N1031" s="53">
        <v>2.7443041956991117</v>
      </c>
      <c r="O1031" s="53">
        <v>20.433100816731617</v>
      </c>
      <c r="P1031" s="53">
        <v>2.4795890115069805</v>
      </c>
      <c r="Q1031" s="53">
        <v>2.8075421224817112</v>
      </c>
      <c r="R1031" s="53">
        <v>10.871993930269523</v>
      </c>
      <c r="S1031" s="53">
        <v>9.6972042963777181</v>
      </c>
      <c r="T1031" s="53">
        <v>17.572281531506508</v>
      </c>
      <c r="U1031" s="53">
        <v>4.5666160287394391</v>
      </c>
      <c r="V1031" s="54">
        <v>71.172631933312601</v>
      </c>
      <c r="W1031" s="54">
        <v>116.9324635467016</v>
      </c>
      <c r="X1031" s="53">
        <v>12.953207810069333</v>
      </c>
      <c r="Y1031" s="55">
        <v>129.82213076758626</v>
      </c>
      <c r="Z1031" s="17" t="str">
        <f>SUBSTITUTE(SUBSTITUTE(SUBSTITUTE(SUBSTITUTE(IF(E1031="","",VLOOKUP(E1031,[1]Esquemas_NORM!$A$2:$H$126,8,FALSE)),"PROVINCIA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31" s="17" t="str">
        <f>IF($E1031="","",INDEX([1]Esquemas_NORM!$H$2:$K$126,MATCH($E1031,[1]Esquemas_NORM!$A$2:$A$126,0),MATCH(AA$4,[1]Esquemas_NORM!$H$1:$K$1,0)))</f>
        <v>A la fecha no ha conformado un EAT Región</v>
      </c>
      <c r="AB1031" s="17" t="str">
        <f>IF($E1031="","",INDEX([1]Esquemas_NORM!$H$2:$K$126,MATCH($E1031,[1]Esquemas_NORM!$A$2:$A$126,0),MATCH(AB$4,[1]Esquemas_NORM!$H$1:$K$1,0)))</f>
        <v>A la fecha no ha conformado un EAT Área Metropolitana</v>
      </c>
      <c r="AC1031" s="17" t="str">
        <f>IF($E1031="","",INDEX([1]Esquemas_NORM!$H$2:$K$126,MATCH($E1031,[1]Esquemas_NORM!$A$2:$A$126,0),MATCH(AC$4,[1]Esquemas_NORM!$H$1:$K$1,0)))</f>
        <v>ASOCIACIÓN DE MUNICIPIOS DEL MAGDALENA MEDIO ANTIOQUEÑO - AMMA</v>
      </c>
      <c r="AD1031" s="23"/>
    </row>
    <row r="1032" spans="1:30" x14ac:dyDescent="0.25">
      <c r="A1032" s="51">
        <v>2023</v>
      </c>
      <c r="B1032" s="52" t="s">
        <v>36</v>
      </c>
      <c r="C1032" s="52" t="s">
        <v>78</v>
      </c>
      <c r="D1032" s="52" t="s">
        <v>85</v>
      </c>
      <c r="E1032" s="52" t="s">
        <v>86</v>
      </c>
      <c r="F1032" s="52" t="s">
        <v>81</v>
      </c>
      <c r="G1032" s="52" t="s">
        <v>87</v>
      </c>
      <c r="H1032" s="53">
        <v>21.590178878561591</v>
      </c>
      <c r="I1032" s="53">
        <v>24.703176651085272</v>
      </c>
      <c r="J1032" s="54">
        <v>46.29335552964686</v>
      </c>
      <c r="K1032" s="53">
        <v>44.774065899796867</v>
      </c>
      <c r="L1032" s="53">
        <v>3.6996686766498703</v>
      </c>
      <c r="M1032" s="54">
        <v>48.473734576446738</v>
      </c>
      <c r="N1032" s="53">
        <v>43.682864626976105</v>
      </c>
      <c r="O1032" s="53">
        <v>138.60189852890971</v>
      </c>
      <c r="P1032" s="53">
        <v>21.00637580182385</v>
      </c>
      <c r="Q1032" s="53">
        <v>27.096641901356971</v>
      </c>
      <c r="R1032" s="53">
        <v>51.478249042607949</v>
      </c>
      <c r="S1032" s="53">
        <v>95.5158662521076</v>
      </c>
      <c r="T1032" s="53">
        <v>105.98975500832761</v>
      </c>
      <c r="U1032" s="53">
        <v>30.374483381223488</v>
      </c>
      <c r="V1032" s="54">
        <v>513.74613454333337</v>
      </c>
      <c r="W1032" s="54">
        <v>625.05606187188027</v>
      </c>
      <c r="X1032" s="53">
        <v>69.240660948959416</v>
      </c>
      <c r="Y1032" s="55">
        <v>693.95707009105229</v>
      </c>
      <c r="Z1032" s="17" t="str">
        <f>SUBSTITUTE(SUBSTITUTE(SUBSTITUTE(SUBSTITUTE(IF(E1032="","",VLOOKUP(E1032,[1]Esquemas_NORM!$A$2:$H$126,8,FALSE)),"PROVINCIA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32" s="17" t="str">
        <f>IF($E1032="","",INDEX([1]Esquemas_NORM!$H$2:$K$126,MATCH($E1032,[1]Esquemas_NORM!$A$2:$A$126,0),MATCH(AA$4,[1]Esquemas_NORM!$H$1:$K$1,0)))</f>
        <v>A la fecha no ha conformado un EAT Región</v>
      </c>
      <c r="AB1032" s="17" t="str">
        <f>IF($E1032="","",INDEX([1]Esquemas_NORM!$H$2:$K$126,MATCH($E1032,[1]Esquemas_NORM!$A$2:$A$126,0),MATCH(AB$4,[1]Esquemas_NORM!$H$1:$K$1,0)))</f>
        <v>A la fecha no ha conformado un EAT Área Metropolitana</v>
      </c>
      <c r="AC1032" s="17" t="str">
        <f>IF($E1032="","",INDEX([1]Esquemas_NORM!$H$2:$K$126,MATCH($E1032,[1]Esquemas_NORM!$A$2:$A$126,0),MATCH(AC$4,[1]Esquemas_NORM!$H$1:$K$1,0)))</f>
        <v>ASOCIACIÓN DE MUNICIPIOS DEL MAGDALENA MEDIO ANTIOQUEÑO - AMMA</v>
      </c>
      <c r="AD1032" s="23"/>
    </row>
    <row r="1033" spans="1:30" x14ac:dyDescent="0.25">
      <c r="A1033" s="51">
        <v>2023</v>
      </c>
      <c r="B1033" s="52" t="s">
        <v>36</v>
      </c>
      <c r="C1033" s="52" t="s">
        <v>78</v>
      </c>
      <c r="D1033" s="52" t="s">
        <v>85</v>
      </c>
      <c r="E1033" s="52" t="s">
        <v>88</v>
      </c>
      <c r="F1033" s="52" t="s">
        <v>81</v>
      </c>
      <c r="G1033" s="52" t="s">
        <v>89</v>
      </c>
      <c r="H1033" s="53">
        <v>8.4192960057213124</v>
      </c>
      <c r="I1033" s="53">
        <v>62.634059453508605</v>
      </c>
      <c r="J1033" s="54">
        <v>71.05335545922992</v>
      </c>
      <c r="K1033" s="53">
        <v>41.075509238369712</v>
      </c>
      <c r="L1033" s="53">
        <v>1.4738528013538499</v>
      </c>
      <c r="M1033" s="54">
        <v>42.549362039723562</v>
      </c>
      <c r="N1033" s="53">
        <v>50.342456222157374</v>
      </c>
      <c r="O1033" s="53">
        <v>94.78691972114089</v>
      </c>
      <c r="P1033" s="53">
        <v>6.1185885329006462</v>
      </c>
      <c r="Q1033" s="53">
        <v>4.9645038471345249</v>
      </c>
      <c r="R1033" s="53">
        <v>11.33571259403681</v>
      </c>
      <c r="S1033" s="53">
        <v>51.52123974380622</v>
      </c>
      <c r="T1033" s="53">
        <v>38.881605664537389</v>
      </c>
      <c r="U1033" s="53">
        <v>9.9556100818701267</v>
      </c>
      <c r="V1033" s="54">
        <v>267.90663640758402</v>
      </c>
      <c r="W1033" s="54">
        <v>435.06392776857052</v>
      </c>
      <c r="X1033" s="53">
        <v>48.194259285336514</v>
      </c>
      <c r="Y1033" s="55">
        <v>483.02177521869561</v>
      </c>
      <c r="Z1033" s="17" t="str">
        <f>SUBSTITUTE(SUBSTITUTE(SUBSTITUTE(SUBSTITUTE(IF(E1033="","",VLOOKUP(E1033,[1]Esquemas_NORM!$A$2:$H$126,8,FALSE)),"PROVINCIA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33" s="17" t="str">
        <f>IF($E1033="","",INDEX([1]Esquemas_NORM!$H$2:$K$126,MATCH($E1033,[1]Esquemas_NORM!$A$2:$A$126,0),MATCH(AA$4,[1]Esquemas_NORM!$H$1:$K$1,0)))</f>
        <v>A la fecha no ha conformado un EAT Región</v>
      </c>
      <c r="AB1033" s="17" t="str">
        <f>IF($E1033="","",INDEX([1]Esquemas_NORM!$H$2:$K$126,MATCH($E1033,[1]Esquemas_NORM!$A$2:$A$126,0),MATCH(AB$4,[1]Esquemas_NORM!$H$1:$K$1,0)))</f>
        <v>A la fecha no ha conformado un EAT Área Metropolitana</v>
      </c>
      <c r="AC1033" s="17" t="str">
        <f>IF($E1033="","",INDEX([1]Esquemas_NORM!$H$2:$K$126,MATCH($E1033,[1]Esquemas_NORM!$A$2:$A$126,0),MATCH(AC$4,[1]Esquemas_NORM!$H$1:$K$1,0)))</f>
        <v>ASOCIACIÓN DE MUNICIPIOS DEL MAGDALENA MEDIO ANTIOQUEÑO - AMMA</v>
      </c>
      <c r="AD1033" s="23"/>
    </row>
    <row r="1034" spans="1:30" x14ac:dyDescent="0.25">
      <c r="A1034" s="51">
        <v>2023</v>
      </c>
      <c r="B1034" s="52" t="s">
        <v>36</v>
      </c>
      <c r="C1034" s="52" t="s">
        <v>78</v>
      </c>
      <c r="D1034" s="52" t="s">
        <v>85</v>
      </c>
      <c r="E1034" s="52" t="s">
        <v>90</v>
      </c>
      <c r="F1034" s="52" t="s">
        <v>81</v>
      </c>
      <c r="G1034" s="52" t="s">
        <v>91</v>
      </c>
      <c r="H1034" s="53">
        <v>8.5401957207848174</v>
      </c>
      <c r="I1034" s="53">
        <v>5.8018066001283204</v>
      </c>
      <c r="J1034" s="54">
        <v>14.342002320913139</v>
      </c>
      <c r="K1034" s="53">
        <v>18.31016576734114</v>
      </c>
      <c r="L1034" s="53">
        <v>6.380103749224495</v>
      </c>
      <c r="M1034" s="54">
        <v>24.690269516565635</v>
      </c>
      <c r="N1034" s="53">
        <v>10.839029531768983</v>
      </c>
      <c r="O1034" s="53">
        <v>66.779156047481294</v>
      </c>
      <c r="P1034" s="53">
        <v>4.5229239398403944</v>
      </c>
      <c r="Q1034" s="53">
        <v>3.9720168766620092</v>
      </c>
      <c r="R1034" s="53">
        <v>14.640801723468012</v>
      </c>
      <c r="S1034" s="53">
        <v>23.98863660172513</v>
      </c>
      <c r="T1034" s="53">
        <v>23.25056504228646</v>
      </c>
      <c r="U1034" s="53">
        <v>6.8093534539962475</v>
      </c>
      <c r="V1034" s="54">
        <v>154.80248321722854</v>
      </c>
      <c r="W1034" s="54">
        <v>202.81177676445145</v>
      </c>
      <c r="X1034" s="53">
        <v>22.466499131855393</v>
      </c>
      <c r="Y1034" s="55">
        <v>225.16806886398896</v>
      </c>
      <c r="Z1034" s="17" t="str">
        <f>SUBSTITUTE(SUBSTITUTE(SUBSTITUTE(SUBSTITUTE(IF(E1034="","",VLOOKUP(E1034,[1]Esquemas_NORM!$A$2:$H$126,8,FALSE)),"PROVINCIA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34" s="17" t="str">
        <f>IF($E1034="","",INDEX([1]Esquemas_NORM!$H$2:$K$126,MATCH($E1034,[1]Esquemas_NORM!$A$2:$A$126,0),MATCH(AA$4,[1]Esquemas_NORM!$H$1:$K$1,0)))</f>
        <v>A la fecha no ha conformado un EAT Región</v>
      </c>
      <c r="AB1034" s="17" t="str">
        <f>IF($E1034="","",INDEX([1]Esquemas_NORM!$H$2:$K$126,MATCH($E1034,[1]Esquemas_NORM!$A$2:$A$126,0),MATCH(AB$4,[1]Esquemas_NORM!$H$1:$K$1,0)))</f>
        <v>A la fecha no ha conformado un EAT Área Metropolitana</v>
      </c>
      <c r="AC1034" s="17" t="str">
        <f>IF($E1034="","",INDEX([1]Esquemas_NORM!$H$2:$K$126,MATCH($E1034,[1]Esquemas_NORM!$A$2:$A$126,0),MATCH(AC$4,[1]Esquemas_NORM!$H$1:$K$1,0)))</f>
        <v>ASOCIACIÓN DE MUNICIPIOS DEL MAGDALENA MEDIO ANTIOQUEÑO - AMMA</v>
      </c>
      <c r="AD1034" s="23"/>
    </row>
    <row r="1035" spans="1:30" x14ac:dyDescent="0.25">
      <c r="A1035" s="51">
        <v>2023</v>
      </c>
      <c r="B1035" s="52" t="s">
        <v>36</v>
      </c>
      <c r="C1035" s="52" t="s">
        <v>78</v>
      </c>
      <c r="D1035" s="52" t="s">
        <v>85</v>
      </c>
      <c r="E1035" s="52" t="s">
        <v>92</v>
      </c>
      <c r="F1035" s="52" t="s">
        <v>81</v>
      </c>
      <c r="G1035" s="52" t="s">
        <v>93</v>
      </c>
      <c r="H1035" s="53">
        <v>28.562352566345083</v>
      </c>
      <c r="I1035" s="53">
        <v>363.15795904658904</v>
      </c>
      <c r="J1035" s="54">
        <v>391.7203116129341</v>
      </c>
      <c r="K1035" s="53">
        <v>5.6788891586593584</v>
      </c>
      <c r="L1035" s="53">
        <v>6.1396113908872056</v>
      </c>
      <c r="M1035" s="54">
        <v>11.818500549546563</v>
      </c>
      <c r="N1035" s="53">
        <v>7.4987190269996393</v>
      </c>
      <c r="O1035" s="53">
        <v>27.713789308138107</v>
      </c>
      <c r="P1035" s="53">
        <v>6.8023412493341437</v>
      </c>
      <c r="Q1035" s="53">
        <v>4.7147276447655821</v>
      </c>
      <c r="R1035" s="53">
        <v>15.36059531471046</v>
      </c>
      <c r="S1035" s="53">
        <v>53.155050734058022</v>
      </c>
      <c r="T1035" s="53">
        <v>32.700814334490381</v>
      </c>
      <c r="U1035" s="53">
        <v>9.6748071370304505</v>
      </c>
      <c r="V1035" s="54">
        <v>157.62084474952678</v>
      </c>
      <c r="W1035" s="54">
        <v>777.56884432806226</v>
      </c>
      <c r="X1035" s="53">
        <v>86.135282894806849</v>
      </c>
      <c r="Y1035" s="55">
        <v>863.28159971425896</v>
      </c>
      <c r="Z1035" s="17" t="str">
        <f>SUBSTITUTE(SUBSTITUTE(SUBSTITUTE(SUBSTITUTE(IF(E1035="","",VLOOKUP(E1035,[1]Esquemas_NORM!$A$2:$H$126,8,FALSE)),"PROVINCIA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35" s="17" t="str">
        <f>IF($E1035="","",INDEX([1]Esquemas_NORM!$H$2:$K$126,MATCH($E1035,[1]Esquemas_NORM!$A$2:$A$126,0),MATCH(AA$4,[1]Esquemas_NORM!$H$1:$K$1,0)))</f>
        <v>A la fecha no ha conformado un EAT Región</v>
      </c>
      <c r="AB1035" s="17" t="str">
        <f>IF($E1035="","",INDEX([1]Esquemas_NORM!$H$2:$K$126,MATCH($E1035,[1]Esquemas_NORM!$A$2:$A$126,0),MATCH(AB$4,[1]Esquemas_NORM!$H$1:$K$1,0)))</f>
        <v>A la fecha no ha conformado un EAT Área Metropolitana</v>
      </c>
      <c r="AC1035" s="17" t="str">
        <f>IF($E1035="","",INDEX([1]Esquemas_NORM!$H$2:$K$126,MATCH($E1035,[1]Esquemas_NORM!$A$2:$A$126,0),MATCH(AC$4,[1]Esquemas_NORM!$H$1:$K$1,0)))</f>
        <v>ASOCIACIÓN DE MUNICIPIOS DEL MAGDALENA MEDIO ANTIOQUEÑO - AMMA</v>
      </c>
      <c r="AD1035" s="23"/>
    </row>
    <row r="1036" spans="1:30" x14ac:dyDescent="0.25">
      <c r="A1036" s="51">
        <v>2023</v>
      </c>
      <c r="B1036" s="52" t="s">
        <v>36</v>
      </c>
      <c r="C1036" s="52" t="s">
        <v>94</v>
      </c>
      <c r="D1036" s="52" t="s">
        <v>95</v>
      </c>
      <c r="E1036" s="52" t="s">
        <v>96</v>
      </c>
      <c r="F1036" s="52" t="s">
        <v>97</v>
      </c>
      <c r="G1036" s="52" t="s">
        <v>98</v>
      </c>
      <c r="H1036" s="53">
        <v>32.247437719058929</v>
      </c>
      <c r="I1036" s="53">
        <v>5.2379336133956347</v>
      </c>
      <c r="J1036" s="54">
        <v>37.485371332454562</v>
      </c>
      <c r="K1036" s="53">
        <v>19.787314756937295</v>
      </c>
      <c r="L1036" s="53">
        <v>21.260949692619057</v>
      </c>
      <c r="M1036" s="54">
        <v>41.048264449556356</v>
      </c>
      <c r="N1036" s="53">
        <v>444.09682844818622</v>
      </c>
      <c r="O1036" s="53">
        <v>47.516782328494493</v>
      </c>
      <c r="P1036" s="53">
        <v>9.6724072100051579</v>
      </c>
      <c r="Q1036" s="53">
        <v>10.471107963122975</v>
      </c>
      <c r="R1036" s="53">
        <v>24.587250527961732</v>
      </c>
      <c r="S1036" s="53">
        <v>42.578701777225874</v>
      </c>
      <c r="T1036" s="53">
        <v>38.226971242809924</v>
      </c>
      <c r="U1036" s="53">
        <v>15.310401138992278</v>
      </c>
      <c r="V1036" s="54">
        <v>632.46045063679856</v>
      </c>
      <c r="W1036" s="54">
        <v>870.67420536935128</v>
      </c>
      <c r="X1036" s="53">
        <v>96.449040539585525</v>
      </c>
      <c r="Y1036" s="55">
        <v>966.65012535439962</v>
      </c>
      <c r="Z1036" s="17" t="str">
        <f>SUBSTITUTE(SUBSTITUTE(SUBSTITUTE(SUBSTITUTE(IF(E1036="","",VLOOKUP(E1036,[1]Esquemas_NORM!$A$2:$H$126,8,FALSE)),"PROVINCIA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036" s="17" t="str">
        <f>IF($E1036="","",INDEX([1]Esquemas_NORM!$H$2:$K$126,MATCH($E1036,[1]Esquemas_NORM!$A$2:$A$126,0),MATCH(AA$4,[1]Esquemas_NORM!$H$1:$K$1,0)))</f>
        <v>A la fecha no ha conformado un EAT Región</v>
      </c>
      <c r="AB1036" s="17" t="str">
        <f>IF($E1036="","",INDEX([1]Esquemas_NORM!$H$2:$K$126,MATCH($E1036,[1]Esquemas_NORM!$A$2:$A$126,0),MATCH(AB$4,[1]Esquemas_NORM!$H$1:$K$1,0)))</f>
        <v>A la fecha no ha conformado un EAT Área Metropolitana</v>
      </c>
      <c r="AC1036" s="17" t="str">
        <f>IF($E1036="","",INDEX([1]Esquemas_NORM!$H$2:$K$126,MATCH($E1036,[1]Esquemas_NORM!$A$2:$A$126,0),MATCH(AC$4,[1]Esquemas_NORM!$H$1:$K$1,0)))</f>
        <v>A la fecha no ha conformado un EAT asociación - unión</v>
      </c>
      <c r="AD1036" s="23"/>
    </row>
    <row r="1037" spans="1:30" x14ac:dyDescent="0.25">
      <c r="A1037" s="51">
        <v>2023</v>
      </c>
      <c r="B1037" s="52" t="s">
        <v>36</v>
      </c>
      <c r="C1037" s="52" t="s">
        <v>94</v>
      </c>
      <c r="D1037" s="52" t="s">
        <v>99</v>
      </c>
      <c r="E1037" s="52" t="s">
        <v>100</v>
      </c>
      <c r="F1037" s="52" t="s">
        <v>97</v>
      </c>
      <c r="G1037" s="52" t="s">
        <v>101</v>
      </c>
      <c r="H1037" s="53">
        <v>26.556507141929323</v>
      </c>
      <c r="I1037" s="53">
        <v>57.779170019438766</v>
      </c>
      <c r="J1037" s="54">
        <v>84.335677161368096</v>
      </c>
      <c r="K1037" s="53">
        <v>2.4876184224224791</v>
      </c>
      <c r="L1037" s="53">
        <v>6.3824045826619837</v>
      </c>
      <c r="M1037" s="54">
        <v>8.8700230050844624</v>
      </c>
      <c r="N1037" s="53">
        <v>76.952299042625768</v>
      </c>
      <c r="O1037" s="53">
        <v>7.5153778855240168</v>
      </c>
      <c r="P1037" s="53">
        <v>1.5399757000841523</v>
      </c>
      <c r="Q1037" s="53">
        <v>1.1991053376098877</v>
      </c>
      <c r="R1037" s="53">
        <v>3.132179424764137</v>
      </c>
      <c r="S1037" s="53">
        <v>7.9466742831663391</v>
      </c>
      <c r="T1037" s="53">
        <v>6.9934066518096882</v>
      </c>
      <c r="U1037" s="53">
        <v>1.9731919328205669</v>
      </c>
      <c r="V1037" s="54">
        <v>107.25221025840457</v>
      </c>
      <c r="W1037" s="54">
        <v>271.88161370096225</v>
      </c>
      <c r="X1037" s="53">
        <v>30.117718682911388</v>
      </c>
      <c r="Y1037" s="55">
        <v>301.85159310430447</v>
      </c>
      <c r="Z1037" s="17" t="str">
        <f>SUBSTITUTE(SUBSTITUTE(SUBSTITUTE(SUBSTITUTE(IF(E1037="","",VLOOKUP(E1037,[1]Esquemas_NORM!$A$2:$H$126,8,FALSE)),"PROVINCIA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37" s="17" t="str">
        <f>IF($E1037="","",INDEX([1]Esquemas_NORM!$H$2:$K$126,MATCH($E1037,[1]Esquemas_NORM!$A$2:$A$126,0),MATCH(AA$4,[1]Esquemas_NORM!$H$1:$K$1,0)))</f>
        <v>A la fecha no ha conformado un EAT Región</v>
      </c>
      <c r="AB1037" s="17" t="str">
        <f>IF($E1037="","",INDEX([1]Esquemas_NORM!$H$2:$K$126,MATCH($E1037,[1]Esquemas_NORM!$A$2:$A$126,0),MATCH(AB$4,[1]Esquemas_NORM!$H$1:$K$1,0)))</f>
        <v>A la fecha no ha conformado un EAT Área Metropolitana</v>
      </c>
      <c r="AC1037" s="17" t="str">
        <f>IF($E1037="","",INDEX([1]Esquemas_NORM!$H$2:$K$126,MATCH($E1037,[1]Esquemas_NORM!$A$2:$A$126,0),MATCH(AC$4,[1]Esquemas_NORM!$H$1:$K$1,0)))</f>
        <v>A la fecha no ha conformado un EAT asociación - unión</v>
      </c>
      <c r="AD1037" s="23"/>
    </row>
    <row r="1038" spans="1:30" x14ac:dyDescent="0.25">
      <c r="A1038" s="51">
        <v>2023</v>
      </c>
      <c r="B1038" s="52" t="s">
        <v>36</v>
      </c>
      <c r="C1038" s="52" t="s">
        <v>94</v>
      </c>
      <c r="D1038" s="52" t="s">
        <v>79</v>
      </c>
      <c r="E1038" s="52" t="s">
        <v>102</v>
      </c>
      <c r="F1038" s="52" t="s">
        <v>97</v>
      </c>
      <c r="G1038" s="52" t="s">
        <v>103</v>
      </c>
      <c r="H1038" s="53">
        <v>5.4644628090476592</v>
      </c>
      <c r="I1038" s="53">
        <v>1.208473236744694</v>
      </c>
      <c r="J1038" s="54">
        <v>6.672936045792353</v>
      </c>
      <c r="K1038" s="53">
        <v>4.1567873285360575</v>
      </c>
      <c r="L1038" s="53">
        <v>2.2959411790272908</v>
      </c>
      <c r="M1038" s="54">
        <v>6.4527285075633483</v>
      </c>
      <c r="N1038" s="53">
        <v>5.987483133517566</v>
      </c>
      <c r="O1038" s="53">
        <v>33.592845962055193</v>
      </c>
      <c r="P1038" s="53">
        <v>6.0992036772855984</v>
      </c>
      <c r="Q1038" s="53">
        <v>4.8115875203429779</v>
      </c>
      <c r="R1038" s="53">
        <v>12.144752111280765</v>
      </c>
      <c r="S1038" s="53">
        <v>15.980116773445991</v>
      </c>
      <c r="T1038" s="53">
        <v>24.953737065658341</v>
      </c>
      <c r="U1038" s="53">
        <v>7.1803557572495782</v>
      </c>
      <c r="V1038" s="54">
        <v>110.750082000836</v>
      </c>
      <c r="W1038" s="54">
        <v>124.93331374105213</v>
      </c>
      <c r="X1038" s="53">
        <v>13.839502959254133</v>
      </c>
      <c r="Y1038" s="55">
        <v>138.70492848412525</v>
      </c>
      <c r="Z1038" s="17" t="str">
        <f>SUBSTITUTE(SUBSTITUTE(SUBSTITUTE(SUBSTITUTE(IF(E1038="","",VLOOKUP(E1038,[1]Esquemas_NORM!$A$2:$H$126,8,FALSE)),"PROVINCIA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38" s="17" t="str">
        <f>IF($E1038="","",INDEX([1]Esquemas_NORM!$H$2:$K$126,MATCH($E1038,[1]Esquemas_NORM!$A$2:$A$126,0),MATCH(AA$4,[1]Esquemas_NORM!$H$1:$K$1,0)))</f>
        <v>A la fecha no ha conformado un EAT Región</v>
      </c>
      <c r="AB1038" s="17" t="str">
        <f>IF($E1038="","",INDEX([1]Esquemas_NORM!$H$2:$K$126,MATCH($E1038,[1]Esquemas_NORM!$A$2:$A$126,0),MATCH(AB$4,[1]Esquemas_NORM!$H$1:$K$1,0)))</f>
        <v>A la fecha no ha conformado un EAT Área Metropolitana</v>
      </c>
      <c r="AC1038" s="17" t="str">
        <f>IF($E1038="","",INDEX([1]Esquemas_NORM!$H$2:$K$126,MATCH($E1038,[1]Esquemas_NORM!$A$2:$A$126,0),MATCH(AC$4,[1]Esquemas_NORM!$H$1:$K$1,0)))</f>
        <v>A la fecha no ha conformado un EAT asociación - unión</v>
      </c>
      <c r="AD1038" s="23"/>
    </row>
    <row r="1039" spans="1:30" x14ac:dyDescent="0.25">
      <c r="A1039" s="51">
        <v>2023</v>
      </c>
      <c r="B1039" s="52" t="s">
        <v>36</v>
      </c>
      <c r="C1039" s="52" t="s">
        <v>94</v>
      </c>
      <c r="D1039" s="52" t="s">
        <v>104</v>
      </c>
      <c r="E1039" s="52" t="s">
        <v>105</v>
      </c>
      <c r="F1039" s="52" t="s">
        <v>97</v>
      </c>
      <c r="G1039" s="52" t="s">
        <v>106</v>
      </c>
      <c r="H1039" s="53">
        <v>89.068161220900691</v>
      </c>
      <c r="I1039" s="53">
        <v>284.47451824222202</v>
      </c>
      <c r="J1039" s="54">
        <v>373.54267946312268</v>
      </c>
      <c r="K1039" s="53">
        <v>14.188313398296788</v>
      </c>
      <c r="L1039" s="53">
        <v>2.3399061970413033</v>
      </c>
      <c r="M1039" s="54">
        <v>16.528219595338093</v>
      </c>
      <c r="N1039" s="53">
        <v>26.934333175927172</v>
      </c>
      <c r="O1039" s="53">
        <v>51.016589282080197</v>
      </c>
      <c r="P1039" s="53">
        <v>11.888697871922581</v>
      </c>
      <c r="Q1039" s="53">
        <v>9.6690213079272329</v>
      </c>
      <c r="R1039" s="53">
        <v>24.382345808903786</v>
      </c>
      <c r="S1039" s="53">
        <v>51.948563361829741</v>
      </c>
      <c r="T1039" s="53">
        <v>49.898245260553558</v>
      </c>
      <c r="U1039" s="53">
        <v>17.409333814929141</v>
      </c>
      <c r="V1039" s="54">
        <v>243.14712988407339</v>
      </c>
      <c r="W1039" s="54">
        <v>839.46981572472043</v>
      </c>
      <c r="X1039" s="53">
        <v>92.99237049763444</v>
      </c>
      <c r="Y1039" s="55">
        <v>932.00602199666162</v>
      </c>
      <c r="Z1039" s="17" t="str">
        <f>SUBSTITUTE(SUBSTITUTE(SUBSTITUTE(SUBSTITUTE(IF(E1039="","",VLOOKUP(E1039,[1]Esquemas_NORM!$A$2:$H$126,8,FALSE)),"PROVINCIA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039" s="17" t="str">
        <f>IF($E1039="","",INDEX([1]Esquemas_NORM!$H$2:$K$126,MATCH($E1039,[1]Esquemas_NORM!$A$2:$A$126,0),MATCH(AA$4,[1]Esquemas_NORM!$H$1:$K$1,0)))</f>
        <v>A la fecha no ha conformado un EAT Región</v>
      </c>
      <c r="AB1039" s="17" t="str">
        <f>IF($E1039="","",INDEX([1]Esquemas_NORM!$H$2:$K$126,MATCH($E1039,[1]Esquemas_NORM!$A$2:$A$126,0),MATCH(AB$4,[1]Esquemas_NORM!$H$1:$K$1,0)))</f>
        <v>A la fecha no ha conformado un EAT Área Metropolitana</v>
      </c>
      <c r="AC1039" s="17" t="str">
        <f>IF($E1039="","",INDEX([1]Esquemas_NORM!$H$2:$K$126,MATCH($E1039,[1]Esquemas_NORM!$A$2:$A$126,0),MATCH(AC$4,[1]Esquemas_NORM!$H$1:$K$1,0)))</f>
        <v>A la fecha no ha conformado un EAT asociación - unión</v>
      </c>
      <c r="AD1039" s="23"/>
    </row>
    <row r="1040" spans="1:30" x14ac:dyDescent="0.25">
      <c r="A1040" s="51">
        <v>2023</v>
      </c>
      <c r="B1040" s="52" t="s">
        <v>36</v>
      </c>
      <c r="C1040" s="52" t="s">
        <v>94</v>
      </c>
      <c r="D1040" s="52" t="s">
        <v>79</v>
      </c>
      <c r="E1040" s="52" t="s">
        <v>107</v>
      </c>
      <c r="F1040" s="52" t="s">
        <v>97</v>
      </c>
      <c r="G1040" s="52" t="s">
        <v>108</v>
      </c>
      <c r="H1040" s="53">
        <v>35.374680036107456</v>
      </c>
      <c r="I1040" s="53">
        <v>0.71367561438117599</v>
      </c>
      <c r="J1040" s="54">
        <v>36.08835565048863</v>
      </c>
      <c r="K1040" s="53">
        <v>6.2618102451117599</v>
      </c>
      <c r="L1040" s="53">
        <v>5.2123293498733965</v>
      </c>
      <c r="M1040" s="54">
        <v>11.474139594985157</v>
      </c>
      <c r="N1040" s="53">
        <v>19.635697462739415</v>
      </c>
      <c r="O1040" s="53">
        <v>34.041608835621396</v>
      </c>
      <c r="P1040" s="53">
        <v>7.3200900409280569</v>
      </c>
      <c r="Q1040" s="53">
        <v>5.7436036537899984</v>
      </c>
      <c r="R1040" s="53">
        <v>19.212354132370734</v>
      </c>
      <c r="S1040" s="53">
        <v>19.962841583630297</v>
      </c>
      <c r="T1040" s="53">
        <v>31.868436756773477</v>
      </c>
      <c r="U1040" s="53">
        <v>9.8189996673483879</v>
      </c>
      <c r="V1040" s="54">
        <v>147.60363213320176</v>
      </c>
      <c r="W1040" s="54">
        <v>213.26429132602885</v>
      </c>
      <c r="X1040" s="53">
        <v>23.624377698237652</v>
      </c>
      <c r="Y1040" s="55">
        <v>236.77278214125855</v>
      </c>
      <c r="Z1040" s="17" t="str">
        <f>SUBSTITUTE(SUBSTITUTE(SUBSTITUTE(SUBSTITUTE(IF(E1040="","",VLOOKUP(E1040,[1]Esquemas_NORM!$A$2:$H$126,8,FALSE)),"PROVINCIA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40" s="17" t="str">
        <f>IF($E1040="","",INDEX([1]Esquemas_NORM!$H$2:$K$126,MATCH($E1040,[1]Esquemas_NORM!$A$2:$A$126,0),MATCH(AA$4,[1]Esquemas_NORM!$H$1:$K$1,0)))</f>
        <v>A la fecha no ha conformado un EAT Región</v>
      </c>
      <c r="AB1040" s="17" t="str">
        <f>IF($E1040="","",INDEX([1]Esquemas_NORM!$H$2:$K$126,MATCH($E1040,[1]Esquemas_NORM!$A$2:$A$126,0),MATCH(AB$4,[1]Esquemas_NORM!$H$1:$K$1,0)))</f>
        <v>A la fecha no ha conformado un EAT Área Metropolitana</v>
      </c>
      <c r="AC1040" s="17" t="str">
        <f>IF($E1040="","",INDEX([1]Esquemas_NORM!$H$2:$K$126,MATCH($E1040,[1]Esquemas_NORM!$A$2:$A$126,0),MATCH(AC$4,[1]Esquemas_NORM!$H$1:$K$1,0)))</f>
        <v>A la fecha no ha conformado un EAT asociación - unión</v>
      </c>
      <c r="AD1040" s="23"/>
    </row>
    <row r="1041" spans="1:30" x14ac:dyDescent="0.25">
      <c r="A1041" s="51">
        <v>2023</v>
      </c>
      <c r="B1041" s="52" t="s">
        <v>36</v>
      </c>
      <c r="C1041" s="52" t="s">
        <v>94</v>
      </c>
      <c r="D1041" s="52" t="s">
        <v>79</v>
      </c>
      <c r="E1041" s="52" t="s">
        <v>109</v>
      </c>
      <c r="F1041" s="52" t="s">
        <v>97</v>
      </c>
      <c r="G1041" s="52" t="s">
        <v>110</v>
      </c>
      <c r="H1041" s="53">
        <v>93.469113792770329</v>
      </c>
      <c r="I1041" s="53">
        <v>40.41006533890944</v>
      </c>
      <c r="J1041" s="54">
        <v>133.87917913167976</v>
      </c>
      <c r="K1041" s="53">
        <v>10.292340761085537</v>
      </c>
      <c r="L1041" s="53">
        <v>0.92438539070190828</v>
      </c>
      <c r="M1041" s="54">
        <v>11.216726151787446</v>
      </c>
      <c r="N1041" s="53">
        <v>16.924643653513936</v>
      </c>
      <c r="O1041" s="53">
        <v>18.785757391325536</v>
      </c>
      <c r="P1041" s="53">
        <v>2.5530607789284536</v>
      </c>
      <c r="Q1041" s="53">
        <v>2.3929027373125726</v>
      </c>
      <c r="R1041" s="53">
        <v>10.876352501767546</v>
      </c>
      <c r="S1041" s="53">
        <v>19.202634393912099</v>
      </c>
      <c r="T1041" s="53">
        <v>19.199037072363431</v>
      </c>
      <c r="U1041" s="53">
        <v>5.5320920177728343</v>
      </c>
      <c r="V1041" s="54">
        <v>95.466480546896435</v>
      </c>
      <c r="W1041" s="54">
        <v>313.60914216910714</v>
      </c>
      <c r="X1041" s="53">
        <v>34.740090702263643</v>
      </c>
      <c r="Y1041" s="55">
        <v>348.17881903536193</v>
      </c>
      <c r="Z1041" s="17" t="str">
        <f>SUBSTITUTE(SUBSTITUTE(SUBSTITUTE(SUBSTITUTE(IF(E1041="","",VLOOKUP(E1041,[1]Esquemas_NORM!$A$2:$H$126,8,FALSE)),"PROVINCIA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41" s="17" t="str">
        <f>IF($E1041="","",INDEX([1]Esquemas_NORM!$H$2:$K$126,MATCH($E1041,[1]Esquemas_NORM!$A$2:$A$126,0),MATCH(AA$4,[1]Esquemas_NORM!$H$1:$K$1,0)))</f>
        <v>A la fecha no ha conformado un EAT Región</v>
      </c>
      <c r="AB1041" s="17" t="str">
        <f>IF($E1041="","",INDEX([1]Esquemas_NORM!$H$2:$K$126,MATCH($E1041,[1]Esquemas_NORM!$A$2:$A$126,0),MATCH(AB$4,[1]Esquemas_NORM!$H$1:$K$1,0)))</f>
        <v>A la fecha no ha conformado un EAT Área Metropolitana</v>
      </c>
      <c r="AC1041" s="17" t="str">
        <f>IF($E1041="","",INDEX([1]Esquemas_NORM!$H$2:$K$126,MATCH($E1041,[1]Esquemas_NORM!$A$2:$A$126,0),MATCH(AC$4,[1]Esquemas_NORM!$H$1:$K$1,0)))</f>
        <v>A la fecha no ha conformado un EAT asociación - unión</v>
      </c>
      <c r="AD1041" s="23"/>
    </row>
    <row r="1042" spans="1:30" x14ac:dyDescent="0.25">
      <c r="A1042" s="51">
        <v>2023</v>
      </c>
      <c r="B1042" s="52" t="s">
        <v>36</v>
      </c>
      <c r="C1042" s="52" t="s">
        <v>94</v>
      </c>
      <c r="D1042" s="52" t="s">
        <v>104</v>
      </c>
      <c r="E1042" s="52" t="s">
        <v>111</v>
      </c>
      <c r="F1042" s="52" t="s">
        <v>97</v>
      </c>
      <c r="G1042" s="52" t="s">
        <v>112</v>
      </c>
      <c r="H1042" s="53">
        <v>24.506149861473169</v>
      </c>
      <c r="I1042" s="53">
        <v>485.78011794959127</v>
      </c>
      <c r="J1042" s="54">
        <v>510.28626781106442</v>
      </c>
      <c r="K1042" s="53">
        <v>19.955156590087654</v>
      </c>
      <c r="L1042" s="53">
        <v>0.89971401903054493</v>
      </c>
      <c r="M1042" s="54">
        <v>20.854870609118198</v>
      </c>
      <c r="N1042" s="53">
        <v>27.177115085726196</v>
      </c>
      <c r="O1042" s="53">
        <v>92.468975392561461</v>
      </c>
      <c r="P1042" s="53">
        <v>15.565334122883248</v>
      </c>
      <c r="Q1042" s="53">
        <v>13.269483826115074</v>
      </c>
      <c r="R1042" s="53">
        <v>32.873940434154036</v>
      </c>
      <c r="S1042" s="53">
        <v>82.561467920827468</v>
      </c>
      <c r="T1042" s="53">
        <v>64.160392842479993</v>
      </c>
      <c r="U1042" s="53">
        <v>23.845127129078008</v>
      </c>
      <c r="V1042" s="54">
        <v>351.92183675382546</v>
      </c>
      <c r="W1042" s="54">
        <v>1169.0123879091959</v>
      </c>
      <c r="X1042" s="53">
        <v>129.49748883924696</v>
      </c>
      <c r="Y1042" s="55">
        <v>1297.8746405305794</v>
      </c>
      <c r="Z1042" s="17" t="str">
        <f>SUBSTITUTE(SUBSTITUTE(SUBSTITUTE(SUBSTITUTE(IF(E1042="","",VLOOKUP(E1042,[1]Esquemas_NORM!$A$2:$H$126,8,FALSE)),"PROVINCIA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042" s="17" t="str">
        <f>IF($E1042="","",INDEX([1]Esquemas_NORM!$H$2:$K$126,MATCH($E1042,[1]Esquemas_NORM!$A$2:$A$126,0),MATCH(AA$4,[1]Esquemas_NORM!$H$1:$K$1,0)))</f>
        <v>A la fecha no ha conformado un EAT Región</v>
      </c>
      <c r="AB1042" s="17" t="str">
        <f>IF($E1042="","",INDEX([1]Esquemas_NORM!$H$2:$K$126,MATCH($E1042,[1]Esquemas_NORM!$A$2:$A$126,0),MATCH(AB$4,[1]Esquemas_NORM!$H$1:$K$1,0)))</f>
        <v>A la fecha no ha conformado un EAT Área Metropolitana</v>
      </c>
      <c r="AC1042" s="17" t="str">
        <f>IF($E1042="","",INDEX([1]Esquemas_NORM!$H$2:$K$126,MATCH($E1042,[1]Esquemas_NORM!$A$2:$A$126,0),MATCH(AC$4,[1]Esquemas_NORM!$H$1:$K$1,0)))</f>
        <v>A la fecha no ha conformado un EAT asociación - unión</v>
      </c>
      <c r="AD1042" s="23"/>
    </row>
    <row r="1043" spans="1:30" x14ac:dyDescent="0.25">
      <c r="A1043" s="51">
        <v>2023</v>
      </c>
      <c r="B1043" s="52" t="s">
        <v>36</v>
      </c>
      <c r="C1043" s="52" t="s">
        <v>94</v>
      </c>
      <c r="D1043" s="52" t="s">
        <v>95</v>
      </c>
      <c r="E1043" s="52" t="s">
        <v>113</v>
      </c>
      <c r="F1043" s="52" t="s">
        <v>97</v>
      </c>
      <c r="G1043" s="52" t="s">
        <v>114</v>
      </c>
      <c r="H1043" s="53">
        <v>19.25222516505637</v>
      </c>
      <c r="I1043" s="53">
        <v>67.08534429508417</v>
      </c>
      <c r="J1043" s="54">
        <v>86.337569460140543</v>
      </c>
      <c r="K1043" s="53">
        <v>1.1957949411311146</v>
      </c>
      <c r="L1043" s="53">
        <v>5.3126015371589022</v>
      </c>
      <c r="M1043" s="54">
        <v>6.5083964782900168</v>
      </c>
      <c r="N1043" s="53">
        <v>2.9530858333019627</v>
      </c>
      <c r="O1043" s="53">
        <v>24.566911496354148</v>
      </c>
      <c r="P1043" s="53">
        <v>4.3096556867309115</v>
      </c>
      <c r="Q1043" s="53">
        <v>3.7409718512260848</v>
      </c>
      <c r="R1043" s="53">
        <v>8.6679773230190236</v>
      </c>
      <c r="S1043" s="53">
        <v>29.763262593507573</v>
      </c>
      <c r="T1043" s="53">
        <v>20.625050740037494</v>
      </c>
      <c r="U1043" s="53">
        <v>5.2214579014374216</v>
      </c>
      <c r="V1043" s="54">
        <v>99.848373425614611</v>
      </c>
      <c r="W1043" s="54">
        <v>237.4416160752881</v>
      </c>
      <c r="X1043" s="53">
        <v>26.302623775190263</v>
      </c>
      <c r="Y1043" s="55">
        <v>263.61521511496579</v>
      </c>
      <c r="Z1043" s="17" t="str">
        <f>SUBSTITUTE(SUBSTITUTE(SUBSTITUTE(SUBSTITUTE(IF(E1043="","",VLOOKUP(E1043,[1]Esquemas_NORM!$A$2:$H$126,8,FALSE)),"PROVINCIA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043" s="17" t="str">
        <f>IF($E1043="","",INDEX([1]Esquemas_NORM!$H$2:$K$126,MATCH($E1043,[1]Esquemas_NORM!$A$2:$A$126,0),MATCH(AA$4,[1]Esquemas_NORM!$H$1:$K$1,0)))</f>
        <v>A la fecha no ha conformado un EAT Región</v>
      </c>
      <c r="AB1043" s="17" t="str">
        <f>IF($E1043="","",INDEX([1]Esquemas_NORM!$H$2:$K$126,MATCH($E1043,[1]Esquemas_NORM!$A$2:$A$126,0),MATCH(AB$4,[1]Esquemas_NORM!$H$1:$K$1,0)))</f>
        <v>A la fecha no ha conformado un EAT Área Metropolitana</v>
      </c>
      <c r="AC1043" s="17" t="str">
        <f>IF($E1043="","",INDEX([1]Esquemas_NORM!$H$2:$K$126,MATCH($E1043,[1]Esquemas_NORM!$A$2:$A$126,0),MATCH(AC$4,[1]Esquemas_NORM!$H$1:$K$1,0)))</f>
        <v>A la fecha no ha conformado un EAT asociación - unión</v>
      </c>
      <c r="AD1043" s="23"/>
    </row>
    <row r="1044" spans="1:30" x14ac:dyDescent="0.25">
      <c r="A1044" s="51">
        <v>2023</v>
      </c>
      <c r="B1044" s="52" t="s">
        <v>36</v>
      </c>
      <c r="C1044" s="52" t="s">
        <v>94</v>
      </c>
      <c r="D1044" s="52" t="s">
        <v>95</v>
      </c>
      <c r="E1044" s="52" t="s">
        <v>115</v>
      </c>
      <c r="F1044" s="52" t="s">
        <v>97</v>
      </c>
      <c r="G1044" s="52" t="s">
        <v>116</v>
      </c>
      <c r="H1044" s="53">
        <v>9.585165735150964</v>
      </c>
      <c r="I1044" s="53">
        <v>0.22986014240973193</v>
      </c>
      <c r="J1044" s="54">
        <v>9.8150258775606964</v>
      </c>
      <c r="K1044" s="53">
        <v>2.6400323515306345</v>
      </c>
      <c r="L1044" s="53">
        <v>1.3220609062112265</v>
      </c>
      <c r="M1044" s="54">
        <v>3.9620932577418611</v>
      </c>
      <c r="N1044" s="53">
        <v>1.9169016197899063</v>
      </c>
      <c r="O1044" s="53">
        <v>16.94700104028928</v>
      </c>
      <c r="P1044" s="53">
        <v>2.3196628246615409</v>
      </c>
      <c r="Q1044" s="53">
        <v>2.1924824883473688</v>
      </c>
      <c r="R1044" s="53">
        <v>6.3237757803033992</v>
      </c>
      <c r="S1044" s="53">
        <v>7.9173329320529691</v>
      </c>
      <c r="T1044" s="53">
        <v>13.589073555202498</v>
      </c>
      <c r="U1044" s="53">
        <v>4.8556691829118401</v>
      </c>
      <c r="V1044" s="54">
        <v>56.061899423558806</v>
      </c>
      <c r="W1044" s="54">
        <v>73.298725420952991</v>
      </c>
      <c r="X1044" s="53">
        <v>8.1196751850797924</v>
      </c>
      <c r="Y1044" s="55">
        <v>81.378570399275489</v>
      </c>
      <c r="Z1044" s="17" t="str">
        <f>SUBSTITUTE(SUBSTITUTE(SUBSTITUTE(SUBSTITUTE(IF(E1044="","",VLOOKUP(E1044,[1]Esquemas_NORM!$A$2:$H$126,8,FALSE)),"PROVINCIA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044" s="17" t="str">
        <f>IF($E1044="","",INDEX([1]Esquemas_NORM!$H$2:$K$126,MATCH($E1044,[1]Esquemas_NORM!$A$2:$A$126,0),MATCH(AA$4,[1]Esquemas_NORM!$H$1:$K$1,0)))</f>
        <v>A la fecha no ha conformado un EAT Región</v>
      </c>
      <c r="AB1044" s="17" t="str">
        <f>IF($E1044="","",INDEX([1]Esquemas_NORM!$H$2:$K$126,MATCH($E1044,[1]Esquemas_NORM!$A$2:$A$126,0),MATCH(AB$4,[1]Esquemas_NORM!$H$1:$K$1,0)))</f>
        <v>A la fecha no ha conformado un EAT Área Metropolitana</v>
      </c>
      <c r="AC1044" s="17" t="str">
        <f>IF($E1044="","",INDEX([1]Esquemas_NORM!$H$2:$K$126,MATCH($E1044,[1]Esquemas_NORM!$A$2:$A$126,0),MATCH(AC$4,[1]Esquemas_NORM!$H$1:$K$1,0)))</f>
        <v>A la fecha no ha conformado un EAT asociación - unión</v>
      </c>
      <c r="AD1044" s="23"/>
    </row>
    <row r="1045" spans="1:30" x14ac:dyDescent="0.25">
      <c r="A1045" s="51">
        <v>2023</v>
      </c>
      <c r="B1045" s="52" t="s">
        <v>36</v>
      </c>
      <c r="C1045" s="52" t="s">
        <v>94</v>
      </c>
      <c r="D1045" s="52" t="s">
        <v>95</v>
      </c>
      <c r="E1045" s="52" t="s">
        <v>117</v>
      </c>
      <c r="F1045" s="52" t="s">
        <v>97</v>
      </c>
      <c r="G1045" s="52" t="s">
        <v>118</v>
      </c>
      <c r="H1045" s="53">
        <v>89.407534489032471</v>
      </c>
      <c r="I1045" s="53">
        <v>1.0388248178946746</v>
      </c>
      <c r="J1045" s="54">
        <v>90.44635930692715</v>
      </c>
      <c r="K1045" s="53">
        <v>9.7813105471928896</v>
      </c>
      <c r="L1045" s="53">
        <v>5.6028786588941308</v>
      </c>
      <c r="M1045" s="54">
        <v>15.38418920608702</v>
      </c>
      <c r="N1045" s="53">
        <v>4.6953607288442303</v>
      </c>
      <c r="O1045" s="53">
        <v>31.199279476527305</v>
      </c>
      <c r="P1045" s="53">
        <v>6.5238037766193386</v>
      </c>
      <c r="Q1045" s="53">
        <v>6.4555683333879248</v>
      </c>
      <c r="R1045" s="53">
        <v>16.930814829460392</v>
      </c>
      <c r="S1045" s="53">
        <v>22.611435117711594</v>
      </c>
      <c r="T1045" s="53">
        <v>64.459243412970523</v>
      </c>
      <c r="U1045" s="53">
        <v>10.257398736962912</v>
      </c>
      <c r="V1045" s="54">
        <v>163.13290441248421</v>
      </c>
      <c r="W1045" s="54">
        <v>307.7053799305063</v>
      </c>
      <c r="X1045" s="53">
        <v>34.086100725355479</v>
      </c>
      <c r="Y1045" s="55">
        <v>341.62427489842634</v>
      </c>
      <c r="Z1045" s="17" t="str">
        <f>SUBSTITUTE(SUBSTITUTE(SUBSTITUTE(SUBSTITUTE(IF(E1045="","",VLOOKUP(E1045,[1]Esquemas_NORM!$A$2:$H$126,8,FALSE)),"PROVINCIA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045" s="17" t="str">
        <f>IF($E1045="","",INDEX([1]Esquemas_NORM!$H$2:$K$126,MATCH($E1045,[1]Esquemas_NORM!$A$2:$A$126,0),MATCH(AA$4,[1]Esquemas_NORM!$H$1:$K$1,0)))</f>
        <v>A la fecha no ha conformado un EAT Región</v>
      </c>
      <c r="AB1045" s="17" t="str">
        <f>IF($E1045="","",INDEX([1]Esquemas_NORM!$H$2:$K$126,MATCH($E1045,[1]Esquemas_NORM!$A$2:$A$126,0),MATCH(AB$4,[1]Esquemas_NORM!$H$1:$K$1,0)))</f>
        <v>A la fecha no ha conformado un EAT Área Metropolitana</v>
      </c>
      <c r="AC1045" s="17" t="str">
        <f>IF($E1045="","",INDEX([1]Esquemas_NORM!$H$2:$K$126,MATCH($E1045,[1]Esquemas_NORM!$A$2:$A$126,0),MATCH(AC$4,[1]Esquemas_NORM!$H$1:$K$1,0)))</f>
        <v>A la fecha no ha conformado un EAT asociación - unión</v>
      </c>
      <c r="AD1045" s="23"/>
    </row>
    <row r="1046" spans="1:30" x14ac:dyDescent="0.25">
      <c r="A1046" s="51">
        <v>2023</v>
      </c>
      <c r="B1046" s="52" t="s">
        <v>36</v>
      </c>
      <c r="C1046" s="52" t="s">
        <v>119</v>
      </c>
      <c r="D1046" s="52" t="s">
        <v>120</v>
      </c>
      <c r="E1046" s="52" t="s">
        <v>121</v>
      </c>
      <c r="F1046" s="52" t="s">
        <v>122</v>
      </c>
      <c r="G1046" s="52" t="s">
        <v>123</v>
      </c>
      <c r="H1046" s="53">
        <v>18.276249746719941</v>
      </c>
      <c r="I1046" s="53">
        <v>0</v>
      </c>
      <c r="J1046" s="54">
        <v>18.276249746719941</v>
      </c>
      <c r="K1046" s="53">
        <v>1.9293036609689769</v>
      </c>
      <c r="L1046" s="53">
        <v>4.225026223506025</v>
      </c>
      <c r="M1046" s="54">
        <v>6.1543298844750023</v>
      </c>
      <c r="N1046" s="53">
        <v>1.7870439297264269</v>
      </c>
      <c r="O1046" s="53">
        <v>19.6515655641691</v>
      </c>
      <c r="P1046" s="53">
        <v>3.8795933100691338</v>
      </c>
      <c r="Q1046" s="53">
        <v>3.9780162220264672</v>
      </c>
      <c r="R1046" s="53">
        <v>8.2947110722036221</v>
      </c>
      <c r="S1046" s="53">
        <v>11.775362575206845</v>
      </c>
      <c r="T1046" s="53">
        <v>25.011549747384276</v>
      </c>
      <c r="U1046" s="53">
        <v>8.4077309186521081</v>
      </c>
      <c r="V1046" s="54">
        <v>82.785573339437974</v>
      </c>
      <c r="W1046" s="54">
        <v>112.73344176428292</v>
      </c>
      <c r="X1046" s="53">
        <v>12.488060663612742</v>
      </c>
      <c r="Y1046" s="55">
        <v>125.16024356877958</v>
      </c>
      <c r="Z1046" s="17" t="str">
        <f>SUBSTITUTE(SUBSTITUTE(SUBSTITUTE(SUBSTITUTE(IF(E1046="","",VLOOKUP(E1046,[1]Esquemas_NORM!$A$2:$H$126,8,FALSE)),"PROVINCIA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46" s="17" t="str">
        <f>IF($E1046="","",INDEX([1]Esquemas_NORM!$H$2:$K$126,MATCH($E1046,[1]Esquemas_NORM!$A$2:$A$126,0),MATCH(AA$4,[1]Esquemas_NORM!$H$1:$K$1,0)))</f>
        <v>A la fecha no ha conformado un EAT Región</v>
      </c>
      <c r="AB1046" s="17" t="str">
        <f>IF($E1046="","",INDEX([1]Esquemas_NORM!$H$2:$K$126,MATCH($E1046,[1]Esquemas_NORM!$A$2:$A$126,0),MATCH(AB$4,[1]Esquemas_NORM!$H$1:$K$1,0)))</f>
        <v>A la fecha no ha conformado un EAT Área Metropolitana</v>
      </c>
      <c r="AC1046" s="17" t="str">
        <f>IF($E1046="","",INDEX([1]Esquemas_NORM!$H$2:$K$126,MATCH($E1046,[1]Esquemas_NORM!$A$2:$A$126,0),MATCH(AC$4,[1]Esquemas_NORM!$H$1:$K$1,0)))</f>
        <v>ASOCIACION DE MUNICIPIOS DEL NORTE ANTIOQUEÑO - AMUNORTE</v>
      </c>
      <c r="AD1046" s="23"/>
    </row>
    <row r="1047" spans="1:30" x14ac:dyDescent="0.25">
      <c r="A1047" s="51">
        <v>2023</v>
      </c>
      <c r="B1047" s="52" t="s">
        <v>36</v>
      </c>
      <c r="C1047" s="52" t="s">
        <v>119</v>
      </c>
      <c r="D1047" s="52" t="s">
        <v>124</v>
      </c>
      <c r="E1047" s="52" t="s">
        <v>125</v>
      </c>
      <c r="F1047" s="52" t="s">
        <v>122</v>
      </c>
      <c r="G1047" s="52" t="s">
        <v>126</v>
      </c>
      <c r="H1047" s="53">
        <v>18.313472372758746</v>
      </c>
      <c r="I1047" s="53">
        <v>2.0694541454992006E-2</v>
      </c>
      <c r="J1047" s="54">
        <v>18.334166914213739</v>
      </c>
      <c r="K1047" s="53">
        <v>2.6586191802226793</v>
      </c>
      <c r="L1047" s="53">
        <v>1.6445330354611776</v>
      </c>
      <c r="M1047" s="54">
        <v>4.3031522156838573</v>
      </c>
      <c r="N1047" s="53">
        <v>2.4944410544627993</v>
      </c>
      <c r="O1047" s="53">
        <v>12.859660286064353</v>
      </c>
      <c r="P1047" s="53">
        <v>2.3049820956697937</v>
      </c>
      <c r="Q1047" s="53">
        <v>1.6508193689927373</v>
      </c>
      <c r="R1047" s="53">
        <v>5.6506871335818003</v>
      </c>
      <c r="S1047" s="53">
        <v>9.1386698769457624</v>
      </c>
      <c r="T1047" s="53">
        <v>14.965299824188099</v>
      </c>
      <c r="U1047" s="53">
        <v>2.9428295977653947</v>
      </c>
      <c r="V1047" s="54">
        <v>52.007389237670743</v>
      </c>
      <c r="W1047" s="54">
        <v>82.486702161388095</v>
      </c>
      <c r="X1047" s="53">
        <v>9.1374744211817713</v>
      </c>
      <c r="Y1047" s="55">
        <v>91.57935366944325</v>
      </c>
      <c r="Z1047" s="17" t="str">
        <f>SUBSTITUTE(SUBSTITUTE(SUBSTITUTE(SUBSTITUTE(IF(E1047="","",VLOOKUP(E1047,[1]Esquemas_NORM!$A$2:$H$126,8,FALSE)),"PROVINCIA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047" s="17" t="str">
        <f>IF($E1047="","",INDEX([1]Esquemas_NORM!$H$2:$K$126,MATCH($E1047,[1]Esquemas_NORM!$A$2:$A$126,0),MATCH(AA$4,[1]Esquemas_NORM!$H$1:$K$1,0)))</f>
        <v>A la fecha no ha conformado un EAT Región</v>
      </c>
      <c r="AB1047" s="17" t="str">
        <f>IF($E1047="","",INDEX([1]Esquemas_NORM!$H$2:$K$126,MATCH($E1047,[1]Esquemas_NORM!$A$2:$A$126,0),MATCH(AB$4,[1]Esquemas_NORM!$H$1:$K$1,0)))</f>
        <v>A la fecha no ha conformado un EAT Área Metropolitana</v>
      </c>
      <c r="AC1047" s="17" t="str">
        <f>IF($E1047="","",INDEX([1]Esquemas_NORM!$H$2:$K$126,MATCH($E1047,[1]Esquemas_NORM!$A$2:$A$126,0),MATCH(AC$4,[1]Esquemas_NORM!$H$1:$K$1,0)))</f>
        <v>A la fecha no ha conformado un EAT asociación - unión</v>
      </c>
      <c r="AD1047" s="23"/>
    </row>
    <row r="1048" spans="1:30" x14ac:dyDescent="0.25">
      <c r="A1048" s="51">
        <v>2023</v>
      </c>
      <c r="B1048" s="52" t="s">
        <v>36</v>
      </c>
      <c r="C1048" s="52" t="s">
        <v>119</v>
      </c>
      <c r="D1048" s="52" t="s">
        <v>120</v>
      </c>
      <c r="E1048" s="52" t="s">
        <v>127</v>
      </c>
      <c r="F1048" s="52" t="s">
        <v>122</v>
      </c>
      <c r="G1048" s="52" t="s">
        <v>128</v>
      </c>
      <c r="H1048" s="53">
        <v>17.597651917216389</v>
      </c>
      <c r="I1048" s="53">
        <v>0.40481596522082719</v>
      </c>
      <c r="J1048" s="54">
        <v>18.002467882437216</v>
      </c>
      <c r="K1048" s="53">
        <v>1.3413100599976138</v>
      </c>
      <c r="L1048" s="53">
        <v>2.8349626730216126</v>
      </c>
      <c r="M1048" s="54">
        <v>4.1762727330192266</v>
      </c>
      <c r="N1048" s="53">
        <v>40.353579504582356</v>
      </c>
      <c r="O1048" s="53">
        <v>0.5470102912785989</v>
      </c>
      <c r="P1048" s="53">
        <v>0.22422289922334426</v>
      </c>
      <c r="Q1048" s="53">
        <v>0.17620810184780339</v>
      </c>
      <c r="R1048" s="53">
        <v>0.35464684436501925</v>
      </c>
      <c r="S1048" s="53">
        <v>2.4594797191872306</v>
      </c>
      <c r="T1048" s="53">
        <v>1.6252866022803867</v>
      </c>
      <c r="U1048" s="53">
        <v>0.28834024759951454</v>
      </c>
      <c r="V1048" s="54">
        <v>46.028774210364254</v>
      </c>
      <c r="W1048" s="54">
        <v>90.822912646626392</v>
      </c>
      <c r="X1048" s="53">
        <v>10.060919147209543</v>
      </c>
      <c r="Y1048" s="55">
        <v>100.83447902039744</v>
      </c>
      <c r="Z1048" s="17" t="str">
        <f>SUBSTITUTE(SUBSTITUTE(SUBSTITUTE(SUBSTITUTE(IF(E1048="","",VLOOKUP(E1048,[1]Esquemas_NORM!$A$2:$H$126,8,FALSE)),"PROVINCIA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48" s="17" t="str">
        <f>IF($E1048="","",INDEX([1]Esquemas_NORM!$H$2:$K$126,MATCH($E1048,[1]Esquemas_NORM!$A$2:$A$126,0),MATCH(AA$4,[1]Esquemas_NORM!$H$1:$K$1,0)))</f>
        <v>A la fecha no ha conformado un EAT Región</v>
      </c>
      <c r="AB1048" s="17" t="str">
        <f>IF($E1048="","",INDEX([1]Esquemas_NORM!$H$2:$K$126,MATCH($E1048,[1]Esquemas_NORM!$A$2:$A$126,0),MATCH(AB$4,[1]Esquemas_NORM!$H$1:$K$1,0)))</f>
        <v>A la fecha no ha conformado un EAT Área Metropolitana</v>
      </c>
      <c r="AC1048" s="17" t="str">
        <f>IF($E1048="","",INDEX([1]Esquemas_NORM!$H$2:$K$126,MATCH($E1048,[1]Esquemas_NORM!$A$2:$A$126,0),MATCH(AC$4,[1]Esquemas_NORM!$H$1:$K$1,0)))</f>
        <v>ASOCIACION DE MUNICIPIOS DEL NORTE ANTIOQUEÑO - AMUNORTE</v>
      </c>
      <c r="AD1048" s="23"/>
    </row>
    <row r="1049" spans="1:30" x14ac:dyDescent="0.25">
      <c r="A1049" s="51">
        <v>2023</v>
      </c>
      <c r="B1049" s="52" t="s">
        <v>36</v>
      </c>
      <c r="C1049" s="52" t="s">
        <v>119</v>
      </c>
      <c r="D1049" s="52" t="s">
        <v>120</v>
      </c>
      <c r="E1049" s="52" t="s">
        <v>129</v>
      </c>
      <c r="F1049" s="52" t="s">
        <v>122</v>
      </c>
      <c r="G1049" s="52" t="s">
        <v>130</v>
      </c>
      <c r="H1049" s="53">
        <v>8.6786922733604435</v>
      </c>
      <c r="I1049" s="53">
        <v>0</v>
      </c>
      <c r="J1049" s="54">
        <v>8.6786922733604435</v>
      </c>
      <c r="K1049" s="53">
        <v>1.2977008081254819</v>
      </c>
      <c r="L1049" s="53">
        <v>2.9023573899579262</v>
      </c>
      <c r="M1049" s="54">
        <v>4.2000581980834077</v>
      </c>
      <c r="N1049" s="53">
        <v>1.4205209201851954</v>
      </c>
      <c r="O1049" s="53">
        <v>11.246870198516108</v>
      </c>
      <c r="P1049" s="53">
        <v>3.5599182476151183</v>
      </c>
      <c r="Q1049" s="53">
        <v>3.2911050617940925</v>
      </c>
      <c r="R1049" s="53">
        <v>5.8972115521581632</v>
      </c>
      <c r="S1049" s="53">
        <v>10.424256968400716</v>
      </c>
      <c r="T1049" s="53">
        <v>20.71637163253806</v>
      </c>
      <c r="U1049" s="53">
        <v>4.5297194948535102</v>
      </c>
      <c r="V1049" s="54">
        <v>61.085974076060964</v>
      </c>
      <c r="W1049" s="54">
        <v>74.901864918779893</v>
      </c>
      <c r="X1049" s="53">
        <v>8.2972631570942035</v>
      </c>
      <c r="Y1049" s="55">
        <v>83.158426730126394</v>
      </c>
      <c r="Z1049" s="17" t="str">
        <f>SUBSTITUTE(SUBSTITUTE(SUBSTITUTE(SUBSTITUTE(IF(E1049="","",VLOOKUP(E1049,[1]Esquemas_NORM!$A$2:$H$126,8,FALSE)),"PROVINCIA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49" s="17" t="str">
        <f>IF($E1049="","",INDEX([1]Esquemas_NORM!$H$2:$K$126,MATCH($E1049,[1]Esquemas_NORM!$A$2:$A$126,0),MATCH(AA$4,[1]Esquemas_NORM!$H$1:$K$1,0)))</f>
        <v>A la fecha no ha conformado un EAT Región</v>
      </c>
      <c r="AB1049" s="17" t="str">
        <f>IF($E1049="","",INDEX([1]Esquemas_NORM!$H$2:$K$126,MATCH($E1049,[1]Esquemas_NORM!$A$2:$A$126,0),MATCH(AB$4,[1]Esquemas_NORM!$H$1:$K$1,0)))</f>
        <v>A la fecha no ha conformado un EAT Área Metropolitana</v>
      </c>
      <c r="AC1049" s="17" t="str">
        <f>IF($E1049="","",INDEX([1]Esquemas_NORM!$H$2:$K$126,MATCH($E1049,[1]Esquemas_NORM!$A$2:$A$126,0),MATCH(AC$4,[1]Esquemas_NORM!$H$1:$K$1,0)))</f>
        <v>ASOCIACION DE MUNICIPIOS DEL NORTE ANTIOQUEÑO - AMUNORTE</v>
      </c>
      <c r="AD1049" s="23"/>
    </row>
    <row r="1050" spans="1:30" x14ac:dyDescent="0.25">
      <c r="A1050" s="51">
        <v>2023</v>
      </c>
      <c r="B1050" s="52" t="s">
        <v>36</v>
      </c>
      <c r="C1050" s="52" t="s">
        <v>119</v>
      </c>
      <c r="D1050" s="52" t="s">
        <v>99</v>
      </c>
      <c r="E1050" s="52" t="s">
        <v>131</v>
      </c>
      <c r="F1050" s="52" t="s">
        <v>122</v>
      </c>
      <c r="G1050" s="52" t="s">
        <v>132</v>
      </c>
      <c r="H1050" s="53">
        <v>11.885518831634055</v>
      </c>
      <c r="I1050" s="53">
        <v>2.9908721689810961E-2</v>
      </c>
      <c r="J1050" s="54">
        <v>11.915427553323866</v>
      </c>
      <c r="K1050" s="53">
        <v>0.79298603447623428</v>
      </c>
      <c r="L1050" s="53">
        <v>2.1853248208185998</v>
      </c>
      <c r="M1050" s="54">
        <v>2.9783108552948341</v>
      </c>
      <c r="N1050" s="53">
        <v>19.800798227342057</v>
      </c>
      <c r="O1050" s="53">
        <v>1.7797305574447484</v>
      </c>
      <c r="P1050" s="53">
        <v>0.40408268660242169</v>
      </c>
      <c r="Q1050" s="53">
        <v>0.31057171346943185</v>
      </c>
      <c r="R1050" s="53">
        <v>1.4977039623127621</v>
      </c>
      <c r="S1050" s="53">
        <v>2.1382900930638704</v>
      </c>
      <c r="T1050" s="53">
        <v>2.7164222064282608</v>
      </c>
      <c r="U1050" s="53">
        <v>0.86875554249161036</v>
      </c>
      <c r="V1050" s="54">
        <v>29.516354989155158</v>
      </c>
      <c r="W1050" s="54">
        <v>56.610345127293243</v>
      </c>
      <c r="X1050" s="53">
        <v>6.2710178370672143</v>
      </c>
      <c r="Y1050" s="55">
        <v>62.850601150453251</v>
      </c>
      <c r="Z1050" s="17" t="str">
        <f>SUBSTITUTE(SUBSTITUTE(SUBSTITUTE(SUBSTITUTE(IF(E1050="","",VLOOKUP(E1050,[1]Esquemas_NORM!$A$2:$H$126,8,FALSE)),"PROVINCIA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50" s="17" t="str">
        <f>IF($E1050="","",INDEX([1]Esquemas_NORM!$H$2:$K$126,MATCH($E1050,[1]Esquemas_NORM!$A$2:$A$126,0),MATCH(AA$4,[1]Esquemas_NORM!$H$1:$K$1,0)))</f>
        <v>A la fecha no ha conformado un EAT Región</v>
      </c>
      <c r="AB1050" s="17" t="str">
        <f>IF($E1050="","",INDEX([1]Esquemas_NORM!$H$2:$K$126,MATCH($E1050,[1]Esquemas_NORM!$A$2:$A$126,0),MATCH(AB$4,[1]Esquemas_NORM!$H$1:$K$1,0)))</f>
        <v>A la fecha no ha conformado un EAT Área Metropolitana</v>
      </c>
      <c r="AC1050" s="17" t="str">
        <f>IF($E1050="","",INDEX([1]Esquemas_NORM!$H$2:$K$126,MATCH($E1050,[1]Esquemas_NORM!$A$2:$A$126,0),MATCH(AC$4,[1]Esquemas_NORM!$H$1:$K$1,0)))</f>
        <v>A la fecha no ha conformado un EAT asociación - unión</v>
      </c>
      <c r="AD1050" s="23"/>
    </row>
    <row r="1051" spans="1:30" x14ac:dyDescent="0.25">
      <c r="A1051" s="51">
        <v>2023</v>
      </c>
      <c r="B1051" s="52" t="s">
        <v>36</v>
      </c>
      <c r="C1051" s="52" t="s">
        <v>119</v>
      </c>
      <c r="D1051" s="52" t="s">
        <v>124</v>
      </c>
      <c r="E1051" s="52" t="s">
        <v>133</v>
      </c>
      <c r="F1051" s="52" t="s">
        <v>122</v>
      </c>
      <c r="G1051" s="52" t="s">
        <v>134</v>
      </c>
      <c r="H1051" s="53">
        <v>135.57591355533771</v>
      </c>
      <c r="I1051" s="53">
        <v>1.6733058348796896E-2</v>
      </c>
      <c r="J1051" s="54">
        <v>135.5926466136865</v>
      </c>
      <c r="K1051" s="53">
        <v>26.534473684067475</v>
      </c>
      <c r="L1051" s="53">
        <v>6.4023597937783849</v>
      </c>
      <c r="M1051" s="54">
        <v>32.936833477845859</v>
      </c>
      <c r="N1051" s="53">
        <v>29.66350069483396</v>
      </c>
      <c r="O1051" s="53">
        <v>60.690346649736419</v>
      </c>
      <c r="P1051" s="53">
        <v>10.111310251690936</v>
      </c>
      <c r="Q1051" s="53">
        <v>11.492034582755549</v>
      </c>
      <c r="R1051" s="53">
        <v>21.986080898849377</v>
      </c>
      <c r="S1051" s="53">
        <v>35.364266262538202</v>
      </c>
      <c r="T1051" s="53">
        <v>35.396205233206445</v>
      </c>
      <c r="U1051" s="53">
        <v>11.322856623950589</v>
      </c>
      <c r="V1051" s="54">
        <v>216.02660119756149</v>
      </c>
      <c r="W1051" s="54">
        <v>455.41355064809557</v>
      </c>
      <c r="X1051" s="53">
        <v>50.448491224265503</v>
      </c>
      <c r="Y1051" s="55">
        <v>505.61457214108856</v>
      </c>
      <c r="Z1051" s="17" t="str">
        <f>SUBSTITUTE(SUBSTITUTE(SUBSTITUTE(SUBSTITUTE(IF(E1051="","",VLOOKUP(E1051,[1]Esquemas_NORM!$A$2:$H$126,8,FALSE)),"PROVINCIA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051" s="17" t="str">
        <f>IF($E1051="","",INDEX([1]Esquemas_NORM!$H$2:$K$126,MATCH($E1051,[1]Esquemas_NORM!$A$2:$A$126,0),MATCH(AA$4,[1]Esquemas_NORM!$H$1:$K$1,0)))</f>
        <v>A la fecha no ha conformado un EAT Región</v>
      </c>
      <c r="AB1051" s="17" t="str">
        <f>IF($E1051="","",INDEX([1]Esquemas_NORM!$H$2:$K$126,MATCH($E1051,[1]Esquemas_NORM!$A$2:$A$126,0),MATCH(AB$4,[1]Esquemas_NORM!$H$1:$K$1,0)))</f>
        <v>A la fecha no ha conformado un EAT Área Metropolitana</v>
      </c>
      <c r="AC1051" s="17" t="str">
        <f>IF($E1051="","",INDEX([1]Esquemas_NORM!$H$2:$K$126,MATCH($E1051,[1]Esquemas_NORM!$A$2:$A$126,0),MATCH(AC$4,[1]Esquemas_NORM!$H$1:$K$1,0)))</f>
        <v>ASOCIACION DE MUNICIPIOS DEL NORTE ANTIOQUEÑO - AMUNORTE</v>
      </c>
      <c r="AD1051" s="23"/>
    </row>
    <row r="1052" spans="1:30" x14ac:dyDescent="0.25">
      <c r="A1052" s="51">
        <v>2023</v>
      </c>
      <c r="B1052" s="52" t="s">
        <v>36</v>
      </c>
      <c r="C1052" s="52" t="s">
        <v>119</v>
      </c>
      <c r="D1052" s="52" t="s">
        <v>124</v>
      </c>
      <c r="E1052" s="52" t="s">
        <v>135</v>
      </c>
      <c r="F1052" s="52" t="s">
        <v>122</v>
      </c>
      <c r="G1052" s="52" t="s">
        <v>136</v>
      </c>
      <c r="H1052" s="53">
        <v>85.278863619547792</v>
      </c>
      <c r="I1052" s="53">
        <v>0</v>
      </c>
      <c r="J1052" s="54">
        <v>85.278863619547792</v>
      </c>
      <c r="K1052" s="53">
        <v>147.78201737376673</v>
      </c>
      <c r="L1052" s="53">
        <v>25.000055176125375</v>
      </c>
      <c r="M1052" s="54">
        <v>172.78207254989212</v>
      </c>
      <c r="N1052" s="53">
        <v>8.816127455644768</v>
      </c>
      <c r="O1052" s="53">
        <v>44.907440630868166</v>
      </c>
      <c r="P1052" s="53">
        <v>6.114699134759376</v>
      </c>
      <c r="Q1052" s="53">
        <v>7.333624428740424</v>
      </c>
      <c r="R1052" s="53">
        <v>13.470413667053904</v>
      </c>
      <c r="S1052" s="53">
        <v>21.304489258148561</v>
      </c>
      <c r="T1052" s="53">
        <v>16.184621478871428</v>
      </c>
      <c r="U1052" s="53">
        <v>6.9278852462328731</v>
      </c>
      <c r="V1052" s="54">
        <v>125.0593013003195</v>
      </c>
      <c r="W1052" s="54">
        <v>412.12544939135682</v>
      </c>
      <c r="X1052" s="53">
        <v>45.653246565288491</v>
      </c>
      <c r="Y1052" s="55">
        <v>457.55474879023808</v>
      </c>
      <c r="Z1052" s="17" t="str">
        <f>SUBSTITUTE(SUBSTITUTE(SUBSTITUTE(SUBSTITUTE(IF(E1052="","",VLOOKUP(E1052,[1]Esquemas_NORM!$A$2:$H$126,8,FALSE)),"PROVINCIA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052" s="17" t="str">
        <f>IF($E1052="","",INDEX([1]Esquemas_NORM!$H$2:$K$126,MATCH($E1052,[1]Esquemas_NORM!$A$2:$A$126,0),MATCH(AA$4,[1]Esquemas_NORM!$H$1:$K$1,0)))</f>
        <v>A la fecha no ha conformado un EAT Región</v>
      </c>
      <c r="AB1052" s="17" t="str">
        <f>IF($E1052="","",INDEX([1]Esquemas_NORM!$H$2:$K$126,MATCH($E1052,[1]Esquemas_NORM!$A$2:$A$126,0),MATCH(AB$4,[1]Esquemas_NORM!$H$1:$K$1,0)))</f>
        <v>A la fecha no ha conformado un EAT Área Metropolitana</v>
      </c>
      <c r="AC1052" s="17" t="str">
        <f>IF($E1052="","",INDEX([1]Esquemas_NORM!$H$2:$K$126,MATCH($E1052,[1]Esquemas_NORM!$A$2:$A$126,0),MATCH(AC$4,[1]Esquemas_NORM!$H$1:$K$1,0)))</f>
        <v>A la fecha no ha conformado un EAT asociación - unión</v>
      </c>
      <c r="AD1052" s="23"/>
    </row>
    <row r="1053" spans="1:30" x14ac:dyDescent="0.25">
      <c r="A1053" s="51">
        <v>2023</v>
      </c>
      <c r="B1053" s="52" t="s">
        <v>36</v>
      </c>
      <c r="C1053" s="52" t="s">
        <v>119</v>
      </c>
      <c r="D1053" s="52" t="s">
        <v>99</v>
      </c>
      <c r="E1053" s="52" t="s">
        <v>137</v>
      </c>
      <c r="F1053" s="52" t="s">
        <v>122</v>
      </c>
      <c r="G1053" s="52" t="s">
        <v>138</v>
      </c>
      <c r="H1053" s="53">
        <v>25.109404160698201</v>
      </c>
      <c r="I1053" s="53">
        <v>1.1883830467622447</v>
      </c>
      <c r="J1053" s="54">
        <v>26.297787207460445</v>
      </c>
      <c r="K1053" s="53">
        <v>6.1820860719448296</v>
      </c>
      <c r="L1053" s="53">
        <v>10.101917941406636</v>
      </c>
      <c r="M1053" s="54">
        <v>16.284004013351467</v>
      </c>
      <c r="N1053" s="53">
        <v>10.162319074966831</v>
      </c>
      <c r="O1053" s="53">
        <v>75.47103829623623</v>
      </c>
      <c r="P1053" s="53">
        <v>12.33762469528849</v>
      </c>
      <c r="Q1053" s="53">
        <v>10.609459549473728</v>
      </c>
      <c r="R1053" s="53">
        <v>49.486638273892396</v>
      </c>
      <c r="S1053" s="53">
        <v>44.140632370205239</v>
      </c>
      <c r="T1053" s="53">
        <v>72.055393203607707</v>
      </c>
      <c r="U1053" s="53">
        <v>20.778965822835577</v>
      </c>
      <c r="V1053" s="54">
        <v>295.0420712865062</v>
      </c>
      <c r="W1053" s="54">
        <v>339.22628398384393</v>
      </c>
      <c r="X1053" s="53">
        <v>37.577832689067669</v>
      </c>
      <c r="Y1053" s="55">
        <v>376.61978259409932</v>
      </c>
      <c r="Z1053" s="17" t="str">
        <f>SUBSTITUTE(SUBSTITUTE(SUBSTITUTE(SUBSTITUTE(IF(E1053="","",VLOOKUP(E1053,[1]Esquemas_NORM!$A$2:$H$126,8,FALSE)),"PROVINCIA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53" s="17" t="str">
        <f>IF($E1053="","",INDEX([1]Esquemas_NORM!$H$2:$K$126,MATCH($E1053,[1]Esquemas_NORM!$A$2:$A$126,0),MATCH(AA$4,[1]Esquemas_NORM!$H$1:$K$1,0)))</f>
        <v>A la fecha no ha conformado un EAT Región</v>
      </c>
      <c r="AB1053" s="17" t="str">
        <f>IF($E1053="","",INDEX([1]Esquemas_NORM!$H$2:$K$126,MATCH($E1053,[1]Esquemas_NORM!$A$2:$A$126,0),MATCH(AB$4,[1]Esquemas_NORM!$H$1:$K$1,0)))</f>
        <v>A la fecha no ha conformado un EAT Área Metropolitana</v>
      </c>
      <c r="AC1053" s="17" t="str">
        <f>IF($E1053="","",INDEX([1]Esquemas_NORM!$H$2:$K$126,MATCH($E1053,[1]Esquemas_NORM!$A$2:$A$126,0),MATCH(AC$4,[1]Esquemas_NORM!$H$1:$K$1,0)))</f>
        <v>ASOCIACION DE MUNICIPIOS DEL NORTE ANTIOQUEÑO - AMUNORTE</v>
      </c>
      <c r="AD1053" s="23"/>
    </row>
    <row r="1054" spans="1:30" x14ac:dyDescent="0.25">
      <c r="A1054" s="51">
        <v>2023</v>
      </c>
      <c r="B1054" s="52" t="s">
        <v>36</v>
      </c>
      <c r="C1054" s="52" t="s">
        <v>119</v>
      </c>
      <c r="D1054" s="52" t="s">
        <v>99</v>
      </c>
      <c r="E1054" s="52" t="s">
        <v>139</v>
      </c>
      <c r="F1054" s="52" t="s">
        <v>122</v>
      </c>
      <c r="G1054" s="52" t="s">
        <v>140</v>
      </c>
      <c r="H1054" s="53">
        <v>6.5185945708327573</v>
      </c>
      <c r="I1054" s="53">
        <v>0</v>
      </c>
      <c r="J1054" s="54">
        <v>6.5185945708327573</v>
      </c>
      <c r="K1054" s="53">
        <v>0.53089132058512667</v>
      </c>
      <c r="L1054" s="53">
        <v>2.8548863236281181</v>
      </c>
      <c r="M1054" s="54">
        <v>3.3857776442132446</v>
      </c>
      <c r="N1054" s="53">
        <v>24.059028755105139</v>
      </c>
      <c r="O1054" s="53">
        <v>3.7356631310177528</v>
      </c>
      <c r="P1054" s="53">
        <v>0.72598829195687375</v>
      </c>
      <c r="Q1054" s="53">
        <v>0.65355158896578391</v>
      </c>
      <c r="R1054" s="53">
        <v>1.5661376454593219</v>
      </c>
      <c r="S1054" s="53">
        <v>3.486230656701895</v>
      </c>
      <c r="T1054" s="53">
        <v>5.2814528637611149</v>
      </c>
      <c r="U1054" s="53">
        <v>1.1920913721316606</v>
      </c>
      <c r="V1054" s="54">
        <v>40.700144305099542</v>
      </c>
      <c r="W1054" s="54">
        <v>61.196297113739242</v>
      </c>
      <c r="X1054" s="53">
        <v>6.7790272237288569</v>
      </c>
      <c r="Y1054" s="55">
        <v>67.942070537312262</v>
      </c>
      <c r="Z1054" s="17" t="str">
        <f>SUBSTITUTE(SUBSTITUTE(SUBSTITUTE(SUBSTITUTE(IF(E1054="","",VLOOKUP(E1054,[1]Esquemas_NORM!$A$2:$H$126,8,FALSE)),"PROVINCIA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54" s="17" t="str">
        <f>IF($E1054="","",INDEX([1]Esquemas_NORM!$H$2:$K$126,MATCH($E1054,[1]Esquemas_NORM!$A$2:$A$126,0),MATCH(AA$4,[1]Esquemas_NORM!$H$1:$K$1,0)))</f>
        <v>A la fecha no ha conformado un EAT Región</v>
      </c>
      <c r="AB1054" s="17" t="str">
        <f>IF($E1054="","",INDEX([1]Esquemas_NORM!$H$2:$K$126,MATCH($E1054,[1]Esquemas_NORM!$A$2:$A$126,0),MATCH(AB$4,[1]Esquemas_NORM!$H$1:$K$1,0)))</f>
        <v>A la fecha no ha conformado un EAT Área Metropolitana</v>
      </c>
      <c r="AC1054" s="17" t="str">
        <f>IF($E1054="","",INDEX([1]Esquemas_NORM!$H$2:$K$126,MATCH($E1054,[1]Esquemas_NORM!$A$2:$A$126,0),MATCH(AC$4,[1]Esquemas_NORM!$H$1:$K$1,0)))</f>
        <v>A la fecha no ha conformado un EAT asociación - unión</v>
      </c>
      <c r="AD1054" s="23"/>
    </row>
    <row r="1055" spans="1:30" x14ac:dyDescent="0.25">
      <c r="A1055" s="51">
        <v>2023</v>
      </c>
      <c r="B1055" s="52" t="s">
        <v>36</v>
      </c>
      <c r="C1055" s="52" t="s">
        <v>119</v>
      </c>
      <c r="D1055" s="52" t="s">
        <v>141</v>
      </c>
      <c r="E1055" s="52" t="s">
        <v>142</v>
      </c>
      <c r="F1055" s="52" t="s">
        <v>122</v>
      </c>
      <c r="G1055" s="52" t="s">
        <v>143</v>
      </c>
      <c r="H1055" s="53">
        <v>33.207114353631617</v>
      </c>
      <c r="I1055" s="53">
        <v>0</v>
      </c>
      <c r="J1055" s="54">
        <v>33.207114353631617</v>
      </c>
      <c r="K1055" s="53">
        <v>5.9958340937824248</v>
      </c>
      <c r="L1055" s="53">
        <v>7.4527141167805881</v>
      </c>
      <c r="M1055" s="54">
        <v>13.448548210563013</v>
      </c>
      <c r="N1055" s="53">
        <v>10.9217368490608</v>
      </c>
      <c r="O1055" s="53">
        <v>46.665336646751328</v>
      </c>
      <c r="P1055" s="53">
        <v>11.056436645138346</v>
      </c>
      <c r="Q1055" s="53">
        <v>9.7035196163969797</v>
      </c>
      <c r="R1055" s="53">
        <v>18.744681888710755</v>
      </c>
      <c r="S1055" s="53">
        <v>22.170850809023303</v>
      </c>
      <c r="T1055" s="53">
        <v>52.382731274836324</v>
      </c>
      <c r="U1055" s="53">
        <v>9.7594272761988297</v>
      </c>
      <c r="V1055" s="54">
        <v>181.40472100611666</v>
      </c>
      <c r="W1055" s="54">
        <v>239.76531828923277</v>
      </c>
      <c r="X1055" s="53">
        <v>26.560032169396958</v>
      </c>
      <c r="Y1055" s="55">
        <v>266.1950630334955</v>
      </c>
      <c r="Z1055" s="17" t="str">
        <f>SUBSTITUTE(SUBSTITUTE(SUBSTITUTE(SUBSTITUTE(IF(E1055="","",VLOOKUP(E1055,[1]Esquemas_NORM!$A$2:$H$126,8,FALSE)),"PROVINCIA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55" s="17" t="str">
        <f>IF($E1055="","",INDEX([1]Esquemas_NORM!$H$2:$K$126,MATCH($E1055,[1]Esquemas_NORM!$A$2:$A$126,0),MATCH(AA$4,[1]Esquemas_NORM!$H$1:$K$1,0)))</f>
        <v>A la fecha no ha conformado un EAT Región</v>
      </c>
      <c r="AB1055" s="17" t="str">
        <f>IF($E1055="","",INDEX([1]Esquemas_NORM!$H$2:$K$126,MATCH($E1055,[1]Esquemas_NORM!$A$2:$A$126,0),MATCH(AB$4,[1]Esquemas_NORM!$H$1:$K$1,0)))</f>
        <v>A la fecha no ha conformado un EAT Área Metropolitana</v>
      </c>
      <c r="AC1055" s="17" t="str">
        <f>IF($E1055="","",INDEX([1]Esquemas_NORM!$H$2:$K$126,MATCH($E1055,[1]Esquemas_NORM!$A$2:$A$126,0),MATCH(AC$4,[1]Esquemas_NORM!$H$1:$K$1,0)))</f>
        <v>ASOCIACION DE MUNICIPIOS DEL NORTE ANTIOQUEÑO - AMUNORTE</v>
      </c>
      <c r="AD1055" s="23"/>
    </row>
    <row r="1056" spans="1:30" x14ac:dyDescent="0.25">
      <c r="A1056" s="51">
        <v>2023</v>
      </c>
      <c r="B1056" s="52" t="s">
        <v>36</v>
      </c>
      <c r="C1056" s="52" t="s">
        <v>119</v>
      </c>
      <c r="D1056" s="52" t="s">
        <v>141</v>
      </c>
      <c r="E1056" s="52" t="s">
        <v>144</v>
      </c>
      <c r="F1056" s="52" t="s">
        <v>122</v>
      </c>
      <c r="G1056" s="52" t="s">
        <v>145</v>
      </c>
      <c r="H1056" s="53">
        <v>11.055413577638987</v>
      </c>
      <c r="I1056" s="53">
        <v>0</v>
      </c>
      <c r="J1056" s="54">
        <v>11.055413577638987</v>
      </c>
      <c r="K1056" s="53">
        <v>0.90737494134541397</v>
      </c>
      <c r="L1056" s="53">
        <v>2.910034366738008</v>
      </c>
      <c r="M1056" s="54">
        <v>3.8174093080834219</v>
      </c>
      <c r="N1056" s="53">
        <v>13.32970593051647</v>
      </c>
      <c r="O1056" s="53">
        <v>7.6376346602515435</v>
      </c>
      <c r="P1056" s="53">
        <v>1.7969099904190935</v>
      </c>
      <c r="Q1056" s="53">
        <v>1.609125804001192</v>
      </c>
      <c r="R1056" s="53">
        <v>4.5903055982145142</v>
      </c>
      <c r="S1056" s="53">
        <v>5.3931715022083129</v>
      </c>
      <c r="T1056" s="53">
        <v>10.231303794975691</v>
      </c>
      <c r="U1056" s="53">
        <v>2.6582460396782612</v>
      </c>
      <c r="V1056" s="54">
        <v>47.246403320265074</v>
      </c>
      <c r="W1056" s="54">
        <v>70.237244250252715</v>
      </c>
      <c r="X1056" s="53">
        <v>7.7805392376473721</v>
      </c>
      <c r="Y1056" s="55">
        <v>77.979616876618763</v>
      </c>
      <c r="Z1056" s="17" t="str">
        <f>SUBSTITUTE(SUBSTITUTE(SUBSTITUTE(SUBSTITUTE(IF(E1056="","",VLOOKUP(E1056,[1]Esquemas_NORM!$A$2:$H$126,8,FALSE)),"PROVINCIA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56" s="17" t="str">
        <f>IF($E1056="","",INDEX([1]Esquemas_NORM!$H$2:$K$126,MATCH($E1056,[1]Esquemas_NORM!$A$2:$A$126,0),MATCH(AA$4,[1]Esquemas_NORM!$H$1:$K$1,0)))</f>
        <v>A la fecha no ha conformado un EAT Región</v>
      </c>
      <c r="AB1056" s="17" t="str">
        <f>IF($E1056="","",INDEX([1]Esquemas_NORM!$H$2:$K$126,MATCH($E1056,[1]Esquemas_NORM!$A$2:$A$126,0),MATCH(AB$4,[1]Esquemas_NORM!$H$1:$K$1,0)))</f>
        <v>A la fecha no ha conformado un EAT Área Metropolitana</v>
      </c>
      <c r="AC1056" s="17" t="str">
        <f>IF($E1056="","",INDEX([1]Esquemas_NORM!$H$2:$K$126,MATCH($E1056,[1]Esquemas_NORM!$A$2:$A$126,0),MATCH(AC$4,[1]Esquemas_NORM!$H$1:$K$1,0)))</f>
        <v>ASOCIACION DE MUNICIPIOS DEL NORTE ANTIOQUEÑO - AMUNORTE</v>
      </c>
      <c r="AD1056" s="23"/>
    </row>
    <row r="1057" spans="1:30" x14ac:dyDescent="0.25">
      <c r="A1057" s="51">
        <v>2023</v>
      </c>
      <c r="B1057" s="52" t="s">
        <v>36</v>
      </c>
      <c r="C1057" s="52" t="s">
        <v>119</v>
      </c>
      <c r="D1057" s="52" t="s">
        <v>124</v>
      </c>
      <c r="E1057" s="52" t="s">
        <v>146</v>
      </c>
      <c r="F1057" s="52" t="s">
        <v>122</v>
      </c>
      <c r="G1057" s="52" t="s">
        <v>147</v>
      </c>
      <c r="H1057" s="53">
        <v>3.5482349722799826</v>
      </c>
      <c r="I1057" s="53">
        <v>0</v>
      </c>
      <c r="J1057" s="54">
        <v>3.5482349722799826</v>
      </c>
      <c r="K1057" s="53">
        <v>1.3894470848715597</v>
      </c>
      <c r="L1057" s="53">
        <v>0.58468664883927979</v>
      </c>
      <c r="M1057" s="54">
        <v>1.9741337337108393</v>
      </c>
      <c r="N1057" s="53">
        <v>2.0141405393908056</v>
      </c>
      <c r="O1057" s="53">
        <v>6.2835049042362998</v>
      </c>
      <c r="P1057" s="53">
        <v>1.3822362089935794</v>
      </c>
      <c r="Q1057" s="53">
        <v>1.3038098090923311</v>
      </c>
      <c r="R1057" s="53">
        <v>4.4624218732482284</v>
      </c>
      <c r="S1057" s="53">
        <v>4.4062137628681786</v>
      </c>
      <c r="T1057" s="53">
        <v>7.6629228126992528</v>
      </c>
      <c r="U1057" s="53">
        <v>2.4050882696741476</v>
      </c>
      <c r="V1057" s="54">
        <v>29.920338180202826</v>
      </c>
      <c r="W1057" s="54">
        <v>36.16960720936936</v>
      </c>
      <c r="X1057" s="53">
        <v>4.0066926188060004</v>
      </c>
      <c r="Y1057" s="55">
        <v>40.156645421837354</v>
      </c>
      <c r="Z1057" s="17" t="str">
        <f>SUBSTITUTE(SUBSTITUTE(SUBSTITUTE(SUBSTITUTE(IF(E1057="","",VLOOKUP(E1057,[1]Esquemas_NORM!$A$2:$H$126,8,FALSE)),"PROVINCIA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57" s="17" t="str">
        <f>IF($E1057="","",INDEX([1]Esquemas_NORM!$H$2:$K$126,MATCH($E1057,[1]Esquemas_NORM!$A$2:$A$126,0),MATCH(AA$4,[1]Esquemas_NORM!$H$1:$K$1,0)))</f>
        <v>A la fecha no ha conformado un EAT Región</v>
      </c>
      <c r="AB1057" s="17" t="str">
        <f>IF($E1057="","",INDEX([1]Esquemas_NORM!$H$2:$K$126,MATCH($E1057,[1]Esquemas_NORM!$A$2:$A$126,0),MATCH(AB$4,[1]Esquemas_NORM!$H$1:$K$1,0)))</f>
        <v>A la fecha no ha conformado un EAT Área Metropolitana</v>
      </c>
      <c r="AC1057" s="17" t="str">
        <f>IF($E1057="","",INDEX([1]Esquemas_NORM!$H$2:$K$126,MATCH($E1057,[1]Esquemas_NORM!$A$2:$A$126,0),MATCH(AC$4,[1]Esquemas_NORM!$H$1:$K$1,0)))</f>
        <v>ASOCIACION DE MUNICIPIOS DEL NORTE ANTIOQUEÑO - AMUNORTE</v>
      </c>
      <c r="AD1057" s="23"/>
    </row>
    <row r="1058" spans="1:30" x14ac:dyDescent="0.25">
      <c r="A1058" s="51">
        <v>2023</v>
      </c>
      <c r="B1058" s="52" t="s">
        <v>36</v>
      </c>
      <c r="C1058" s="52" t="s">
        <v>119</v>
      </c>
      <c r="D1058" s="52" t="s">
        <v>124</v>
      </c>
      <c r="E1058" s="52" t="s">
        <v>148</v>
      </c>
      <c r="F1058" s="52" t="s">
        <v>122</v>
      </c>
      <c r="G1058" s="52" t="s">
        <v>149</v>
      </c>
      <c r="H1058" s="53">
        <v>102.16831320807381</v>
      </c>
      <c r="I1058" s="53">
        <v>5.6724947179788076E-3</v>
      </c>
      <c r="J1058" s="54">
        <v>102.1739857027918</v>
      </c>
      <c r="K1058" s="53">
        <v>460.97657153773321</v>
      </c>
      <c r="L1058" s="53">
        <v>36.759698085255408</v>
      </c>
      <c r="M1058" s="54">
        <v>497.73626962298863</v>
      </c>
      <c r="N1058" s="53">
        <v>22.080791356105749</v>
      </c>
      <c r="O1058" s="53">
        <v>68.487820314336631</v>
      </c>
      <c r="P1058" s="53">
        <v>15.270313293643959</v>
      </c>
      <c r="Q1058" s="53">
        <v>18.09140667882032</v>
      </c>
      <c r="R1058" s="53">
        <v>35.985437058607495</v>
      </c>
      <c r="S1058" s="53">
        <v>47.174470218967215</v>
      </c>
      <c r="T1058" s="53">
        <v>43.837461388204161</v>
      </c>
      <c r="U1058" s="53">
        <v>17.002312696782734</v>
      </c>
      <c r="V1058" s="54">
        <v>267.93001300546831</v>
      </c>
      <c r="W1058" s="54">
        <v>871.13352005496802</v>
      </c>
      <c r="X1058" s="53">
        <v>96.499921179536699</v>
      </c>
      <c r="Y1058" s="55">
        <v>967.16007109037469</v>
      </c>
      <c r="Z1058" s="17" t="str">
        <f>SUBSTITUTE(SUBSTITUTE(SUBSTITUTE(SUBSTITUTE(IF(E1058="","",VLOOKUP(E1058,[1]Esquemas_NORM!$A$2:$H$126,8,FALSE)),"PROVINCIA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058" s="17" t="str">
        <f>IF($E1058="","",INDEX([1]Esquemas_NORM!$H$2:$K$126,MATCH($E1058,[1]Esquemas_NORM!$A$2:$A$126,0),MATCH(AA$4,[1]Esquemas_NORM!$H$1:$K$1,0)))</f>
        <v>A la fecha no ha conformado un EAT Región</v>
      </c>
      <c r="AB1058" s="17" t="str">
        <f>IF($E1058="","",INDEX([1]Esquemas_NORM!$H$2:$K$126,MATCH($E1058,[1]Esquemas_NORM!$A$2:$A$126,0),MATCH(AB$4,[1]Esquemas_NORM!$H$1:$K$1,0)))</f>
        <v>A la fecha no ha conformado un EAT Área Metropolitana</v>
      </c>
      <c r="AC1058" s="17" t="str">
        <f>IF($E1058="","",INDEX([1]Esquemas_NORM!$H$2:$K$126,MATCH($E1058,[1]Esquemas_NORM!$A$2:$A$126,0),MATCH(AC$4,[1]Esquemas_NORM!$H$1:$K$1,0)))</f>
        <v>A la fecha no ha conformado un EAT asociación - unión</v>
      </c>
      <c r="AD1058" s="23"/>
    </row>
    <row r="1059" spans="1:30" x14ac:dyDescent="0.25">
      <c r="A1059" s="51">
        <v>2023</v>
      </c>
      <c r="B1059" s="52" t="s">
        <v>36</v>
      </c>
      <c r="C1059" s="52" t="s">
        <v>119</v>
      </c>
      <c r="D1059" s="52" t="s">
        <v>124</v>
      </c>
      <c r="E1059" s="52" t="s">
        <v>150</v>
      </c>
      <c r="F1059" s="52" t="s">
        <v>122</v>
      </c>
      <c r="G1059" s="52" t="s">
        <v>151</v>
      </c>
      <c r="H1059" s="53">
        <v>182.64193687176819</v>
      </c>
      <c r="I1059" s="53">
        <v>0.53754037378265074</v>
      </c>
      <c r="J1059" s="54">
        <v>183.17947724555086</v>
      </c>
      <c r="K1059" s="53">
        <v>184.77775139043698</v>
      </c>
      <c r="L1059" s="53">
        <v>22.289641321402655</v>
      </c>
      <c r="M1059" s="54">
        <v>207.06739271183963</v>
      </c>
      <c r="N1059" s="53">
        <v>34.239903462997049</v>
      </c>
      <c r="O1059" s="53">
        <v>111.35101275686635</v>
      </c>
      <c r="P1059" s="53">
        <v>12.587865041906955</v>
      </c>
      <c r="Q1059" s="53">
        <v>18.707189609171085</v>
      </c>
      <c r="R1059" s="53">
        <v>41.024073995052589</v>
      </c>
      <c r="S1059" s="53">
        <v>64.157774014957823</v>
      </c>
      <c r="T1059" s="53">
        <v>114.16639525259963</v>
      </c>
      <c r="U1059" s="53">
        <v>20.579739531341986</v>
      </c>
      <c r="V1059" s="54">
        <v>416.81395366489346</v>
      </c>
      <c r="W1059" s="54">
        <v>881.47627949197829</v>
      </c>
      <c r="X1059" s="53">
        <v>97.645641608716929</v>
      </c>
      <c r="Y1059" s="55">
        <v>978.64293074632872</v>
      </c>
      <c r="Z1059" s="17" t="str">
        <f>SUBSTITUTE(SUBSTITUTE(SUBSTITUTE(SUBSTITUTE(IF(E1059="","",VLOOKUP(E1059,[1]Esquemas_NORM!$A$2:$H$126,8,FALSE)),"PROVINCIA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059" s="17" t="str">
        <f>IF($E1059="","",INDEX([1]Esquemas_NORM!$H$2:$K$126,MATCH($E1059,[1]Esquemas_NORM!$A$2:$A$126,0),MATCH(AA$4,[1]Esquemas_NORM!$H$1:$K$1,0)))</f>
        <v>A la fecha no ha conformado un EAT Región</v>
      </c>
      <c r="AB1059" s="17" t="str">
        <f>IF($E1059="","",INDEX([1]Esquemas_NORM!$H$2:$K$126,MATCH($E1059,[1]Esquemas_NORM!$A$2:$A$126,0),MATCH(AB$4,[1]Esquemas_NORM!$H$1:$K$1,0)))</f>
        <v>A la fecha no ha conformado un EAT Área Metropolitana</v>
      </c>
      <c r="AC1059" s="17" t="str">
        <f>IF($E1059="","",INDEX([1]Esquemas_NORM!$H$2:$K$126,MATCH($E1059,[1]Esquemas_NORM!$A$2:$A$126,0),MATCH(AC$4,[1]Esquemas_NORM!$H$1:$K$1,0)))</f>
        <v>A la fecha no ha conformado un EAT asociación - unión</v>
      </c>
      <c r="AD1059" s="23"/>
    </row>
    <row r="1060" spans="1:30" x14ac:dyDescent="0.25">
      <c r="A1060" s="51">
        <v>2023</v>
      </c>
      <c r="B1060" s="52" t="s">
        <v>36</v>
      </c>
      <c r="C1060" s="52" t="s">
        <v>119</v>
      </c>
      <c r="D1060" s="52" t="s">
        <v>141</v>
      </c>
      <c r="E1060" s="52" t="s">
        <v>152</v>
      </c>
      <c r="F1060" s="52" t="s">
        <v>122</v>
      </c>
      <c r="G1060" s="52" t="s">
        <v>153</v>
      </c>
      <c r="H1060" s="53">
        <v>9.2784157305650528</v>
      </c>
      <c r="I1060" s="53">
        <v>0.40592843813966961</v>
      </c>
      <c r="J1060" s="54">
        <v>9.6843441687047225</v>
      </c>
      <c r="K1060" s="53">
        <v>2.8265534361582483</v>
      </c>
      <c r="L1060" s="53">
        <v>1.0988790482097628</v>
      </c>
      <c r="M1060" s="54">
        <v>3.9254324843680113</v>
      </c>
      <c r="N1060" s="53">
        <v>2.8471559978600167</v>
      </c>
      <c r="O1060" s="53">
        <v>18.173755850259994</v>
      </c>
      <c r="P1060" s="53">
        <v>2.4175353643239785</v>
      </c>
      <c r="Q1060" s="53">
        <v>2.2827204363248734</v>
      </c>
      <c r="R1060" s="53">
        <v>5.6195832553721043</v>
      </c>
      <c r="S1060" s="53">
        <v>8.8504517337646131</v>
      </c>
      <c r="T1060" s="53">
        <v>15.116650613240024</v>
      </c>
      <c r="U1060" s="53">
        <v>3.6656900486844037</v>
      </c>
      <c r="V1060" s="54">
        <v>58.973543299830013</v>
      </c>
      <c r="W1060" s="54">
        <v>76.476523087561517</v>
      </c>
      <c r="X1060" s="53">
        <v>8.4716961064351715</v>
      </c>
      <c r="Y1060" s="55">
        <v>84.906662185888152</v>
      </c>
      <c r="Z1060" s="17" t="str">
        <f>SUBSTITUTE(SUBSTITUTE(SUBSTITUTE(SUBSTITUTE(IF(E1060="","",VLOOKUP(E1060,[1]Esquemas_NORM!$A$2:$H$126,8,FALSE)),"PROVINCIA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60" s="17" t="str">
        <f>IF($E1060="","",INDEX([1]Esquemas_NORM!$H$2:$K$126,MATCH($E1060,[1]Esquemas_NORM!$A$2:$A$126,0),MATCH(AA$4,[1]Esquemas_NORM!$H$1:$K$1,0)))</f>
        <v>A la fecha no ha conformado un EAT Región</v>
      </c>
      <c r="AB1060" s="17" t="str">
        <f>IF($E1060="","",INDEX([1]Esquemas_NORM!$H$2:$K$126,MATCH($E1060,[1]Esquemas_NORM!$A$2:$A$126,0),MATCH(AB$4,[1]Esquemas_NORM!$H$1:$K$1,0)))</f>
        <v>A la fecha no ha conformado un EAT Área Metropolitana</v>
      </c>
      <c r="AC1060" s="17" t="str">
        <f>IF($E1060="","",INDEX([1]Esquemas_NORM!$H$2:$K$126,MATCH($E1060,[1]Esquemas_NORM!$A$2:$A$126,0),MATCH(AC$4,[1]Esquemas_NORM!$H$1:$K$1,0)))</f>
        <v>ASOCIACION DE MUNICIPIOS DEL NORTE ANTIOQUEÑO - AMUNORTE</v>
      </c>
      <c r="AD1060" s="23"/>
    </row>
    <row r="1061" spans="1:30" x14ac:dyDescent="0.25">
      <c r="A1061" s="51">
        <v>2023</v>
      </c>
      <c r="B1061" s="52" t="s">
        <v>36</v>
      </c>
      <c r="C1061" s="52" t="s">
        <v>119</v>
      </c>
      <c r="D1061" s="52" t="s">
        <v>120</v>
      </c>
      <c r="E1061" s="52" t="s">
        <v>154</v>
      </c>
      <c r="F1061" s="52" t="s">
        <v>122</v>
      </c>
      <c r="G1061" s="52" t="s">
        <v>155</v>
      </c>
      <c r="H1061" s="53">
        <v>11.80964034598113</v>
      </c>
      <c r="I1061" s="53">
        <v>0.13155573881157703</v>
      </c>
      <c r="J1061" s="54">
        <v>11.941196084792708</v>
      </c>
      <c r="K1061" s="53">
        <v>1.096370328623268</v>
      </c>
      <c r="L1061" s="53">
        <v>6.0253597455354857</v>
      </c>
      <c r="M1061" s="54">
        <v>7.1217300741587533</v>
      </c>
      <c r="N1061" s="53">
        <v>2.2668496012349499</v>
      </c>
      <c r="O1061" s="53">
        <v>27.038475725762268</v>
      </c>
      <c r="P1061" s="53">
        <v>4.6650697303025312</v>
      </c>
      <c r="Q1061" s="53">
        <v>4.3500425812919907</v>
      </c>
      <c r="R1061" s="53">
        <v>9.7814093248585934</v>
      </c>
      <c r="S1061" s="53">
        <v>14.321830044848424</v>
      </c>
      <c r="T1061" s="53">
        <v>35.537387190639059</v>
      </c>
      <c r="U1061" s="53">
        <v>12.587220043877673</v>
      </c>
      <c r="V1061" s="54">
        <v>110.5482842428155</v>
      </c>
      <c r="W1061" s="54">
        <v>131.00028926033454</v>
      </c>
      <c r="X1061" s="53">
        <v>14.51157290712567</v>
      </c>
      <c r="Y1061" s="55">
        <v>145.44067718332101</v>
      </c>
      <c r="Z1061" s="17" t="str">
        <f>SUBSTITUTE(SUBSTITUTE(SUBSTITUTE(SUBSTITUTE(IF(E1061="","",VLOOKUP(E1061,[1]Esquemas_NORM!$A$2:$H$126,8,FALSE)),"PROVINCIA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61" s="17" t="str">
        <f>IF($E1061="","",INDEX([1]Esquemas_NORM!$H$2:$K$126,MATCH($E1061,[1]Esquemas_NORM!$A$2:$A$126,0),MATCH(AA$4,[1]Esquemas_NORM!$H$1:$K$1,0)))</f>
        <v>A la fecha no ha conformado un EAT Región</v>
      </c>
      <c r="AB1061" s="17" t="str">
        <f>IF($E1061="","",INDEX([1]Esquemas_NORM!$H$2:$K$126,MATCH($E1061,[1]Esquemas_NORM!$A$2:$A$126,0),MATCH(AB$4,[1]Esquemas_NORM!$H$1:$K$1,0)))</f>
        <v>A la fecha no ha conformado un EAT Área Metropolitana</v>
      </c>
      <c r="AC1061" s="17" t="str">
        <f>IF($E1061="","",INDEX([1]Esquemas_NORM!$H$2:$K$126,MATCH($E1061,[1]Esquemas_NORM!$A$2:$A$126,0),MATCH(AC$4,[1]Esquemas_NORM!$H$1:$K$1,0)))</f>
        <v>A la fecha no ha conformado un EAT asociación - unión</v>
      </c>
      <c r="AD1061" s="23"/>
    </row>
    <row r="1062" spans="1:30" x14ac:dyDescent="0.25">
      <c r="A1062" s="51">
        <v>2023</v>
      </c>
      <c r="B1062" s="52" t="s">
        <v>36</v>
      </c>
      <c r="C1062" s="52" t="s">
        <v>119</v>
      </c>
      <c r="D1062" s="52" t="s">
        <v>120</v>
      </c>
      <c r="E1062" s="52" t="s">
        <v>156</v>
      </c>
      <c r="F1062" s="52" t="s">
        <v>122</v>
      </c>
      <c r="G1062" s="52" t="s">
        <v>157</v>
      </c>
      <c r="H1062" s="53">
        <v>56.957524877331295</v>
      </c>
      <c r="I1062" s="53">
        <v>1.7010491236342368E-2</v>
      </c>
      <c r="J1062" s="54">
        <v>56.974535368567636</v>
      </c>
      <c r="K1062" s="53">
        <v>139.0712863583428</v>
      </c>
      <c r="L1062" s="53">
        <v>15.94517522448303</v>
      </c>
      <c r="M1062" s="54">
        <v>155.01646158282583</v>
      </c>
      <c r="N1062" s="53">
        <v>21.846450267447608</v>
      </c>
      <c r="O1062" s="53">
        <v>111.65659767432679</v>
      </c>
      <c r="P1062" s="53">
        <v>15.533279069904035</v>
      </c>
      <c r="Q1062" s="53">
        <v>19.109558642215838</v>
      </c>
      <c r="R1062" s="53">
        <v>30.648841646719355</v>
      </c>
      <c r="S1062" s="53">
        <v>55.386704756747257</v>
      </c>
      <c r="T1062" s="53">
        <v>99.020171654597178</v>
      </c>
      <c r="U1062" s="53">
        <v>20.825269794087639</v>
      </c>
      <c r="V1062" s="54">
        <v>374.02687350604572</v>
      </c>
      <c r="W1062" s="54">
        <v>597.34767732360228</v>
      </c>
      <c r="X1062" s="53">
        <v>66.171261295129</v>
      </c>
      <c r="Y1062" s="55">
        <v>663.19434250389884</v>
      </c>
      <c r="Z1062" s="17" t="str">
        <f>SUBSTITUTE(SUBSTITUTE(SUBSTITUTE(SUBSTITUTE(IF(E1062="","",VLOOKUP(E1062,[1]Esquemas_NORM!$A$2:$H$126,8,FALSE)),"PROVINCIA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062" s="17" t="str">
        <f>IF($E1062="","",INDEX([1]Esquemas_NORM!$H$2:$K$126,MATCH($E1062,[1]Esquemas_NORM!$A$2:$A$126,0),MATCH(AA$4,[1]Esquemas_NORM!$H$1:$K$1,0)))</f>
        <v>A la fecha no ha conformado un EAT Región</v>
      </c>
      <c r="AB1062" s="17" t="str">
        <f>IF($E1062="","",INDEX([1]Esquemas_NORM!$H$2:$K$126,MATCH($E1062,[1]Esquemas_NORM!$A$2:$A$126,0),MATCH(AB$4,[1]Esquemas_NORM!$H$1:$K$1,0)))</f>
        <v>A la fecha no ha conformado un EAT Área Metropolitana</v>
      </c>
      <c r="AC1062" s="17" t="str">
        <f>IF($E1062="","",INDEX([1]Esquemas_NORM!$H$2:$K$126,MATCH($E1062,[1]Esquemas_NORM!$A$2:$A$126,0),MATCH(AC$4,[1]Esquemas_NORM!$H$1:$K$1,0)))</f>
        <v>A la fecha no ha conformado un EAT asociación - unión</v>
      </c>
      <c r="AD1062" s="23"/>
    </row>
    <row r="1063" spans="1:30" x14ac:dyDescent="0.25">
      <c r="A1063" s="51">
        <v>2023</v>
      </c>
      <c r="B1063" s="52" t="s">
        <v>36</v>
      </c>
      <c r="C1063" s="52" t="s">
        <v>158</v>
      </c>
      <c r="D1063" s="52" t="s">
        <v>159</v>
      </c>
      <c r="E1063" s="52" t="s">
        <v>160</v>
      </c>
      <c r="F1063" s="52" t="s">
        <v>161</v>
      </c>
      <c r="G1063" s="52" t="s">
        <v>162</v>
      </c>
      <c r="H1063" s="53">
        <v>9.4248777025890718</v>
      </c>
      <c r="I1063" s="53">
        <v>1.8839023433154047E-2</v>
      </c>
      <c r="J1063" s="54">
        <v>9.4437167260222257</v>
      </c>
      <c r="K1063" s="53">
        <v>0.2506261221727018</v>
      </c>
      <c r="L1063" s="53">
        <v>1.5526997796856994</v>
      </c>
      <c r="M1063" s="54">
        <v>1.8033259018584011</v>
      </c>
      <c r="N1063" s="53">
        <v>2.060000815131739</v>
      </c>
      <c r="O1063" s="53">
        <v>2.8603357849363986</v>
      </c>
      <c r="P1063" s="53">
        <v>0.63051351808163614</v>
      </c>
      <c r="Q1063" s="53">
        <v>0.474027458923724</v>
      </c>
      <c r="R1063" s="53">
        <v>1.6591073301298231</v>
      </c>
      <c r="S1063" s="53">
        <v>2.2293715213915011</v>
      </c>
      <c r="T1063" s="53">
        <v>7.4867696231555074</v>
      </c>
      <c r="U1063" s="53">
        <v>1.0068178388739886</v>
      </c>
      <c r="V1063" s="54">
        <v>18.406943890624319</v>
      </c>
      <c r="W1063" s="54">
        <v>34.219278140718131</v>
      </c>
      <c r="X1063" s="53">
        <v>3.7906446800399811</v>
      </c>
      <c r="Y1063" s="55">
        <v>37.99132821470446</v>
      </c>
      <c r="Z1063" s="17" t="str">
        <f>SUBSTITUTE(SUBSTITUTE(SUBSTITUTE(SUBSTITUTE(IF(E1063="","",VLOOKUP(E1063,[1]Esquemas_NORM!$A$2:$H$126,8,FALSE)),"PROVINCIA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063" s="17" t="str">
        <f>IF($E1063="","",INDEX([1]Esquemas_NORM!$H$2:$K$126,MATCH($E1063,[1]Esquemas_NORM!$A$2:$A$126,0),MATCH(AA$4,[1]Esquemas_NORM!$H$1:$K$1,0)))</f>
        <v>Región de Planeación y Gestión de Occidente</v>
      </c>
      <c r="AB1063" s="17" t="str">
        <f>IF($E1063="","",INDEX([1]Esquemas_NORM!$H$2:$K$126,MATCH($E1063,[1]Esquemas_NORM!$A$2:$A$126,0),MATCH(AB$4,[1]Esquemas_NORM!$H$1:$K$1,0)))</f>
        <v>A la fecha no ha conformado un EAT Área Metropolitana</v>
      </c>
      <c r="AC1063" s="17" t="str">
        <f>IF($E1063="","",INDEX([1]Esquemas_NORM!$H$2:$K$126,MATCH($E1063,[1]Esquemas_NORM!$A$2:$A$126,0),MATCH(AC$4,[1]Esquemas_NORM!$H$1:$K$1,0)))</f>
        <v>ASOCIACION DE MUNICIPIOS DEL NORTE ANTIOQUEÑO - AMUNORTE</v>
      </c>
      <c r="AD1063" s="23"/>
    </row>
    <row r="1064" spans="1:30" x14ac:dyDescent="0.25">
      <c r="A1064" s="51">
        <v>2023</v>
      </c>
      <c r="B1064" s="52" t="s">
        <v>36</v>
      </c>
      <c r="C1064" s="52" t="s">
        <v>158</v>
      </c>
      <c r="D1064" s="52" t="s">
        <v>163</v>
      </c>
      <c r="E1064" s="52" t="s">
        <v>164</v>
      </c>
      <c r="F1064" s="52" t="s">
        <v>161</v>
      </c>
      <c r="G1064" s="52" t="s">
        <v>165</v>
      </c>
      <c r="H1064" s="53">
        <v>43.75990404213632</v>
      </c>
      <c r="I1064" s="53">
        <v>4.8334256498926115E-2</v>
      </c>
      <c r="J1064" s="54">
        <v>43.808238298635246</v>
      </c>
      <c r="K1064" s="53">
        <v>3.1060653466685384</v>
      </c>
      <c r="L1064" s="53">
        <v>2.9801322933155721</v>
      </c>
      <c r="M1064" s="54">
        <v>6.0861976399841105</v>
      </c>
      <c r="N1064" s="53">
        <v>1.0746978115037733</v>
      </c>
      <c r="O1064" s="53">
        <v>11.838119802171471</v>
      </c>
      <c r="P1064" s="53">
        <v>2.5346836120339349</v>
      </c>
      <c r="Q1064" s="53">
        <v>2.5527463618881416</v>
      </c>
      <c r="R1064" s="53">
        <v>6.676000933552281</v>
      </c>
      <c r="S1064" s="53">
        <v>6.3176477771622981</v>
      </c>
      <c r="T1064" s="53">
        <v>14.859838074082669</v>
      </c>
      <c r="U1064" s="53">
        <v>3.788196343401268</v>
      </c>
      <c r="V1064" s="54">
        <v>49.641930715795837</v>
      </c>
      <c r="W1064" s="54">
        <v>119.62232797195514</v>
      </c>
      <c r="X1064" s="53">
        <v>13.251177867528833</v>
      </c>
      <c r="Y1064" s="55">
        <v>132.80850358973677</v>
      </c>
      <c r="Z1064" s="17" t="str">
        <f>SUBSTITUTE(SUBSTITUTE(SUBSTITUTE(SUBSTITUTE(IF(E1064="","",VLOOKUP(E1064,[1]Esquemas_NORM!$A$2:$H$126,8,FALSE)),"PROVINCIA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064" s="17" t="str">
        <f>IF($E1064="","",INDEX([1]Esquemas_NORM!$H$2:$K$126,MATCH($E1064,[1]Esquemas_NORM!$A$2:$A$126,0),MATCH(AA$4,[1]Esquemas_NORM!$H$1:$K$1,0)))</f>
        <v>A la fecha no ha conformado un EAT Región</v>
      </c>
      <c r="AB1064" s="17" t="str">
        <f>IF($E1064="","",INDEX([1]Esquemas_NORM!$H$2:$K$126,MATCH($E1064,[1]Esquemas_NORM!$A$2:$A$126,0),MATCH(AB$4,[1]Esquemas_NORM!$H$1:$K$1,0)))</f>
        <v>A la fecha no ha conformado un EAT Área Metropolitana</v>
      </c>
      <c r="AC1064" s="17" t="str">
        <f>IF($E1064="","",INDEX([1]Esquemas_NORM!$H$2:$K$126,MATCH($E1064,[1]Esquemas_NORM!$A$2:$A$126,0),MATCH(AC$4,[1]Esquemas_NORM!$H$1:$K$1,0)))</f>
        <v>ASOCIACION DE MUNICIPIOS DEL OCCIDENTE ANTIOQUEÑO - AMOCCIDENTE</v>
      </c>
      <c r="AD1064" s="23"/>
    </row>
    <row r="1065" spans="1:30" x14ac:dyDescent="0.25">
      <c r="A1065" s="51">
        <v>2023</v>
      </c>
      <c r="B1065" s="52" t="s">
        <v>36</v>
      </c>
      <c r="C1065" s="52" t="s">
        <v>158</v>
      </c>
      <c r="D1065" s="52" t="s">
        <v>163</v>
      </c>
      <c r="E1065" s="52" t="s">
        <v>166</v>
      </c>
      <c r="F1065" s="52" t="s">
        <v>161</v>
      </c>
      <c r="G1065" s="52" t="s">
        <v>167</v>
      </c>
      <c r="H1065" s="53">
        <v>8.9242041468492204</v>
      </c>
      <c r="I1065" s="53">
        <v>0</v>
      </c>
      <c r="J1065" s="54">
        <v>8.9242041468492204</v>
      </c>
      <c r="K1065" s="53">
        <v>0.84461513993319703</v>
      </c>
      <c r="L1065" s="53">
        <v>1.9878100469273063</v>
      </c>
      <c r="M1065" s="54">
        <v>2.8324251868605033</v>
      </c>
      <c r="N1065" s="53">
        <v>0.94308411971763639</v>
      </c>
      <c r="O1065" s="53">
        <v>7.0511968579170086</v>
      </c>
      <c r="P1065" s="53">
        <v>2.2682240275136794</v>
      </c>
      <c r="Q1065" s="53">
        <v>2.0813962751775827</v>
      </c>
      <c r="R1065" s="53">
        <v>7.1265820405739442</v>
      </c>
      <c r="S1065" s="53">
        <v>4.7364968584851379</v>
      </c>
      <c r="T1065" s="53">
        <v>9.9265707329786252</v>
      </c>
      <c r="U1065" s="53">
        <v>3.3428462575864195</v>
      </c>
      <c r="V1065" s="54">
        <v>37.476397169950033</v>
      </c>
      <c r="W1065" s="54">
        <v>51.341177256813197</v>
      </c>
      <c r="X1065" s="53">
        <v>5.6873251281102251</v>
      </c>
      <c r="Y1065" s="55">
        <v>57.000603813787777</v>
      </c>
      <c r="Z1065" s="17" t="str">
        <f>SUBSTITUTE(SUBSTITUTE(SUBSTITUTE(SUBSTITUTE(IF(E1065="","",VLOOKUP(E1065,[1]Esquemas_NORM!$A$2:$H$126,8,FALSE)),"PROVINCIA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65" s="17" t="str">
        <f>IF($E1065="","",INDEX([1]Esquemas_NORM!$H$2:$K$126,MATCH($E1065,[1]Esquemas_NORM!$A$2:$A$126,0),MATCH(AA$4,[1]Esquemas_NORM!$H$1:$K$1,0)))</f>
        <v>Región de Planeación y Gestión de Occidente</v>
      </c>
      <c r="AB1065" s="17" t="str">
        <f>IF($E1065="","",INDEX([1]Esquemas_NORM!$H$2:$K$126,MATCH($E1065,[1]Esquemas_NORM!$A$2:$A$126,0),MATCH(AB$4,[1]Esquemas_NORM!$H$1:$K$1,0)))</f>
        <v>A la fecha no ha conformado un EAT Área Metropolitana</v>
      </c>
      <c r="AC1065" s="17" t="str">
        <f>IF($E1065="","",INDEX([1]Esquemas_NORM!$H$2:$K$126,MATCH($E1065,[1]Esquemas_NORM!$A$2:$A$126,0),MATCH(AC$4,[1]Esquemas_NORM!$H$1:$K$1,0)))</f>
        <v>ASOCIACION DE MUNICIPIOS DEL OCCIDENTE ANTIOQUEÑO - AMOCCIDENTE</v>
      </c>
      <c r="AD1065" s="23"/>
    </row>
    <row r="1066" spans="1:30" x14ac:dyDescent="0.25">
      <c r="A1066" s="51">
        <v>2023</v>
      </c>
      <c r="B1066" s="52" t="s">
        <v>36</v>
      </c>
      <c r="C1066" s="52" t="s">
        <v>158</v>
      </c>
      <c r="D1066" s="52" t="s">
        <v>163</v>
      </c>
      <c r="E1066" s="52" t="s">
        <v>168</v>
      </c>
      <c r="F1066" s="52" t="s">
        <v>161</v>
      </c>
      <c r="G1066" s="52" t="s">
        <v>169</v>
      </c>
      <c r="H1066" s="53">
        <v>7.4985887163754459</v>
      </c>
      <c r="I1066" s="53">
        <v>751.59182352381583</v>
      </c>
      <c r="J1066" s="54">
        <v>759.09041224019131</v>
      </c>
      <c r="K1066" s="53">
        <v>4.8083779437845964</v>
      </c>
      <c r="L1066" s="53">
        <v>3.1529499857656511E-2</v>
      </c>
      <c r="M1066" s="54">
        <v>4.8399074436422529</v>
      </c>
      <c r="N1066" s="53">
        <v>10.61306202690548</v>
      </c>
      <c r="O1066" s="53">
        <v>7.4693955074087883</v>
      </c>
      <c r="P1066" s="53">
        <v>1.7138335539562304</v>
      </c>
      <c r="Q1066" s="53">
        <v>1.1775868827544598</v>
      </c>
      <c r="R1066" s="53">
        <v>4.109604997515528</v>
      </c>
      <c r="S1066" s="53">
        <v>36.46295146517371</v>
      </c>
      <c r="T1066" s="53">
        <v>6.7963051769603879</v>
      </c>
      <c r="U1066" s="53">
        <v>1.9539302719482528</v>
      </c>
      <c r="V1066" s="54">
        <v>70.296669882622837</v>
      </c>
      <c r="W1066" s="54">
        <v>1269.4826800628873</v>
      </c>
      <c r="X1066" s="53">
        <v>140.62709761946633</v>
      </c>
      <c r="Y1066" s="55">
        <v>1409.4199463472412</v>
      </c>
      <c r="Z1066" s="17" t="str">
        <f>SUBSTITUTE(SUBSTITUTE(SUBSTITUTE(SUBSTITUTE(IF(E1066="","",VLOOKUP(E1066,[1]Esquemas_NORM!$A$2:$H$126,8,FALSE)),"PROVINCIA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066" s="17" t="str">
        <f>IF($E1066="","",INDEX([1]Esquemas_NORM!$H$2:$K$126,MATCH($E1066,[1]Esquemas_NORM!$A$2:$A$126,0),MATCH(AA$4,[1]Esquemas_NORM!$H$1:$K$1,0)))</f>
        <v>Región de Planeación y Gestión de Occidente</v>
      </c>
      <c r="AB1066" s="17" t="str">
        <f>IF($E1066="","",INDEX([1]Esquemas_NORM!$H$2:$K$126,MATCH($E1066,[1]Esquemas_NORM!$A$2:$A$126,0),MATCH(AB$4,[1]Esquemas_NORM!$H$1:$K$1,0)))</f>
        <v>A la fecha no ha conformado un EAT Área Metropolitana</v>
      </c>
      <c r="AC1066" s="17" t="str">
        <f>IF($E1066="","",INDEX([1]Esquemas_NORM!$H$2:$K$126,MATCH($E1066,[1]Esquemas_NORM!$A$2:$A$126,0),MATCH(AC$4,[1]Esquemas_NORM!$H$1:$K$1,0)))</f>
        <v>ASOCIACION DE MUNICIPIOS DEL OCCIDENTE ANTIOQUEÑO - AMOCCIDENTE</v>
      </c>
      <c r="AD1066" s="23"/>
    </row>
    <row r="1067" spans="1:30" x14ac:dyDescent="0.25">
      <c r="A1067" s="51">
        <v>2023</v>
      </c>
      <c r="B1067" s="52" t="s">
        <v>36</v>
      </c>
      <c r="C1067" s="52" t="s">
        <v>158</v>
      </c>
      <c r="D1067" s="52" t="s">
        <v>163</v>
      </c>
      <c r="E1067" s="52" t="s">
        <v>170</v>
      </c>
      <c r="F1067" s="52" t="s">
        <v>161</v>
      </c>
      <c r="G1067" s="52" t="s">
        <v>171</v>
      </c>
      <c r="H1067" s="53">
        <v>22.293533694627403</v>
      </c>
      <c r="I1067" s="53">
        <v>0</v>
      </c>
      <c r="J1067" s="54">
        <v>22.293533694627403</v>
      </c>
      <c r="K1067" s="53">
        <v>0.97348384014484313</v>
      </c>
      <c r="L1067" s="53">
        <v>4.212895883440444</v>
      </c>
      <c r="M1067" s="54">
        <v>5.1863797235852873</v>
      </c>
      <c r="N1067" s="53">
        <v>1.1048702864059514</v>
      </c>
      <c r="O1067" s="53">
        <v>11.329971062757702</v>
      </c>
      <c r="P1067" s="53">
        <v>3.5946068600915808</v>
      </c>
      <c r="Q1067" s="53">
        <v>3.7333120394240433</v>
      </c>
      <c r="R1067" s="53">
        <v>8.9620964744653921</v>
      </c>
      <c r="S1067" s="53">
        <v>8.1761016840908418</v>
      </c>
      <c r="T1067" s="53">
        <v>21.383826472677665</v>
      </c>
      <c r="U1067" s="53">
        <v>4.7604227833520527</v>
      </c>
      <c r="V1067" s="54">
        <v>63.045207663265231</v>
      </c>
      <c r="W1067" s="54">
        <v>97.877064069381319</v>
      </c>
      <c r="X1067" s="53">
        <v>10.842343625333529</v>
      </c>
      <c r="Y1067" s="55">
        <v>108.66622172625071</v>
      </c>
      <c r="Z1067" s="17" t="str">
        <f>SUBSTITUTE(SUBSTITUTE(SUBSTITUTE(SUBSTITUTE(IF(E1067="","",VLOOKUP(E1067,[1]Esquemas_NORM!$A$2:$H$126,8,FALSE)),"PROVINCIA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067" s="17" t="str">
        <f>IF($E1067="","",INDEX([1]Esquemas_NORM!$H$2:$K$126,MATCH($E1067,[1]Esquemas_NORM!$A$2:$A$126,0),MATCH(AA$4,[1]Esquemas_NORM!$H$1:$K$1,0)))</f>
        <v>A la fecha no ha conformado un EAT Región</v>
      </c>
      <c r="AB1067" s="17" t="str">
        <f>IF($E1067="","",INDEX([1]Esquemas_NORM!$H$2:$K$126,MATCH($E1067,[1]Esquemas_NORM!$A$2:$A$126,0),MATCH(AB$4,[1]Esquemas_NORM!$H$1:$K$1,0)))</f>
        <v>A la fecha no ha conformado un EAT Área Metropolitana</v>
      </c>
      <c r="AC1067" s="17" t="str">
        <f>IF($E1067="","",INDEX([1]Esquemas_NORM!$H$2:$K$126,MATCH($E1067,[1]Esquemas_NORM!$A$2:$A$126,0),MATCH(AC$4,[1]Esquemas_NORM!$H$1:$K$1,0)))</f>
        <v>ASOCIACION DE MUNICIPIOS DEL OCCIDENTE ANTIOQUEÑO - AMOCCIDENTE</v>
      </c>
      <c r="AD1067" s="23"/>
    </row>
    <row r="1068" spans="1:30" x14ac:dyDescent="0.25">
      <c r="A1068" s="51">
        <v>2023</v>
      </c>
      <c r="B1068" s="52" t="s">
        <v>36</v>
      </c>
      <c r="C1068" s="52" t="s">
        <v>158</v>
      </c>
      <c r="D1068" s="52" t="s">
        <v>159</v>
      </c>
      <c r="E1068" s="52" t="s">
        <v>172</v>
      </c>
      <c r="F1068" s="52" t="s">
        <v>161</v>
      </c>
      <c r="G1068" s="52" t="s">
        <v>173</v>
      </c>
      <c r="H1068" s="53">
        <v>20.151865513163528</v>
      </c>
      <c r="I1068" s="53">
        <v>13.851639182408274</v>
      </c>
      <c r="J1068" s="54">
        <v>34.003504695571806</v>
      </c>
      <c r="K1068" s="53">
        <v>7.0045243787547342</v>
      </c>
      <c r="L1068" s="53">
        <v>5.6955307793750105</v>
      </c>
      <c r="M1068" s="54">
        <v>12.700055158129745</v>
      </c>
      <c r="N1068" s="53">
        <v>10.670898721818995</v>
      </c>
      <c r="O1068" s="53">
        <v>29.936510121318726</v>
      </c>
      <c r="P1068" s="53">
        <v>5.9786014080329366</v>
      </c>
      <c r="Q1068" s="53">
        <v>5.3950105461941957</v>
      </c>
      <c r="R1068" s="53">
        <v>13.376526357312402</v>
      </c>
      <c r="S1068" s="53">
        <v>19.320367251956341</v>
      </c>
      <c r="T1068" s="53">
        <v>38.468626439586764</v>
      </c>
      <c r="U1068" s="53">
        <v>7.4395145855033737</v>
      </c>
      <c r="V1068" s="54">
        <v>130.58605543172371</v>
      </c>
      <c r="W1068" s="54">
        <v>192.49907538627684</v>
      </c>
      <c r="X1068" s="53">
        <v>21.324108387804159</v>
      </c>
      <c r="Y1068" s="55">
        <v>213.71858061858055</v>
      </c>
      <c r="Z1068" s="17" t="str">
        <f>SUBSTITUTE(SUBSTITUTE(SUBSTITUTE(SUBSTITUTE(IF(E1068="","",VLOOKUP(E1068,[1]Esquemas_NORM!$A$2:$H$126,8,FALSE)),"PROVINCIA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068" s="17" t="str">
        <f>IF($E1068="","",INDEX([1]Esquemas_NORM!$H$2:$K$126,MATCH($E1068,[1]Esquemas_NORM!$A$2:$A$126,0),MATCH(AA$4,[1]Esquemas_NORM!$H$1:$K$1,0)))</f>
        <v>Región de Planeación y Gestión de Occidente</v>
      </c>
      <c r="AB1068" s="17" t="str">
        <f>IF($E1068="","",INDEX([1]Esquemas_NORM!$H$2:$K$126,MATCH($E1068,[1]Esquemas_NORM!$A$2:$A$126,0),MATCH(AB$4,[1]Esquemas_NORM!$H$1:$K$1,0)))</f>
        <v>A la fecha no ha conformado un EAT Área Metropolitana</v>
      </c>
      <c r="AC1068" s="17" t="str">
        <f>IF($E1068="","",INDEX([1]Esquemas_NORM!$H$2:$K$126,MATCH($E1068,[1]Esquemas_NORM!$A$2:$A$126,0),MATCH(AC$4,[1]Esquemas_NORM!$H$1:$K$1,0)))</f>
        <v>ASOCIACION DE MUNICIPIOS DEL OCCIDENTE ANTIOQUEÑO - AMOCCIDENTE</v>
      </c>
      <c r="AD1068" s="23"/>
    </row>
    <row r="1069" spans="1:30" x14ac:dyDescent="0.25">
      <c r="A1069" s="51">
        <v>2023</v>
      </c>
      <c r="B1069" s="52" t="s">
        <v>36</v>
      </c>
      <c r="C1069" s="52" t="s">
        <v>158</v>
      </c>
      <c r="D1069" s="52" t="s">
        <v>159</v>
      </c>
      <c r="E1069" s="52" t="s">
        <v>174</v>
      </c>
      <c r="F1069" s="52" t="s">
        <v>161</v>
      </c>
      <c r="G1069" s="52" t="s">
        <v>175</v>
      </c>
      <c r="H1069" s="53">
        <v>37.192971097964623</v>
      </c>
      <c r="I1069" s="53">
        <v>37.458189729929856</v>
      </c>
      <c r="J1069" s="54">
        <v>74.651160827894472</v>
      </c>
      <c r="K1069" s="53">
        <v>3.9130219011984568</v>
      </c>
      <c r="L1069" s="53">
        <v>9.3257613643403516</v>
      </c>
      <c r="M1069" s="54">
        <v>13.238783265538808</v>
      </c>
      <c r="N1069" s="53">
        <v>6.399321566743966</v>
      </c>
      <c r="O1069" s="53">
        <v>43.517391250960998</v>
      </c>
      <c r="P1069" s="53">
        <v>9.6456208259214087</v>
      </c>
      <c r="Q1069" s="53">
        <v>9.4376389003194614</v>
      </c>
      <c r="R1069" s="53">
        <v>14.170422964294456</v>
      </c>
      <c r="S1069" s="53">
        <v>24.854155427001274</v>
      </c>
      <c r="T1069" s="53">
        <v>57.224953378296405</v>
      </c>
      <c r="U1069" s="53">
        <v>11.304449591058111</v>
      </c>
      <c r="V1069" s="54">
        <v>176.55395390459606</v>
      </c>
      <c r="W1069" s="54">
        <v>298.33306607840069</v>
      </c>
      <c r="X1069" s="53">
        <v>33.047881523346511</v>
      </c>
      <c r="Y1069" s="55">
        <v>331.21883471866363</v>
      </c>
      <c r="Z1069" s="17" t="str">
        <f>SUBSTITUTE(SUBSTITUTE(SUBSTITUTE(SUBSTITUTE(IF(E1069="","",VLOOKUP(E1069,[1]Esquemas_NORM!$A$2:$H$126,8,FALSE)),"PROVINCIA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069" s="17" t="str">
        <f>IF($E1069="","",INDEX([1]Esquemas_NORM!$H$2:$K$126,MATCH($E1069,[1]Esquemas_NORM!$A$2:$A$126,0),MATCH(AA$4,[1]Esquemas_NORM!$H$1:$K$1,0)))</f>
        <v>Región de Planeación y Gestión de Occidente</v>
      </c>
      <c r="AB1069" s="17" t="str">
        <f>IF($E1069="","",INDEX([1]Esquemas_NORM!$H$2:$K$126,MATCH($E1069,[1]Esquemas_NORM!$A$2:$A$126,0),MATCH(AB$4,[1]Esquemas_NORM!$H$1:$K$1,0)))</f>
        <v>A la fecha no ha conformado un EAT Área Metropolitana</v>
      </c>
      <c r="AC1069" s="17" t="str">
        <f>IF($E1069="","",INDEX([1]Esquemas_NORM!$H$2:$K$126,MATCH($E1069,[1]Esquemas_NORM!$A$2:$A$126,0),MATCH(AC$4,[1]Esquemas_NORM!$H$1:$K$1,0)))</f>
        <v>ASOCIACION DE MUNICIPIOS DEL OCCIDENTE ANTIOQUEÑO - AMOCCIDENTE</v>
      </c>
      <c r="AD1069" s="23"/>
    </row>
    <row r="1070" spans="1:30" x14ac:dyDescent="0.25">
      <c r="A1070" s="51">
        <v>2023</v>
      </c>
      <c r="B1070" s="52" t="s">
        <v>36</v>
      </c>
      <c r="C1070" s="52" t="s">
        <v>158</v>
      </c>
      <c r="D1070" s="52" t="s">
        <v>163</v>
      </c>
      <c r="E1070" s="52" t="s">
        <v>176</v>
      </c>
      <c r="F1070" s="52" t="s">
        <v>161</v>
      </c>
      <c r="G1070" s="52" t="s">
        <v>177</v>
      </c>
      <c r="H1070" s="53">
        <v>100.70664588715174</v>
      </c>
      <c r="I1070" s="53">
        <v>1.6896295888397091E-2</v>
      </c>
      <c r="J1070" s="54">
        <v>100.72354218304014</v>
      </c>
      <c r="K1070" s="53">
        <v>6.7671574324715191</v>
      </c>
      <c r="L1070" s="53">
        <v>5.9852081040699492</v>
      </c>
      <c r="M1070" s="54">
        <v>12.752365536541468</v>
      </c>
      <c r="N1070" s="53">
        <v>2.3794688762734486</v>
      </c>
      <c r="O1070" s="53">
        <v>17.831158435762923</v>
      </c>
      <c r="P1070" s="53">
        <v>4.5970147688840894</v>
      </c>
      <c r="Q1070" s="53">
        <v>3.6905265622218146</v>
      </c>
      <c r="R1070" s="53">
        <v>15.505010569864156</v>
      </c>
      <c r="S1070" s="53">
        <v>14.730170274246811</v>
      </c>
      <c r="T1070" s="53">
        <v>26.460220496080336</v>
      </c>
      <c r="U1070" s="53">
        <v>8.3833234169376087</v>
      </c>
      <c r="V1070" s="54">
        <v>93.576893400271189</v>
      </c>
      <c r="W1070" s="54">
        <v>253.47131825804618</v>
      </c>
      <c r="X1070" s="53">
        <v>28.078315975777279</v>
      </c>
      <c r="Y1070" s="55">
        <v>281.41189902826017</v>
      </c>
      <c r="Z1070" s="17" t="str">
        <f>SUBSTITUTE(SUBSTITUTE(SUBSTITUTE(SUBSTITUTE(IF(E1070="","",VLOOKUP(E1070,[1]Esquemas_NORM!$A$2:$H$126,8,FALSE)),"PROVINCIA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070" s="17" t="str">
        <f>IF($E1070="","",INDEX([1]Esquemas_NORM!$H$2:$K$126,MATCH($E1070,[1]Esquemas_NORM!$A$2:$A$126,0),MATCH(AA$4,[1]Esquemas_NORM!$H$1:$K$1,0)))</f>
        <v>A la fecha no ha conformado un EAT Región</v>
      </c>
      <c r="AB1070" s="17" t="str">
        <f>IF($E1070="","",INDEX([1]Esquemas_NORM!$H$2:$K$126,MATCH($E1070,[1]Esquemas_NORM!$A$2:$A$126,0),MATCH(AB$4,[1]Esquemas_NORM!$H$1:$K$1,0)))</f>
        <v>A la fecha no ha conformado un EAT Área Metropolitana</v>
      </c>
      <c r="AC1070" s="17" t="str">
        <f>IF($E1070="","",INDEX([1]Esquemas_NORM!$H$2:$K$126,MATCH($E1070,[1]Esquemas_NORM!$A$2:$A$126,0),MATCH(AC$4,[1]Esquemas_NORM!$H$1:$K$1,0)))</f>
        <v>ASOCIACION DE MUNICIPIOS DEL OCCIDENTE ANTIOQUEÑO - AMOCCIDENTE</v>
      </c>
      <c r="AD1070" s="23"/>
    </row>
    <row r="1071" spans="1:30" x14ac:dyDescent="0.25">
      <c r="A1071" s="51">
        <v>2023</v>
      </c>
      <c r="B1071" s="52" t="s">
        <v>36</v>
      </c>
      <c r="C1071" s="52" t="s">
        <v>158</v>
      </c>
      <c r="D1071" s="52" t="s">
        <v>159</v>
      </c>
      <c r="E1071" s="52" t="s">
        <v>178</v>
      </c>
      <c r="F1071" s="52" t="s">
        <v>161</v>
      </c>
      <c r="G1071" s="52" t="s">
        <v>179</v>
      </c>
      <c r="H1071" s="53">
        <v>31.387381227882678</v>
      </c>
      <c r="I1071" s="53">
        <v>2.0127228617520563E-2</v>
      </c>
      <c r="J1071" s="54">
        <v>31.407508456500199</v>
      </c>
      <c r="K1071" s="53">
        <v>2.4955186856487201</v>
      </c>
      <c r="L1071" s="53">
        <v>8.0446195906444817</v>
      </c>
      <c r="M1071" s="54">
        <v>10.540138276293202</v>
      </c>
      <c r="N1071" s="53">
        <v>14.743495031024363</v>
      </c>
      <c r="O1071" s="53">
        <v>27.689696414320565</v>
      </c>
      <c r="P1071" s="53">
        <v>9.3296988085045971</v>
      </c>
      <c r="Q1071" s="53">
        <v>9.1239856227174254</v>
      </c>
      <c r="R1071" s="53">
        <v>15.801889404463047</v>
      </c>
      <c r="S1071" s="53">
        <v>19.665829341776448</v>
      </c>
      <c r="T1071" s="53">
        <v>42.991244879242167</v>
      </c>
      <c r="U1071" s="53">
        <v>10.351842411252177</v>
      </c>
      <c r="V1071" s="54">
        <v>149.69768191330078</v>
      </c>
      <c r="W1071" s="54">
        <v>203.51430102308413</v>
      </c>
      <c r="X1071" s="53">
        <v>22.544321341691987</v>
      </c>
      <c r="Y1071" s="55">
        <v>225.94803358384863</v>
      </c>
      <c r="Z1071" s="17" t="str">
        <f>SUBSTITUTE(SUBSTITUTE(SUBSTITUTE(SUBSTITUTE(IF(E1071="","",VLOOKUP(E1071,[1]Esquemas_NORM!$A$2:$H$126,8,FALSE)),"PROVINCIA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071" s="17" t="str">
        <f>IF($E1071="","",INDEX([1]Esquemas_NORM!$H$2:$K$126,MATCH($E1071,[1]Esquemas_NORM!$A$2:$A$126,0),MATCH(AA$4,[1]Esquemas_NORM!$H$1:$K$1,0)))</f>
        <v>Región de Planeación y Gestión de Occidente</v>
      </c>
      <c r="AB1071" s="17" t="str">
        <f>IF($E1071="","",INDEX([1]Esquemas_NORM!$H$2:$K$126,MATCH($E1071,[1]Esquemas_NORM!$A$2:$A$126,0),MATCH(AB$4,[1]Esquemas_NORM!$H$1:$K$1,0)))</f>
        <v>A la fecha no ha conformado un EAT Área Metropolitana</v>
      </c>
      <c r="AC1071" s="17" t="str">
        <f>IF($E1071="","",INDEX([1]Esquemas_NORM!$H$2:$K$126,MATCH($E1071,[1]Esquemas_NORM!$A$2:$A$126,0),MATCH(AC$4,[1]Esquemas_NORM!$H$1:$K$1,0)))</f>
        <v>ASOCIACION DE MUNICIPIOS DEL OCCIDENTE ANTIOQUEÑO - AMOCCIDENTE</v>
      </c>
      <c r="AD1071" s="23"/>
    </row>
    <row r="1072" spans="1:30" x14ac:dyDescent="0.25">
      <c r="A1072" s="51">
        <v>2023</v>
      </c>
      <c r="B1072" s="52" t="s">
        <v>36</v>
      </c>
      <c r="C1072" s="52" t="s">
        <v>158</v>
      </c>
      <c r="D1072" s="52" t="s">
        <v>163</v>
      </c>
      <c r="E1072" s="52" t="s">
        <v>180</v>
      </c>
      <c r="F1072" s="52" t="s">
        <v>161</v>
      </c>
      <c r="G1072" s="52" t="s">
        <v>181</v>
      </c>
      <c r="H1072" s="53">
        <v>4.2158050236104589</v>
      </c>
      <c r="I1072" s="53">
        <v>0</v>
      </c>
      <c r="J1072" s="54">
        <v>4.2158050236104589</v>
      </c>
      <c r="K1072" s="53">
        <v>2.0476089408267346</v>
      </c>
      <c r="L1072" s="53">
        <v>0.22376862789916765</v>
      </c>
      <c r="M1072" s="54">
        <v>2.2713775687259021</v>
      </c>
      <c r="N1072" s="53">
        <v>2.2786245623226375</v>
      </c>
      <c r="O1072" s="53">
        <v>10.232457467664444</v>
      </c>
      <c r="P1072" s="53">
        <v>1.9743830177715647</v>
      </c>
      <c r="Q1072" s="53">
        <v>1.5410248603430632</v>
      </c>
      <c r="R1072" s="53">
        <v>5.452975963577174</v>
      </c>
      <c r="S1072" s="53">
        <v>6.3596625980364019</v>
      </c>
      <c r="T1072" s="53">
        <v>11.194522523951344</v>
      </c>
      <c r="U1072" s="53">
        <v>3.2319297676277028</v>
      </c>
      <c r="V1072" s="54">
        <v>42.265580761294331</v>
      </c>
      <c r="W1072" s="54">
        <v>49.553621874925469</v>
      </c>
      <c r="X1072" s="53">
        <v>5.4893084642059931</v>
      </c>
      <c r="Y1072" s="55">
        <v>55.016003117770907</v>
      </c>
      <c r="Z1072" s="17" t="str">
        <f>SUBSTITUTE(SUBSTITUTE(SUBSTITUTE(SUBSTITUTE(IF(E1072="","",VLOOKUP(E1072,[1]Esquemas_NORM!$A$2:$H$126,8,FALSE)),"PROVINCIA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072" s="17" t="str">
        <f>IF($E1072="","",INDEX([1]Esquemas_NORM!$H$2:$K$126,MATCH($E1072,[1]Esquemas_NORM!$A$2:$A$126,0),MATCH(AA$4,[1]Esquemas_NORM!$H$1:$K$1,0)))</f>
        <v>A la fecha no ha conformado un EAT Región</v>
      </c>
      <c r="AB1072" s="17" t="str">
        <f>IF($E1072="","",INDEX([1]Esquemas_NORM!$H$2:$K$126,MATCH($E1072,[1]Esquemas_NORM!$A$2:$A$126,0),MATCH(AB$4,[1]Esquemas_NORM!$H$1:$K$1,0)))</f>
        <v>A la fecha no ha conformado un EAT Área Metropolitana</v>
      </c>
      <c r="AC1072" s="17" t="str">
        <f>IF($E1072="","",INDEX([1]Esquemas_NORM!$H$2:$K$126,MATCH($E1072,[1]Esquemas_NORM!$A$2:$A$126,0),MATCH(AC$4,[1]Esquemas_NORM!$H$1:$K$1,0)))</f>
        <v>ASOCIACION DE MUNICIPIOS DEL OCCIDENTE ANTIOQUEÑO - AMOCCIDENTE</v>
      </c>
      <c r="AD1072" s="23"/>
    </row>
    <row r="1073" spans="1:32" x14ac:dyDescent="0.25">
      <c r="A1073" s="51">
        <v>2023</v>
      </c>
      <c r="B1073" s="52" t="s">
        <v>36</v>
      </c>
      <c r="C1073" s="52" t="s">
        <v>158</v>
      </c>
      <c r="D1073" s="52" t="s">
        <v>163</v>
      </c>
      <c r="E1073" s="52" t="s">
        <v>182</v>
      </c>
      <c r="F1073" s="52" t="s">
        <v>161</v>
      </c>
      <c r="G1073" s="52" t="s">
        <v>183</v>
      </c>
      <c r="H1073" s="53">
        <v>10.569508867116808</v>
      </c>
      <c r="I1073" s="53">
        <v>0.43692354210646833</v>
      </c>
      <c r="J1073" s="54">
        <v>11.006432409223276</v>
      </c>
      <c r="K1073" s="53">
        <v>1.2540074188437578</v>
      </c>
      <c r="L1073" s="53">
        <v>1.9273593376926974</v>
      </c>
      <c r="M1073" s="54">
        <v>3.1813667565364554</v>
      </c>
      <c r="N1073" s="53">
        <v>1.4475680124168091</v>
      </c>
      <c r="O1073" s="53">
        <v>8.3544844534943774</v>
      </c>
      <c r="P1073" s="53">
        <v>2.0927530525951452</v>
      </c>
      <c r="Q1073" s="53">
        <v>1.665934614490429</v>
      </c>
      <c r="R1073" s="53">
        <v>6.3452593282494414</v>
      </c>
      <c r="S1073" s="53">
        <v>5.6658310958482767</v>
      </c>
      <c r="T1073" s="53">
        <v>11.843057637260808</v>
      </c>
      <c r="U1073" s="53">
        <v>2.9780302642226366</v>
      </c>
      <c r="V1073" s="54">
        <v>40.392918458577924</v>
      </c>
      <c r="W1073" s="54">
        <v>58.203551584230212</v>
      </c>
      <c r="X1073" s="53">
        <v>6.4475054752733101</v>
      </c>
      <c r="Y1073" s="55">
        <v>64.619429504176949</v>
      </c>
      <c r="Z1073" s="17" t="str">
        <f>SUBSTITUTE(SUBSTITUTE(SUBSTITUTE(SUBSTITUTE(IF(E1073="","",VLOOKUP(E1073,[1]Esquemas_NORM!$A$2:$H$126,8,FALSE)),"PROVINCIA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073" s="17" t="str">
        <f>IF($E1073="","",INDEX([1]Esquemas_NORM!$H$2:$K$126,MATCH($E1073,[1]Esquemas_NORM!$A$2:$A$126,0),MATCH(AA$4,[1]Esquemas_NORM!$H$1:$K$1,0)))</f>
        <v>Región de Planeación y Gestión de Occidente</v>
      </c>
      <c r="AB1073" s="17" t="str">
        <f>IF($E1073="","",INDEX([1]Esquemas_NORM!$H$2:$K$126,MATCH($E1073,[1]Esquemas_NORM!$A$2:$A$126,0),MATCH(AB$4,[1]Esquemas_NORM!$H$1:$K$1,0)))</f>
        <v>A la fecha no ha conformado un EAT Área Metropolitana</v>
      </c>
      <c r="AC1073" s="17" t="str">
        <f>IF($E1073="","",INDEX([1]Esquemas_NORM!$H$2:$K$126,MATCH($E1073,[1]Esquemas_NORM!$A$2:$A$126,0),MATCH(AC$4,[1]Esquemas_NORM!$H$1:$K$1,0)))</f>
        <v>ASOCIACION DE MUNICIPIOS DEL OCCIDENTE ANTIOQUEÑO - AMOCCIDENTE</v>
      </c>
      <c r="AD1073" s="23"/>
    </row>
    <row r="1074" spans="1:32" x14ac:dyDescent="0.25">
      <c r="A1074" s="51">
        <v>2023</v>
      </c>
      <c r="B1074" s="52" t="s">
        <v>36</v>
      </c>
      <c r="C1074" s="52" t="s">
        <v>158</v>
      </c>
      <c r="D1074" s="52" t="s">
        <v>163</v>
      </c>
      <c r="E1074" s="52" t="s">
        <v>184</v>
      </c>
      <c r="F1074" s="52" t="s">
        <v>161</v>
      </c>
      <c r="G1074" s="52" t="s">
        <v>185</v>
      </c>
      <c r="H1074" s="53">
        <v>20.353501635563685</v>
      </c>
      <c r="I1074" s="53">
        <v>0</v>
      </c>
      <c r="J1074" s="54">
        <v>20.353501635563685</v>
      </c>
      <c r="K1074" s="53">
        <v>1.2462180374338263</v>
      </c>
      <c r="L1074" s="53">
        <v>4.5931718932120216</v>
      </c>
      <c r="M1074" s="54">
        <v>5.8393899306458481</v>
      </c>
      <c r="N1074" s="53">
        <v>4.0706148519046099</v>
      </c>
      <c r="O1074" s="53">
        <v>16.921939101704606</v>
      </c>
      <c r="P1074" s="53">
        <v>3.401018444835898</v>
      </c>
      <c r="Q1074" s="53">
        <v>3.4095830298925551</v>
      </c>
      <c r="R1074" s="53">
        <v>9.2797671192598443</v>
      </c>
      <c r="S1074" s="53">
        <v>9.736591537600944</v>
      </c>
      <c r="T1074" s="53">
        <v>19.72227223496494</v>
      </c>
      <c r="U1074" s="53">
        <v>7.4348776042962825</v>
      </c>
      <c r="V1074" s="54">
        <v>73.976663924459672</v>
      </c>
      <c r="W1074" s="54">
        <v>107.92909163935776</v>
      </c>
      <c r="X1074" s="53">
        <v>11.955858196712523</v>
      </c>
      <c r="Y1074" s="55">
        <v>119.82630163979594</v>
      </c>
      <c r="Z1074" s="17" t="str">
        <f>SUBSTITUTE(SUBSTITUTE(SUBSTITUTE(SUBSTITUTE(IF(E1074="","",VLOOKUP(E1074,[1]Esquemas_NORM!$A$2:$H$126,8,FALSE)),"PROVINCIA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74" s="17" t="str">
        <f>IF($E1074="","",INDEX([1]Esquemas_NORM!$H$2:$K$126,MATCH($E1074,[1]Esquemas_NORM!$A$2:$A$126,0),MATCH(AA$4,[1]Esquemas_NORM!$H$1:$K$1,0)))</f>
        <v>Región de Planeación y Gestión de Occidente</v>
      </c>
      <c r="AB1074" s="17" t="str">
        <f>IF($E1074="","",INDEX([1]Esquemas_NORM!$H$2:$K$126,MATCH($E1074,[1]Esquemas_NORM!$A$2:$A$126,0),MATCH(AB$4,[1]Esquemas_NORM!$H$1:$K$1,0)))</f>
        <v>A la fecha no ha conformado un EAT Área Metropolitana</v>
      </c>
      <c r="AC1074" s="17" t="str">
        <f>IF($E1074="","",INDEX([1]Esquemas_NORM!$H$2:$K$126,MATCH($E1074,[1]Esquemas_NORM!$A$2:$A$126,0),MATCH(AC$4,[1]Esquemas_NORM!$H$1:$K$1,0)))</f>
        <v>ASOCIACION DE MUNICIPIOS DEL OCCIDENTE ANTIOQUEÑO - AMOCCIDENTE</v>
      </c>
      <c r="AD1074" s="23"/>
    </row>
    <row r="1075" spans="1:32" x14ac:dyDescent="0.25">
      <c r="A1075" s="51">
        <v>2023</v>
      </c>
      <c r="B1075" s="52" t="s">
        <v>36</v>
      </c>
      <c r="C1075" s="52" t="s">
        <v>158</v>
      </c>
      <c r="D1075" s="52" t="s">
        <v>163</v>
      </c>
      <c r="E1075" s="52" t="s">
        <v>186</v>
      </c>
      <c r="F1075" s="52" t="s">
        <v>161</v>
      </c>
      <c r="G1075" s="52" t="s">
        <v>187</v>
      </c>
      <c r="H1075" s="53">
        <v>8.0451795694308323</v>
      </c>
      <c r="I1075" s="53">
        <v>0</v>
      </c>
      <c r="J1075" s="54">
        <v>8.0451795694308323</v>
      </c>
      <c r="K1075" s="53">
        <v>0.30388674496301071</v>
      </c>
      <c r="L1075" s="53">
        <v>1.8809750710136017</v>
      </c>
      <c r="M1075" s="54">
        <v>2.1848618159766122</v>
      </c>
      <c r="N1075" s="53">
        <v>1.3940802500710148</v>
      </c>
      <c r="O1075" s="53">
        <v>7.3189990317144566</v>
      </c>
      <c r="P1075" s="53">
        <v>1.4303900293335843</v>
      </c>
      <c r="Q1075" s="53">
        <v>0.85203904400425146</v>
      </c>
      <c r="R1075" s="53">
        <v>4.3238179461918866</v>
      </c>
      <c r="S1075" s="53">
        <v>3.8142253055151749</v>
      </c>
      <c r="T1075" s="53">
        <v>6.7988861133597833</v>
      </c>
      <c r="U1075" s="53">
        <v>2.3042353663170858</v>
      </c>
      <c r="V1075" s="54">
        <v>28.236673086507238</v>
      </c>
      <c r="W1075" s="54">
        <v>41.657498477079656</v>
      </c>
      <c r="X1075" s="53">
        <v>4.6146144385798156</v>
      </c>
      <c r="Y1075" s="55">
        <v>46.249476413212584</v>
      </c>
      <c r="Z1075" s="17" t="str">
        <f>SUBSTITUTE(SUBSTITUTE(SUBSTITUTE(SUBSTITUTE(IF(E1075="","",VLOOKUP(E1075,[1]Esquemas_NORM!$A$2:$H$126,8,FALSE)),"PROVINCIA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075" s="17" t="str">
        <f>IF($E1075="","",INDEX([1]Esquemas_NORM!$H$2:$K$126,MATCH($E1075,[1]Esquemas_NORM!$A$2:$A$126,0),MATCH(AA$4,[1]Esquemas_NORM!$H$1:$K$1,0)))</f>
        <v>Región de Planeación y Gestión de Occidente</v>
      </c>
      <c r="AB1075" s="17" t="str">
        <f>IF($E1075="","",INDEX([1]Esquemas_NORM!$H$2:$K$126,MATCH($E1075,[1]Esquemas_NORM!$A$2:$A$126,0),MATCH(AB$4,[1]Esquemas_NORM!$H$1:$K$1,0)))</f>
        <v>A la fecha no ha conformado un EAT Área Metropolitana</v>
      </c>
      <c r="AC1075" s="17" t="str">
        <f>IF($E1075="","",INDEX([1]Esquemas_NORM!$H$2:$K$126,MATCH($E1075,[1]Esquemas_NORM!$A$2:$A$126,0),MATCH(AC$4,[1]Esquemas_NORM!$H$1:$K$1,0)))</f>
        <v>ASOCIACION DE MUNICIPIOS DEL OCCIDENTE ANTIOQUEÑO - AMOCCIDENTE</v>
      </c>
      <c r="AD1075" s="23"/>
    </row>
    <row r="1076" spans="1:32" x14ac:dyDescent="0.25">
      <c r="A1076" s="51">
        <v>2023</v>
      </c>
      <c r="B1076" s="52" t="s">
        <v>36</v>
      </c>
      <c r="C1076" s="52" t="s">
        <v>158</v>
      </c>
      <c r="D1076" s="52" t="s">
        <v>159</v>
      </c>
      <c r="E1076" s="52" t="s">
        <v>188</v>
      </c>
      <c r="F1076" s="52" t="s">
        <v>161</v>
      </c>
      <c r="G1076" s="52" t="s">
        <v>189</v>
      </c>
      <c r="H1076" s="53">
        <v>8.3752153925489203</v>
      </c>
      <c r="I1076" s="53">
        <v>0</v>
      </c>
      <c r="J1076" s="54">
        <v>8.3752153925489203</v>
      </c>
      <c r="K1076" s="53">
        <v>1.7027642163333738</v>
      </c>
      <c r="L1076" s="53">
        <v>2.1143151738424115</v>
      </c>
      <c r="M1076" s="54">
        <v>3.8170793901757856</v>
      </c>
      <c r="N1076" s="53">
        <v>1.0823915738785792</v>
      </c>
      <c r="O1076" s="53">
        <v>9.1428959996535557</v>
      </c>
      <c r="P1076" s="53">
        <v>3.5689160367777775</v>
      </c>
      <c r="Q1076" s="53">
        <v>3.3587491267781395</v>
      </c>
      <c r="R1076" s="53">
        <v>7.0995476480007644</v>
      </c>
      <c r="S1076" s="53">
        <v>7.0108279631528116</v>
      </c>
      <c r="T1076" s="53">
        <v>20.179815046806628</v>
      </c>
      <c r="U1076" s="53">
        <v>4.4015414825927506</v>
      </c>
      <c r="V1076" s="54">
        <v>55.844684877641001</v>
      </c>
      <c r="W1076" s="54">
        <v>68.554668350646878</v>
      </c>
      <c r="X1076" s="53">
        <v>7.5941516886069511</v>
      </c>
      <c r="Y1076" s="55">
        <v>76.111567732356093</v>
      </c>
      <c r="Z1076" s="17" t="str">
        <f>SUBSTITUTE(SUBSTITUTE(SUBSTITUTE(SUBSTITUTE(IF(E1076="","",VLOOKUP(E1076,[1]Esquemas_NORM!$A$2:$H$126,8,FALSE)),"PROVINCIA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076" s="17" t="str">
        <f>IF($E1076="","",INDEX([1]Esquemas_NORM!$H$2:$K$126,MATCH($E1076,[1]Esquemas_NORM!$A$2:$A$126,0),MATCH(AA$4,[1]Esquemas_NORM!$H$1:$K$1,0)))</f>
        <v>Región de Planeación y Gestión de Occidente</v>
      </c>
      <c r="AB1076" s="17" t="str">
        <f>IF($E1076="","",INDEX([1]Esquemas_NORM!$H$2:$K$126,MATCH($E1076,[1]Esquemas_NORM!$A$2:$A$126,0),MATCH(AB$4,[1]Esquemas_NORM!$H$1:$K$1,0)))</f>
        <v>A la fecha no ha conformado un EAT Área Metropolitana</v>
      </c>
      <c r="AC1076" s="17" t="str">
        <f>IF($E1076="","",INDEX([1]Esquemas_NORM!$H$2:$K$126,MATCH($E1076,[1]Esquemas_NORM!$A$2:$A$126,0),MATCH(AC$4,[1]Esquemas_NORM!$H$1:$K$1,0)))</f>
        <v>ASOCIACION DE MUNICIPIOS DEL OCCIDENTE ANTIOQUEÑO - AMOCCIDENTE</v>
      </c>
      <c r="AD1076" s="23"/>
    </row>
    <row r="1077" spans="1:32" x14ac:dyDescent="0.25">
      <c r="A1077" s="51">
        <v>2023</v>
      </c>
      <c r="B1077" s="52" t="s">
        <v>36</v>
      </c>
      <c r="C1077" s="52" t="s">
        <v>158</v>
      </c>
      <c r="D1077" s="52" t="s">
        <v>163</v>
      </c>
      <c r="E1077" s="52" t="s">
        <v>190</v>
      </c>
      <c r="F1077" s="52" t="s">
        <v>161</v>
      </c>
      <c r="G1077" s="52" t="s">
        <v>191</v>
      </c>
      <c r="H1077" s="53">
        <v>10.354171444351824</v>
      </c>
      <c r="I1077" s="53">
        <v>0</v>
      </c>
      <c r="J1077" s="54">
        <v>10.354171444351824</v>
      </c>
      <c r="K1077" s="53">
        <v>1.0508583012970145</v>
      </c>
      <c r="L1077" s="53">
        <v>3.3656362737308179</v>
      </c>
      <c r="M1077" s="54">
        <v>4.4164945750278326</v>
      </c>
      <c r="N1077" s="53">
        <v>1.412681750707764</v>
      </c>
      <c r="O1077" s="53">
        <v>9.3231682688662438</v>
      </c>
      <c r="P1077" s="53">
        <v>3.5349927635271623</v>
      </c>
      <c r="Q1077" s="53">
        <v>3.5330319622060382</v>
      </c>
      <c r="R1077" s="53">
        <v>10.645628673305602</v>
      </c>
      <c r="S1077" s="53">
        <v>8.5275446275235911</v>
      </c>
      <c r="T1077" s="53">
        <v>23.521373989858191</v>
      </c>
      <c r="U1077" s="53">
        <v>4.021923423161379</v>
      </c>
      <c r="V1077" s="54">
        <v>64.520345459155976</v>
      </c>
      <c r="W1077" s="54">
        <v>80.036207810252421</v>
      </c>
      <c r="X1077" s="53">
        <v>8.8660206126734433</v>
      </c>
      <c r="Y1077" s="55">
        <v>88.858737097710474</v>
      </c>
      <c r="Z1077" s="17" t="str">
        <f>SUBSTITUTE(SUBSTITUTE(SUBSTITUTE(SUBSTITUTE(IF(E1077="","",VLOOKUP(E1077,[1]Esquemas_NORM!$A$2:$H$126,8,FALSE)),"PROVINCIA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077" s="17" t="str">
        <f>IF($E1077="","",INDEX([1]Esquemas_NORM!$H$2:$K$126,MATCH($E1077,[1]Esquemas_NORM!$A$2:$A$126,0),MATCH(AA$4,[1]Esquemas_NORM!$H$1:$K$1,0)))</f>
        <v>A la fecha no ha conformado un EAT Región</v>
      </c>
      <c r="AB1077" s="17" t="str">
        <f>IF($E1077="","",INDEX([1]Esquemas_NORM!$H$2:$K$126,MATCH($E1077,[1]Esquemas_NORM!$A$2:$A$126,0),MATCH(AB$4,[1]Esquemas_NORM!$H$1:$K$1,0)))</f>
        <v>A la fecha no ha conformado un EAT Área Metropolitana</v>
      </c>
      <c r="AC1077" s="17" t="str">
        <f>IF($E1077="","",INDEX([1]Esquemas_NORM!$H$2:$K$126,MATCH($E1077,[1]Esquemas_NORM!$A$2:$A$126,0),MATCH(AC$4,[1]Esquemas_NORM!$H$1:$K$1,0)))</f>
        <v>ASOCIACION DE MUNICIPIOS DEL OCCIDENTE ANTIOQUEÑO - AMOCCIDENTE</v>
      </c>
      <c r="AD1077" s="23"/>
    </row>
    <row r="1078" spans="1:32" x14ac:dyDescent="0.25">
      <c r="A1078" s="51">
        <v>2023</v>
      </c>
      <c r="B1078" s="52" t="s">
        <v>36</v>
      </c>
      <c r="C1078" s="52" t="s">
        <v>158</v>
      </c>
      <c r="D1078" s="52" t="s">
        <v>163</v>
      </c>
      <c r="E1078" s="52" t="s">
        <v>192</v>
      </c>
      <c r="F1078" s="52" t="s">
        <v>161</v>
      </c>
      <c r="G1078" s="52" t="s">
        <v>193</v>
      </c>
      <c r="H1078" s="53">
        <v>16.032477521173796</v>
      </c>
      <c r="I1078" s="53">
        <v>0</v>
      </c>
      <c r="J1078" s="54">
        <v>16.032477521173796</v>
      </c>
      <c r="K1078" s="53">
        <v>2.2181050411096033</v>
      </c>
      <c r="L1078" s="53">
        <v>9.06056815265935</v>
      </c>
      <c r="M1078" s="54">
        <v>11.278673193768952</v>
      </c>
      <c r="N1078" s="53">
        <v>11.173599519066716</v>
      </c>
      <c r="O1078" s="53">
        <v>57.54299157286151</v>
      </c>
      <c r="P1078" s="53">
        <v>7.157338492387475</v>
      </c>
      <c r="Q1078" s="53">
        <v>5.3506529701271495</v>
      </c>
      <c r="R1078" s="53">
        <v>32.749031632067393</v>
      </c>
      <c r="S1078" s="53">
        <v>24.325409665260324</v>
      </c>
      <c r="T1078" s="53">
        <v>29.73939895201493</v>
      </c>
      <c r="U1078" s="53">
        <v>15.603373811153098</v>
      </c>
      <c r="V1078" s="54">
        <v>183.64179661493861</v>
      </c>
      <c r="W1078" s="54">
        <v>215.57206179337402</v>
      </c>
      <c r="X1078" s="53">
        <v>23.880021251226676</v>
      </c>
      <c r="Y1078" s="55">
        <v>239.33494212921613</v>
      </c>
      <c r="Z1078" s="17" t="str">
        <f>SUBSTITUTE(SUBSTITUTE(SUBSTITUTE(SUBSTITUTE(IF(E1078="","",VLOOKUP(E1078,[1]Esquemas_NORM!$A$2:$H$126,8,FALSE)),"PROVINCIA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078" s="17" t="str">
        <f>IF($E1078="","",INDEX([1]Esquemas_NORM!$H$2:$K$126,MATCH($E1078,[1]Esquemas_NORM!$A$2:$A$126,0),MATCH(AA$4,[1]Esquemas_NORM!$H$1:$K$1,0)))</f>
        <v>Región de Planeación y Gestión de Occidente</v>
      </c>
      <c r="AB1078" s="17" t="str">
        <f>IF($E1078="","",INDEX([1]Esquemas_NORM!$H$2:$K$126,MATCH($E1078,[1]Esquemas_NORM!$A$2:$A$126,0),MATCH(AB$4,[1]Esquemas_NORM!$H$1:$K$1,0)))</f>
        <v>A la fecha no ha conformado un EAT Área Metropolitana</v>
      </c>
      <c r="AC1078" s="17" t="str">
        <f>IF($E1078="","",INDEX([1]Esquemas_NORM!$H$2:$K$126,MATCH($E1078,[1]Esquemas_NORM!$A$2:$A$126,0),MATCH(AC$4,[1]Esquemas_NORM!$H$1:$K$1,0)))</f>
        <v>ASOCIACION DE MUNICIPIOS DEL OCCIDENTE ANTIOQUEÑO - AMOCCIDENTE</v>
      </c>
      <c r="AD1078" s="23"/>
    </row>
    <row r="1079" spans="1:32" x14ac:dyDescent="0.25">
      <c r="A1079" s="51">
        <v>2023</v>
      </c>
      <c r="B1079" s="52" t="s">
        <v>36</v>
      </c>
      <c r="C1079" s="52" t="s">
        <v>158</v>
      </c>
      <c r="D1079" s="52" t="s">
        <v>163</v>
      </c>
      <c r="E1079" s="52" t="s">
        <v>194</v>
      </c>
      <c r="F1079" s="52" t="s">
        <v>161</v>
      </c>
      <c r="G1079" s="52" t="s">
        <v>195</v>
      </c>
      <c r="H1079" s="53">
        <v>17.412907786196033</v>
      </c>
      <c r="I1079" s="53">
        <v>7.3282279835589499</v>
      </c>
      <c r="J1079" s="54">
        <v>24.741135769754983</v>
      </c>
      <c r="K1079" s="53">
        <v>6.2794362319296111</v>
      </c>
      <c r="L1079" s="53">
        <v>7.7318728846488343</v>
      </c>
      <c r="M1079" s="54">
        <v>14.011309116578445</v>
      </c>
      <c r="N1079" s="53">
        <v>14.838663975991224</v>
      </c>
      <c r="O1079" s="53">
        <v>76.856334026344229</v>
      </c>
      <c r="P1079" s="53">
        <v>9.4891861859264619</v>
      </c>
      <c r="Q1079" s="53">
        <v>9.5062859585202144</v>
      </c>
      <c r="R1079" s="53">
        <v>31.253496270284206</v>
      </c>
      <c r="S1079" s="53">
        <v>34.203505004050264</v>
      </c>
      <c r="T1079" s="53">
        <v>77.520565293721518</v>
      </c>
      <c r="U1079" s="53">
        <v>13.150809705015444</v>
      </c>
      <c r="V1079" s="54">
        <v>266.81884641985357</v>
      </c>
      <c r="W1079" s="54">
        <v>313.63528887766836</v>
      </c>
      <c r="X1079" s="53">
        <v>34.742987107069425</v>
      </c>
      <c r="Y1079" s="55">
        <v>348.20784794072188</v>
      </c>
      <c r="Z1079" s="17" t="str">
        <f>SUBSTITUTE(SUBSTITUTE(SUBSTITUTE(SUBSTITUTE(IF(E1079="","",VLOOKUP(E1079,[1]Esquemas_NORM!$A$2:$H$126,8,FALSE)),"PROVINCIA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079" s="17" t="str">
        <f>IF($E1079="","",INDEX([1]Esquemas_NORM!$H$2:$K$126,MATCH($E1079,[1]Esquemas_NORM!$A$2:$A$126,0),MATCH(AA$4,[1]Esquemas_NORM!$H$1:$K$1,0)))</f>
        <v>A la fecha no ha conformado un EAT Región</v>
      </c>
      <c r="AB1079" s="17" t="str">
        <f>IF($E1079="","",INDEX([1]Esquemas_NORM!$H$2:$K$126,MATCH($E1079,[1]Esquemas_NORM!$A$2:$A$126,0),MATCH(AB$4,[1]Esquemas_NORM!$H$1:$K$1,0)))</f>
        <v>A la fecha no ha conformado un EAT Área Metropolitana</v>
      </c>
      <c r="AC1079" s="17" t="str">
        <f>IF($E1079="","",INDEX([1]Esquemas_NORM!$H$2:$K$126,MATCH($E1079,[1]Esquemas_NORM!$A$2:$A$126,0),MATCH(AC$4,[1]Esquemas_NORM!$H$1:$K$1,0)))</f>
        <v>ASOCIACION DE MUNICIPIOS DEL OCCIDENTE ANTIOQUEÑO - AMOCCIDENTE</v>
      </c>
      <c r="AD1079" s="23"/>
    </row>
    <row r="1080" spans="1:32" x14ac:dyDescent="0.25">
      <c r="A1080" s="51">
        <v>2023</v>
      </c>
      <c r="B1080" s="52" t="s">
        <v>36</v>
      </c>
      <c r="C1080" s="52" t="s">
        <v>158</v>
      </c>
      <c r="D1080" s="52" t="s">
        <v>163</v>
      </c>
      <c r="E1080" s="52" t="s">
        <v>196</v>
      </c>
      <c r="F1080" s="52" t="s">
        <v>161</v>
      </c>
      <c r="G1080" s="52" t="s">
        <v>197</v>
      </c>
      <c r="H1080" s="53">
        <v>11.160265844717518</v>
      </c>
      <c r="I1080" s="53">
        <v>4.4742110360282439</v>
      </c>
      <c r="J1080" s="54">
        <v>15.634476880745762</v>
      </c>
      <c r="K1080" s="53">
        <v>3.5561254516804905</v>
      </c>
      <c r="L1080" s="53">
        <v>6.1593448370470041</v>
      </c>
      <c r="M1080" s="54">
        <v>9.7154702887274951</v>
      </c>
      <c r="N1080" s="53">
        <v>10.192476904505611</v>
      </c>
      <c r="O1080" s="53">
        <v>45.243989271144123</v>
      </c>
      <c r="P1080" s="53">
        <v>6.6902555102550672</v>
      </c>
      <c r="Q1080" s="53">
        <v>5.3532107493796763</v>
      </c>
      <c r="R1080" s="53">
        <v>26.221748250796409</v>
      </c>
      <c r="S1080" s="53">
        <v>20.112462630877772</v>
      </c>
      <c r="T1080" s="53">
        <v>27.25797652825938</v>
      </c>
      <c r="U1080" s="53">
        <v>11.195895500659299</v>
      </c>
      <c r="V1080" s="54">
        <v>152.26801534587733</v>
      </c>
      <c r="W1080" s="54">
        <v>182.67513085404366</v>
      </c>
      <c r="X1080" s="53">
        <v>20.235859742554844</v>
      </c>
      <c r="Y1080" s="55">
        <v>202.81172572958306</v>
      </c>
      <c r="Z1080" s="17" t="str">
        <f>SUBSTITUTE(SUBSTITUTE(SUBSTITUTE(SUBSTITUTE(IF(E1080="","",VLOOKUP(E1080,[1]Esquemas_NORM!$A$2:$H$126,8,FALSE)),"PROVINCIA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80" s="17" t="str">
        <f>IF($E1080="","",INDEX([1]Esquemas_NORM!$H$2:$K$126,MATCH($E1080,[1]Esquemas_NORM!$A$2:$A$126,0),MATCH(AA$4,[1]Esquemas_NORM!$H$1:$K$1,0)))</f>
        <v>A la fecha no ha conformado un EAT Región</v>
      </c>
      <c r="AB1080" s="17" t="str">
        <f>IF($E1080="","",INDEX([1]Esquemas_NORM!$H$2:$K$126,MATCH($E1080,[1]Esquemas_NORM!$A$2:$A$126,0),MATCH(AB$4,[1]Esquemas_NORM!$H$1:$K$1,0)))</f>
        <v>A la fecha no ha conformado un EAT Área Metropolitana</v>
      </c>
      <c r="AC1080" s="17" t="str">
        <f>IF($E1080="","",INDEX([1]Esquemas_NORM!$H$2:$K$126,MATCH($E1080,[1]Esquemas_NORM!$A$2:$A$126,0),MATCH(AC$4,[1]Esquemas_NORM!$H$1:$K$1,0)))</f>
        <v>ASOCIACION DE MUNICIPIOS DEL OCCIDENTE ANTIOQUEÑO - AMOCCIDENTE</v>
      </c>
      <c r="AD1080" s="23"/>
    </row>
    <row r="1081" spans="1:32" x14ac:dyDescent="0.25">
      <c r="A1081" s="51">
        <v>2023</v>
      </c>
      <c r="B1081" s="52" t="s">
        <v>36</v>
      </c>
      <c r="C1081" s="52" t="s">
        <v>158</v>
      </c>
      <c r="D1081" s="52" t="s">
        <v>159</v>
      </c>
      <c r="E1081" s="52" t="s">
        <v>198</v>
      </c>
      <c r="F1081" s="52" t="s">
        <v>161</v>
      </c>
      <c r="G1081" s="52" t="s">
        <v>199</v>
      </c>
      <c r="H1081" s="53">
        <v>39.58754689640319</v>
      </c>
      <c r="I1081" s="53">
        <v>1.3690995558773376</v>
      </c>
      <c r="J1081" s="54">
        <v>40.95664645228053</v>
      </c>
      <c r="K1081" s="53">
        <v>0.91123385477054186</v>
      </c>
      <c r="L1081" s="53">
        <v>4.8155520762134705</v>
      </c>
      <c r="M1081" s="54">
        <v>5.7267859309840121</v>
      </c>
      <c r="N1081" s="53">
        <v>0.96285051910271635</v>
      </c>
      <c r="O1081" s="53">
        <v>10.953240201506457</v>
      </c>
      <c r="P1081" s="53">
        <v>2.4284415346313954</v>
      </c>
      <c r="Q1081" s="53">
        <v>2.1079717025236064</v>
      </c>
      <c r="R1081" s="53">
        <v>6.1919141774958435</v>
      </c>
      <c r="S1081" s="53">
        <v>6.5642898138558987</v>
      </c>
      <c r="T1081" s="53">
        <v>14.952527621195882</v>
      </c>
      <c r="U1081" s="53">
        <v>3.1167953366807848</v>
      </c>
      <c r="V1081" s="54">
        <v>47.278030906992591</v>
      </c>
      <c r="W1081" s="54">
        <v>112.77374694048206</v>
      </c>
      <c r="X1081" s="53">
        <v>12.492525474392224</v>
      </c>
      <c r="Y1081" s="55">
        <v>125.20499165410145</v>
      </c>
      <c r="Z1081" s="17" t="str">
        <f>SUBSTITUTE(SUBSTITUTE(SUBSTITUTE(SUBSTITUTE(IF(E1081="","",VLOOKUP(E1081,[1]Esquemas_NORM!$A$2:$H$126,8,FALSE)),"PROVINCIA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081" s="17" t="str">
        <f>IF($E1081="","",INDEX([1]Esquemas_NORM!$H$2:$K$126,MATCH($E1081,[1]Esquemas_NORM!$A$2:$A$126,0),MATCH(AA$4,[1]Esquemas_NORM!$H$1:$K$1,0)))</f>
        <v>Región de Planeación y Gestión de Occidente</v>
      </c>
      <c r="AB1081" s="17" t="str">
        <f>IF($E1081="","",INDEX([1]Esquemas_NORM!$H$2:$K$126,MATCH($E1081,[1]Esquemas_NORM!$A$2:$A$126,0),MATCH(AB$4,[1]Esquemas_NORM!$H$1:$K$1,0)))</f>
        <v>A la fecha no ha conformado un EAT Área Metropolitana</v>
      </c>
      <c r="AC1081" s="17" t="str">
        <f>IF($E1081="","",INDEX([1]Esquemas_NORM!$H$2:$K$126,MATCH($E1081,[1]Esquemas_NORM!$A$2:$A$126,0),MATCH(AC$4,[1]Esquemas_NORM!$H$1:$K$1,0)))</f>
        <v>ASOCIACION DE MUNICIPIOS DEL OCCIDENTE ANTIOQUEÑO - AMOCCIDENTE</v>
      </c>
      <c r="AD1081" s="23"/>
    </row>
    <row r="1082" spans="1:32" x14ac:dyDescent="0.25">
      <c r="A1082" s="51">
        <v>2023</v>
      </c>
      <c r="B1082" s="52" t="s">
        <v>36</v>
      </c>
      <c r="C1082" s="52" t="s">
        <v>200</v>
      </c>
      <c r="D1082" s="52" t="s">
        <v>201</v>
      </c>
      <c r="E1082" s="52" t="s">
        <v>202</v>
      </c>
      <c r="F1082" s="52" t="s">
        <v>203</v>
      </c>
      <c r="G1082" s="52" t="s">
        <v>204</v>
      </c>
      <c r="H1082" s="53">
        <v>115.27599815261972</v>
      </c>
      <c r="I1082" s="53">
        <v>0.14813219749808845</v>
      </c>
      <c r="J1082" s="54">
        <v>115.42413035011781</v>
      </c>
      <c r="K1082" s="53">
        <v>10.263054830641163</v>
      </c>
      <c r="L1082" s="53">
        <v>6.351444724443196</v>
      </c>
      <c r="M1082" s="54">
        <v>16.614499555084357</v>
      </c>
      <c r="N1082" s="53">
        <v>6.1924038918841084</v>
      </c>
      <c r="O1082" s="53">
        <v>19.119459452100156</v>
      </c>
      <c r="P1082" s="53">
        <v>8.0048073578594749</v>
      </c>
      <c r="Q1082" s="53">
        <v>8.9785877262440739</v>
      </c>
      <c r="R1082" s="53">
        <v>22.573193949675034</v>
      </c>
      <c r="S1082" s="53">
        <v>19.249381233002953</v>
      </c>
      <c r="T1082" s="53">
        <v>43.922030260669466</v>
      </c>
      <c r="U1082" s="53">
        <v>11.096437212096054</v>
      </c>
      <c r="V1082" s="54">
        <v>139.13630108353132</v>
      </c>
      <c r="W1082" s="54">
        <v>321.56050940216954</v>
      </c>
      <c r="X1082" s="53">
        <v>35.620904370462434</v>
      </c>
      <c r="Y1082" s="55">
        <v>357.00667919844869</v>
      </c>
      <c r="Z1082" s="17" t="str">
        <f>SUBSTITUTE(SUBSTITUTE(SUBSTITUTE(SUBSTITUTE(IF(E1082="","",VLOOKUP(E1082,[1]Esquemas_NORM!$A$2:$H$126,8,FALSE)),"PROVINCIA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082" s="17" t="str">
        <f>IF($E1082="","",INDEX([1]Esquemas_NORM!$H$2:$K$126,MATCH($E1082,[1]Esquemas_NORM!$A$2:$A$126,0),MATCH(AA$4,[1]Esquemas_NORM!$H$1:$K$1,0)))</f>
        <v>A la fecha no ha conformado un EAT Región</v>
      </c>
      <c r="AB1082" s="17" t="str">
        <f>IF($E1082="","",INDEX([1]Esquemas_NORM!$H$2:$K$126,MATCH($E1082,[1]Esquemas_NORM!$A$2:$A$126,0),MATCH(AB$4,[1]Esquemas_NORM!$H$1:$K$1,0)))</f>
        <v>A la fecha no ha conformado un EAT Área Metropolitana</v>
      </c>
      <c r="AC1082" s="17" t="str">
        <f>IF($E1082="","",INDEX([1]Esquemas_NORM!$H$2:$K$126,MATCH($E1082,[1]Esquemas_NORM!$A$2:$A$126,0),MATCH(AC$4,[1]Esquemas_NORM!$H$1:$K$1,0)))</f>
        <v>MUNICIPIOS UNIDOS DEL SUR DE ANTIOQUIA - MUSA</v>
      </c>
      <c r="AD1082" s="23"/>
    </row>
    <row r="1083" spans="1:32" x14ac:dyDescent="0.25">
      <c r="A1083" s="51">
        <v>2023</v>
      </c>
      <c r="B1083" s="52" t="s">
        <v>36</v>
      </c>
      <c r="C1083" s="52" t="s">
        <v>200</v>
      </c>
      <c r="D1083" s="52" t="s">
        <v>205</v>
      </c>
      <c r="E1083" s="52" t="s">
        <v>206</v>
      </c>
      <c r="F1083" s="52" t="s">
        <v>203</v>
      </c>
      <c r="G1083" s="52" t="s">
        <v>207</v>
      </c>
      <c r="H1083" s="53">
        <v>5.9612676343042743</v>
      </c>
      <c r="I1083" s="53">
        <v>0</v>
      </c>
      <c r="J1083" s="54">
        <v>5.9612676343042743</v>
      </c>
      <c r="K1083" s="53">
        <v>0.88723059365302415</v>
      </c>
      <c r="L1083" s="53">
        <v>1.9344128943397485</v>
      </c>
      <c r="M1083" s="54">
        <v>2.8216434879927728</v>
      </c>
      <c r="N1083" s="53">
        <v>16.191478494169981</v>
      </c>
      <c r="O1083" s="53">
        <v>3.9623342339366308</v>
      </c>
      <c r="P1083" s="53">
        <v>1.0771383894136124</v>
      </c>
      <c r="Q1083" s="53">
        <v>1.0157261471301897</v>
      </c>
      <c r="R1083" s="53">
        <v>4.6202153741277741</v>
      </c>
      <c r="S1083" s="53">
        <v>3.3523336264976402</v>
      </c>
      <c r="T1083" s="53">
        <v>4.8530199675742232</v>
      </c>
      <c r="U1083" s="53">
        <v>1.7270830721387735</v>
      </c>
      <c r="V1083" s="54">
        <v>36.799329304988824</v>
      </c>
      <c r="W1083" s="54">
        <v>52.55877781033854</v>
      </c>
      <c r="X1083" s="53">
        <v>5.8222049768801032</v>
      </c>
      <c r="Y1083" s="55">
        <v>58.352422577268449</v>
      </c>
      <c r="Z1083" s="17" t="str">
        <f>SUBSTITUTE(SUBSTITUTE(SUBSTITUTE(SUBSTITUTE(IF(E1083="","",VLOOKUP(E1083,[1]Esquemas_NORM!$A$2:$H$126,8,FALSE)),"PROVINCIA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083" s="17" t="str">
        <f>IF($E1083="","",INDEX([1]Esquemas_NORM!$H$2:$K$126,MATCH($E1083,[1]Esquemas_NORM!$A$2:$A$126,0),MATCH(AA$4,[1]Esquemas_NORM!$H$1:$K$1,0)))</f>
        <v>A la fecha no ha conformado un EAT Región</v>
      </c>
      <c r="AB1083" s="17" t="str">
        <f>IF($E1083="","",INDEX([1]Esquemas_NORM!$H$2:$K$126,MATCH($E1083,[1]Esquemas_NORM!$A$2:$A$126,0),MATCH(AB$4,[1]Esquemas_NORM!$H$1:$K$1,0)))</f>
        <v>A la fecha no ha conformado un EAT Área Metropolitana</v>
      </c>
      <c r="AC1083" s="17" t="str">
        <f>IF($E1083="","",INDEX([1]Esquemas_NORM!$H$2:$K$126,MATCH($E1083,[1]Esquemas_NORM!$A$2:$A$126,0),MATCH(AC$4,[1]Esquemas_NORM!$H$1:$K$1,0)))</f>
        <v>A la fecha no ha conformado un EAT asociación - unión</v>
      </c>
      <c r="AD1083" s="23"/>
    </row>
    <row r="1084" spans="1:32" x14ac:dyDescent="0.25">
      <c r="A1084" s="51">
        <v>2023</v>
      </c>
      <c r="B1084" s="52" t="s">
        <v>36</v>
      </c>
      <c r="C1084" s="52" t="s">
        <v>200</v>
      </c>
      <c r="D1084" s="52" t="s">
        <v>201</v>
      </c>
      <c r="E1084" s="52" t="s">
        <v>208</v>
      </c>
      <c r="F1084" s="52" t="s">
        <v>203</v>
      </c>
      <c r="G1084" s="52" t="s">
        <v>209</v>
      </c>
      <c r="H1084" s="53">
        <v>12.829663921844329</v>
      </c>
      <c r="I1084" s="53">
        <v>1.8587899883009344E-2</v>
      </c>
      <c r="J1084" s="54">
        <v>12.848251821727338</v>
      </c>
      <c r="K1084" s="53">
        <v>2.2045342270997565</v>
      </c>
      <c r="L1084" s="53">
        <v>1.6232042010266525</v>
      </c>
      <c r="M1084" s="54">
        <v>3.8277384281264091</v>
      </c>
      <c r="N1084" s="53">
        <v>1.1093312481769944</v>
      </c>
      <c r="O1084" s="53">
        <v>6.1711941691936572</v>
      </c>
      <c r="P1084" s="53">
        <v>2.8952379820244696</v>
      </c>
      <c r="Q1084" s="53">
        <v>3.0652369962639079</v>
      </c>
      <c r="R1084" s="53">
        <v>6.939003696800043</v>
      </c>
      <c r="S1084" s="53">
        <v>6.6203034532941816</v>
      </c>
      <c r="T1084" s="53">
        <v>18.742169282994027</v>
      </c>
      <c r="U1084" s="53">
        <v>4.2085623270505685</v>
      </c>
      <c r="V1084" s="54">
        <v>49.751039155797855</v>
      </c>
      <c r="W1084" s="54">
        <v>69.32879355904025</v>
      </c>
      <c r="X1084" s="53">
        <v>7.6799055023159468</v>
      </c>
      <c r="Y1084" s="55">
        <v>76.971026098206465</v>
      </c>
      <c r="Z1084" s="17" t="str">
        <f>SUBSTITUTE(SUBSTITUTE(SUBSTITUTE(SUBSTITUTE(IF(E1084="","",VLOOKUP(E1084,[1]Esquemas_NORM!$A$2:$H$126,8,FALSE)),"PROVINCIA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084" s="17" t="str">
        <f>IF($E1084="","",INDEX([1]Esquemas_NORM!$H$2:$K$126,MATCH($E1084,[1]Esquemas_NORM!$A$2:$A$126,0),MATCH(AA$4,[1]Esquemas_NORM!$H$1:$K$1,0)))</f>
        <v>A la fecha no ha conformado un EAT Región</v>
      </c>
      <c r="AB1084" s="17" t="str">
        <f>IF($E1084="","",INDEX([1]Esquemas_NORM!$H$2:$K$126,MATCH($E1084,[1]Esquemas_NORM!$A$2:$A$126,0),MATCH(AB$4,[1]Esquemas_NORM!$H$1:$K$1,0)))</f>
        <v>A la fecha no ha conformado un EAT Área Metropolitana</v>
      </c>
      <c r="AC1084" s="17" t="str">
        <f>IF($E1084="","",INDEX([1]Esquemas_NORM!$H$2:$K$126,MATCH($E1084,[1]Esquemas_NORM!$A$2:$A$126,0),MATCH(AC$4,[1]Esquemas_NORM!$H$1:$K$1,0)))</f>
        <v>MUNICIPIOS UNIDOS DEL SUR DE ANTIOQUIA - MUSA</v>
      </c>
      <c r="AD1084" s="23"/>
    </row>
    <row r="1085" spans="1:32" x14ac:dyDescent="0.25">
      <c r="A1085" s="51">
        <v>2023</v>
      </c>
      <c r="B1085" s="52" t="s">
        <v>36</v>
      </c>
      <c r="C1085" s="52" t="s">
        <v>200</v>
      </c>
      <c r="D1085" s="52" t="s">
        <v>210</v>
      </c>
      <c r="E1085" s="52" t="s">
        <v>211</v>
      </c>
      <c r="F1085" s="52" t="s">
        <v>203</v>
      </c>
      <c r="G1085" s="52" t="s">
        <v>212</v>
      </c>
      <c r="H1085" s="53">
        <v>16.370702842011049</v>
      </c>
      <c r="I1085" s="53">
        <v>0.48445779211724432</v>
      </c>
      <c r="J1085" s="54">
        <v>16.855160634128293</v>
      </c>
      <c r="K1085" s="53">
        <v>6.7431876070395624</v>
      </c>
      <c r="L1085" s="53">
        <v>1.5419625655080302</v>
      </c>
      <c r="M1085" s="54">
        <v>8.285150172547592</v>
      </c>
      <c r="N1085" s="53">
        <v>26.229257786550271</v>
      </c>
      <c r="O1085" s="53">
        <v>25.318096176130254</v>
      </c>
      <c r="P1085" s="53">
        <v>4.8073722686153708</v>
      </c>
      <c r="Q1085" s="53">
        <v>3.5576489124998991</v>
      </c>
      <c r="R1085" s="53">
        <v>12.077263728131268</v>
      </c>
      <c r="S1085" s="53">
        <v>13.478294779691804</v>
      </c>
      <c r="T1085" s="53">
        <v>15.857466727945983</v>
      </c>
      <c r="U1085" s="53">
        <v>7.5846978596281671</v>
      </c>
      <c r="V1085" s="54">
        <v>108.91009823919302</v>
      </c>
      <c r="W1085" s="54">
        <v>147.56013254405448</v>
      </c>
      <c r="X1085" s="53">
        <v>16.345991552297814</v>
      </c>
      <c r="Y1085" s="55">
        <v>163.82594056581186</v>
      </c>
      <c r="Z1085" s="17" t="str">
        <f>SUBSTITUTE(SUBSTITUTE(SUBSTITUTE(SUBSTITUTE(IF(E1085="","",VLOOKUP(E1085,[1]Esquemas_NORM!$A$2:$H$126,8,FALSE)),"PROVINCIA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085" s="17" t="str">
        <f>IF($E1085="","",INDEX([1]Esquemas_NORM!$H$2:$K$126,MATCH($E1085,[1]Esquemas_NORM!$A$2:$A$126,0),MATCH(AA$4,[1]Esquemas_NORM!$H$1:$K$1,0)))</f>
        <v>A la fecha no ha conformado un EAT Región</v>
      </c>
      <c r="AB1085" s="17" t="str">
        <f>IF($E1085="","",INDEX([1]Esquemas_NORM!$H$2:$K$126,MATCH($E1085,[1]Esquemas_NORM!$A$2:$A$126,0),MATCH(AB$4,[1]Esquemas_NORM!$H$1:$K$1,0)))</f>
        <v>A la fecha no ha conformado un EAT Área Metropolitana</v>
      </c>
      <c r="AC1085" s="17" t="str">
        <f>IF($E1085="","",INDEX([1]Esquemas_NORM!$H$2:$K$126,MATCH($E1085,[1]Esquemas_NORM!$A$2:$A$126,0),MATCH(AC$4,[1]Esquemas_NORM!$H$1:$K$1,0)))</f>
        <v>A la fecha no ha conformado un EAT asociación - unión</v>
      </c>
      <c r="AD1085" s="23"/>
    </row>
    <row r="1086" spans="1:32" x14ac:dyDescent="0.25">
      <c r="A1086" s="51">
        <v>2023</v>
      </c>
      <c r="B1086" s="52" t="s">
        <v>36</v>
      </c>
      <c r="C1086" s="52" t="s">
        <v>200</v>
      </c>
      <c r="D1086" s="52" t="s">
        <v>205</v>
      </c>
      <c r="E1086" s="52" t="s">
        <v>213</v>
      </c>
      <c r="F1086" s="52" t="s">
        <v>203</v>
      </c>
      <c r="G1086" s="52" t="s">
        <v>214</v>
      </c>
      <c r="H1086" s="53">
        <v>14.315792279504555</v>
      </c>
      <c r="I1086" s="53">
        <v>0</v>
      </c>
      <c r="J1086" s="54">
        <v>14.315792279504555</v>
      </c>
      <c r="K1086" s="53">
        <v>0.81682551808255999</v>
      </c>
      <c r="L1086" s="53">
        <v>2.298393839287356</v>
      </c>
      <c r="M1086" s="54">
        <v>3.1152193573699161</v>
      </c>
      <c r="N1086" s="53">
        <v>9.5875887534057167</v>
      </c>
      <c r="O1086" s="53">
        <v>4.2678852626577708</v>
      </c>
      <c r="P1086" s="53">
        <v>0.90089820089813821</v>
      </c>
      <c r="Q1086" s="53">
        <v>0.90936353175512141</v>
      </c>
      <c r="R1086" s="53">
        <v>5.2346088267927673</v>
      </c>
      <c r="S1086" s="53">
        <v>3.3061887633481235</v>
      </c>
      <c r="T1086" s="53">
        <v>5.8100956708125944</v>
      </c>
      <c r="U1086" s="53">
        <v>2.1539453983003671</v>
      </c>
      <c r="V1086" s="54">
        <v>32.170574407970598</v>
      </c>
      <c r="W1086" s="54">
        <v>58.536578453682729</v>
      </c>
      <c r="X1086" s="53">
        <v>6.4843965670679244</v>
      </c>
      <c r="Y1086" s="55">
        <v>64.989166500079932</v>
      </c>
      <c r="Z1086" s="17" t="str">
        <f>SUBSTITUTE(SUBSTITUTE(SUBSTITUTE(SUBSTITUTE(IF(E1086="","",VLOOKUP(E1086,[1]Esquemas_NORM!$A$2:$H$126,8,FALSE)),"PROVINCIA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086" s="17" t="str">
        <f>IF($E1086="","",INDEX([1]Esquemas_NORM!$H$2:$K$126,MATCH($E1086,[1]Esquemas_NORM!$A$2:$A$126,0),MATCH(AA$4,[1]Esquemas_NORM!$H$1:$K$1,0)))</f>
        <v>A la fecha no ha conformado un EAT Región</v>
      </c>
      <c r="AB1086" s="17" t="str">
        <f>IF($E1086="","",INDEX([1]Esquemas_NORM!$H$2:$K$126,MATCH($E1086,[1]Esquemas_NORM!$A$2:$A$126,0),MATCH(AB$4,[1]Esquemas_NORM!$H$1:$K$1,0)))</f>
        <v>A la fecha no ha conformado un EAT Área Metropolitana</v>
      </c>
      <c r="AC1086" s="17" t="str">
        <f>IF($E1086="","",INDEX([1]Esquemas_NORM!$H$2:$K$126,MATCH($E1086,[1]Esquemas_NORM!$A$2:$A$126,0),MATCH(AC$4,[1]Esquemas_NORM!$H$1:$K$1,0)))</f>
        <v>A la fecha no ha conformado un EAT asociación - unión</v>
      </c>
      <c r="AD1086" s="23"/>
    </row>
    <row r="1087" spans="1:32" x14ac:dyDescent="0.25">
      <c r="A1087" s="51">
        <v>2023</v>
      </c>
      <c r="B1087" s="52" t="s">
        <v>36</v>
      </c>
      <c r="C1087" s="52" t="s">
        <v>200</v>
      </c>
      <c r="D1087" s="52" t="s">
        <v>215</v>
      </c>
      <c r="E1087" s="52" t="s">
        <v>216</v>
      </c>
      <c r="F1087" s="52" t="s">
        <v>203</v>
      </c>
      <c r="G1087" s="52" t="s">
        <v>217</v>
      </c>
      <c r="H1087" s="53">
        <v>92.563673299444432</v>
      </c>
      <c r="I1087" s="53">
        <v>0</v>
      </c>
      <c r="J1087" s="54">
        <v>92.563673299444432</v>
      </c>
      <c r="K1087" s="53">
        <v>23.194304157184657</v>
      </c>
      <c r="L1087" s="53">
        <v>21.634691218689735</v>
      </c>
      <c r="M1087" s="54">
        <v>44.828995375874392</v>
      </c>
      <c r="N1087" s="53">
        <v>20.088087087490084</v>
      </c>
      <c r="O1087" s="53">
        <v>238.26022591472619</v>
      </c>
      <c r="P1087" s="53">
        <v>25.74994609461622</v>
      </c>
      <c r="Q1087" s="53">
        <v>26.817868354329846</v>
      </c>
      <c r="R1087" s="53">
        <v>89.88194826600504</v>
      </c>
      <c r="S1087" s="53">
        <v>83.317215485719032</v>
      </c>
      <c r="T1087" s="53">
        <v>66.326560415237665</v>
      </c>
      <c r="U1087" s="53">
        <v>32.645413728672757</v>
      </c>
      <c r="V1087" s="54">
        <v>583.08726534679693</v>
      </c>
      <c r="W1087" s="54">
        <v>759.68352942906006</v>
      </c>
      <c r="X1087" s="53">
        <v>84.15403497120947</v>
      </c>
      <c r="Y1087" s="55">
        <v>843.42475569352109</v>
      </c>
      <c r="Z1087" s="17" t="str">
        <f>SUBSTITUTE(SUBSTITUTE(SUBSTITUTE(SUBSTITUTE(IF(E1087="","",VLOOKUP(E1087,[1]Esquemas_NORM!$A$2:$H$126,8,FALSE)),"PROVINCIA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87" s="17" t="str">
        <f>IF($E1087="","",INDEX([1]Esquemas_NORM!$H$2:$K$126,MATCH($E1087,[1]Esquemas_NORM!$A$2:$A$126,0),MATCH(AA$4,[1]Esquemas_NORM!$H$1:$K$1,0)))</f>
        <v>A la fecha no ha conformado un EAT Región</v>
      </c>
      <c r="AB1087" s="17" t="str">
        <f>IF($E1087="","",INDEX([1]Esquemas_NORM!$H$2:$K$126,MATCH($E1087,[1]Esquemas_NORM!$A$2:$A$126,0),MATCH(AB$4,[1]Esquemas_NORM!$H$1:$K$1,0)))</f>
        <v>A la fecha no ha conformado un EAT Área Metropolitana</v>
      </c>
      <c r="AC1087" s="17" t="str">
        <f>IF($E1087="","",INDEX([1]Esquemas_NORM!$H$2:$K$126,MATCH($E1087,[1]Esquemas_NORM!$A$2:$A$126,0),MATCH(AC$4,[1]Esquemas_NORM!$H$1:$K$1,0)))</f>
        <v>MUNICIPIOS ASOCIADOS DEL ALTIPLANO DEL ORIENTE ANTIOQUEÑO - MASORA</v>
      </c>
      <c r="AD1087" s="23"/>
      <c r="AE1087" s="23"/>
      <c r="AF1087" s="23"/>
    </row>
    <row r="1088" spans="1:32" x14ac:dyDescent="0.25">
      <c r="A1088" s="51">
        <v>2023</v>
      </c>
      <c r="B1088" s="52" t="s">
        <v>36</v>
      </c>
      <c r="C1088" s="52" t="s">
        <v>200</v>
      </c>
      <c r="D1088" s="52" t="s">
        <v>205</v>
      </c>
      <c r="E1088" s="52" t="s">
        <v>218</v>
      </c>
      <c r="F1088" s="52" t="s">
        <v>203</v>
      </c>
      <c r="G1088" s="52" t="s">
        <v>219</v>
      </c>
      <c r="H1088" s="53">
        <v>194.39065691690519</v>
      </c>
      <c r="I1088" s="53">
        <v>0</v>
      </c>
      <c r="J1088" s="54">
        <v>194.39065691690519</v>
      </c>
      <c r="K1088" s="53">
        <v>14.224244382466651</v>
      </c>
      <c r="L1088" s="53">
        <v>11.371928273312271</v>
      </c>
      <c r="M1088" s="54">
        <v>25.596172655778922</v>
      </c>
      <c r="N1088" s="53">
        <v>6.031857642805198</v>
      </c>
      <c r="O1088" s="53">
        <v>60.402468164916485</v>
      </c>
      <c r="P1088" s="53">
        <v>9.2446891554489365</v>
      </c>
      <c r="Q1088" s="53">
        <v>6.2563561729814969</v>
      </c>
      <c r="R1088" s="53">
        <v>37.345383435814917</v>
      </c>
      <c r="S1088" s="53">
        <v>24.065253051141372</v>
      </c>
      <c r="T1088" s="53">
        <v>27.896527823310585</v>
      </c>
      <c r="U1088" s="53">
        <v>10.27532191132525</v>
      </c>
      <c r="V1088" s="54">
        <v>181.51785735774425</v>
      </c>
      <c r="W1088" s="54">
        <v>495.80414852215529</v>
      </c>
      <c r="X1088" s="53">
        <v>54.922764595137423</v>
      </c>
      <c r="Y1088" s="55">
        <v>550.45749531181809</v>
      </c>
      <c r="Z1088" s="17" t="str">
        <f>SUBSTITUTE(SUBSTITUTE(SUBSTITUTE(SUBSTITUTE(IF(E1088="","",VLOOKUP(E1088,[1]Esquemas_NORM!$A$2:$H$126,8,FALSE)),"PROVINCIA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088" s="17" t="str">
        <f>IF($E1088="","",INDEX([1]Esquemas_NORM!$H$2:$K$126,MATCH($E1088,[1]Esquemas_NORM!$A$2:$A$126,0),MATCH(AA$4,[1]Esquemas_NORM!$H$1:$K$1,0)))</f>
        <v>A la fecha no ha conformado un EAT Región</v>
      </c>
      <c r="AB1088" s="17" t="str">
        <f>IF($E1088="","",INDEX([1]Esquemas_NORM!$H$2:$K$126,MATCH($E1088,[1]Esquemas_NORM!$A$2:$A$126,0),MATCH(AB$4,[1]Esquemas_NORM!$H$1:$K$1,0)))</f>
        <v>A la fecha no ha conformado un EAT Área Metropolitana</v>
      </c>
      <c r="AC1088" s="17" t="str">
        <f>IF($E1088="","",INDEX([1]Esquemas_NORM!$H$2:$K$126,MATCH($E1088,[1]Esquemas_NORM!$A$2:$A$126,0),MATCH(AC$4,[1]Esquemas_NORM!$H$1:$K$1,0)))</f>
        <v>A la fecha no ha conformado un EAT asociación - unión</v>
      </c>
      <c r="AD1088" s="23"/>
    </row>
    <row r="1089" spans="1:30" x14ac:dyDescent="0.25">
      <c r="A1089" s="51">
        <v>2023</v>
      </c>
      <c r="B1089" s="52" t="s">
        <v>36</v>
      </c>
      <c r="C1089" s="52" t="s">
        <v>200</v>
      </c>
      <c r="D1089" s="52" t="s">
        <v>215</v>
      </c>
      <c r="E1089" s="52" t="s">
        <v>220</v>
      </c>
      <c r="F1089" s="52" t="s">
        <v>203</v>
      </c>
      <c r="G1089" s="52" t="s">
        <v>221</v>
      </c>
      <c r="H1089" s="53">
        <v>79.390462404434345</v>
      </c>
      <c r="I1089" s="53">
        <v>1.0540151082931444</v>
      </c>
      <c r="J1089" s="54">
        <v>80.444477512727488</v>
      </c>
      <c r="K1089" s="53">
        <v>26.961656355950858</v>
      </c>
      <c r="L1089" s="53">
        <v>8.4917348417694001</v>
      </c>
      <c r="M1089" s="54">
        <v>35.453391197720258</v>
      </c>
      <c r="N1089" s="53">
        <v>30.198543860308469</v>
      </c>
      <c r="O1089" s="53">
        <v>102.16177265072044</v>
      </c>
      <c r="P1089" s="53">
        <v>24.982622449239198</v>
      </c>
      <c r="Q1089" s="53">
        <v>17.665569795728445</v>
      </c>
      <c r="R1089" s="53">
        <v>81.219445868505176</v>
      </c>
      <c r="S1089" s="53">
        <v>53.119372377022742</v>
      </c>
      <c r="T1089" s="53">
        <v>53.847753874209921</v>
      </c>
      <c r="U1089" s="53">
        <v>24.775737827252549</v>
      </c>
      <c r="V1089" s="54">
        <v>387.97081870298695</v>
      </c>
      <c r="W1089" s="54">
        <v>532.49341021982013</v>
      </c>
      <c r="X1089" s="53">
        <v>58.987022002777636</v>
      </c>
      <c r="Y1089" s="55">
        <v>591.19107763281181</v>
      </c>
      <c r="Z1089" s="17" t="str">
        <f>SUBSTITUTE(SUBSTITUTE(SUBSTITUTE(SUBSTITUTE(IF(E1089="","",VLOOKUP(E1089,[1]Esquemas_NORM!$A$2:$H$126,8,FALSE)),"PROVINCIA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89" s="17" t="str">
        <f>IF($E1089="","",INDEX([1]Esquemas_NORM!$H$2:$K$126,MATCH($E1089,[1]Esquemas_NORM!$A$2:$A$126,0),MATCH(AA$4,[1]Esquemas_NORM!$H$1:$K$1,0)))</f>
        <v>A la fecha no ha conformado un EAT Región</v>
      </c>
      <c r="AB1089" s="17" t="str">
        <f>IF($E1089="","",INDEX([1]Esquemas_NORM!$H$2:$K$126,MATCH($E1089,[1]Esquemas_NORM!$A$2:$A$126,0),MATCH(AB$4,[1]Esquemas_NORM!$H$1:$K$1,0)))</f>
        <v>A la fecha no ha conformado un EAT Área Metropolitana</v>
      </c>
      <c r="AC1089" s="17" t="str">
        <f>IF($E1089="","",INDEX([1]Esquemas_NORM!$H$2:$K$126,MATCH($E1089,[1]Esquemas_NORM!$A$2:$A$126,0),MATCH(AC$4,[1]Esquemas_NORM!$H$1:$K$1,0)))</f>
        <v>MUNICIPIOS ASOCIADOS DEL ALTIPLANO DEL ORIENTE ANTIOQUEÑO - MASORA</v>
      </c>
      <c r="AD1089" s="23"/>
    </row>
    <row r="1090" spans="1:30" x14ac:dyDescent="0.25">
      <c r="A1090" s="51">
        <v>2023</v>
      </c>
      <c r="B1090" s="52" t="s">
        <v>36</v>
      </c>
      <c r="C1090" s="52" t="s">
        <v>200</v>
      </c>
      <c r="D1090" s="52" t="s">
        <v>215</v>
      </c>
      <c r="E1090" s="52" t="s">
        <v>222</v>
      </c>
      <c r="F1090" s="52" t="s">
        <v>203</v>
      </c>
      <c r="G1090" s="52" t="s">
        <v>223</v>
      </c>
      <c r="H1090" s="53">
        <v>140.47152249638594</v>
      </c>
      <c r="I1090" s="53">
        <v>0</v>
      </c>
      <c r="J1090" s="54">
        <v>140.47152249638594</v>
      </c>
      <c r="K1090" s="53">
        <v>32.315319306216523</v>
      </c>
      <c r="L1090" s="53">
        <v>4.0208666610475312</v>
      </c>
      <c r="M1090" s="54">
        <v>36.336185967264058</v>
      </c>
      <c r="N1090" s="53">
        <v>7.7709692989153138</v>
      </c>
      <c r="O1090" s="53">
        <v>88.975574967123322</v>
      </c>
      <c r="P1090" s="53">
        <v>12.489458532731362</v>
      </c>
      <c r="Q1090" s="53">
        <v>13.368842278714881</v>
      </c>
      <c r="R1090" s="53">
        <v>37.242193128190038</v>
      </c>
      <c r="S1090" s="53">
        <v>44.265936833830494</v>
      </c>
      <c r="T1090" s="53">
        <v>59.87467615259483</v>
      </c>
      <c r="U1090" s="53">
        <v>14.942852244065536</v>
      </c>
      <c r="V1090" s="54">
        <v>278.93050343616579</v>
      </c>
      <c r="W1090" s="54">
        <v>518.54125625998915</v>
      </c>
      <c r="X1090" s="53">
        <v>57.441470458272406</v>
      </c>
      <c r="Y1090" s="55">
        <v>575.70095366790429</v>
      </c>
      <c r="Z1090" s="17" t="str">
        <f>SUBSTITUTE(SUBSTITUTE(SUBSTITUTE(SUBSTITUTE(IF(E1090="","",VLOOKUP(E1090,[1]Esquemas_NORM!$A$2:$H$126,8,FALSE)),"PROVINCIA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90" s="17" t="str">
        <f>IF($E1090="","",INDEX([1]Esquemas_NORM!$H$2:$K$126,MATCH($E1090,[1]Esquemas_NORM!$A$2:$A$126,0),MATCH(AA$4,[1]Esquemas_NORM!$H$1:$K$1,0)))</f>
        <v>Región de Planeación y Gestión Aeroportuaria de Oriente</v>
      </c>
      <c r="AB1090" s="17" t="str">
        <f>IF($E1090="","",INDEX([1]Esquemas_NORM!$H$2:$K$126,MATCH($E1090,[1]Esquemas_NORM!$A$2:$A$126,0),MATCH(AB$4,[1]Esquemas_NORM!$H$1:$K$1,0)))</f>
        <v>A la fecha no ha conformado un EAT Área Metropolitana</v>
      </c>
      <c r="AC1090" s="17" t="str">
        <f>IF($E1090="","",INDEX([1]Esquemas_NORM!$H$2:$K$126,MATCH($E1090,[1]Esquemas_NORM!$A$2:$A$126,0),MATCH(AC$4,[1]Esquemas_NORM!$H$1:$K$1,0)))</f>
        <v>MUNICIPIOS ASOCIADOS DEL ALTIPLANO DEL ORIENTE ANTIOQUEÑO - MASORA</v>
      </c>
      <c r="AD1090" s="23"/>
    </row>
    <row r="1091" spans="1:30" x14ac:dyDescent="0.25">
      <c r="A1091" s="51">
        <v>2023</v>
      </c>
      <c r="B1091" s="52" t="s">
        <v>36</v>
      </c>
      <c r="C1091" s="52" t="s">
        <v>200</v>
      </c>
      <c r="D1091" s="52" t="s">
        <v>205</v>
      </c>
      <c r="E1091" s="52" t="s">
        <v>224</v>
      </c>
      <c r="F1091" s="52" t="s">
        <v>203</v>
      </c>
      <c r="G1091" s="52" t="s">
        <v>225</v>
      </c>
      <c r="H1091" s="53">
        <v>12.410170635499032</v>
      </c>
      <c r="I1091" s="53">
        <v>0</v>
      </c>
      <c r="J1091" s="54">
        <v>12.410170635499032</v>
      </c>
      <c r="K1091" s="53">
        <v>2.0835934454463385</v>
      </c>
      <c r="L1091" s="53">
        <v>2.808082831031312</v>
      </c>
      <c r="M1091" s="54">
        <v>4.89167627647765</v>
      </c>
      <c r="N1091" s="53">
        <v>6.0560861764273719</v>
      </c>
      <c r="O1091" s="53">
        <v>10.126176991782401</v>
      </c>
      <c r="P1091" s="53">
        <v>4.1871255990476994</v>
      </c>
      <c r="Q1091" s="53">
        <v>3.635605235748419</v>
      </c>
      <c r="R1091" s="53">
        <v>11.157970669925836</v>
      </c>
      <c r="S1091" s="53">
        <v>8.8501305867253315</v>
      </c>
      <c r="T1091" s="53">
        <v>17.728593081087833</v>
      </c>
      <c r="U1091" s="53">
        <v>5.5559963712848273</v>
      </c>
      <c r="V1091" s="54">
        <v>67.297684712029735</v>
      </c>
      <c r="W1091" s="54">
        <v>88.011154249817054</v>
      </c>
      <c r="X1091" s="53">
        <v>9.7494462702947917</v>
      </c>
      <c r="Y1091" s="55">
        <v>97.712775643886502</v>
      </c>
      <c r="Z1091" s="17" t="str">
        <f>SUBSTITUTE(SUBSTITUTE(SUBSTITUTE(SUBSTITUTE(IF(E1091="","",VLOOKUP(E1091,[1]Esquemas_NORM!$A$2:$H$126,8,FALSE)),"PROVINCIA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091" s="17" t="str">
        <f>IF($E1091="","",INDEX([1]Esquemas_NORM!$H$2:$K$126,MATCH($E1091,[1]Esquemas_NORM!$A$2:$A$126,0),MATCH(AA$4,[1]Esquemas_NORM!$H$1:$K$1,0)))</f>
        <v>A la fecha no ha conformado un EAT Región</v>
      </c>
      <c r="AB1091" s="17" t="str">
        <f>IF($E1091="","",INDEX([1]Esquemas_NORM!$H$2:$K$126,MATCH($E1091,[1]Esquemas_NORM!$A$2:$A$126,0),MATCH(AB$4,[1]Esquemas_NORM!$H$1:$K$1,0)))</f>
        <v>A la fecha no ha conformado un EAT Área Metropolitana</v>
      </c>
      <c r="AC1091" s="17" t="str">
        <f>IF($E1091="","",INDEX([1]Esquemas_NORM!$H$2:$K$126,MATCH($E1091,[1]Esquemas_NORM!$A$2:$A$126,0),MATCH(AC$4,[1]Esquemas_NORM!$H$1:$K$1,0)))</f>
        <v>A la fecha no ha conformado un EAT asociación - unión</v>
      </c>
      <c r="AD1091" s="23"/>
    </row>
    <row r="1092" spans="1:30" x14ac:dyDescent="0.25">
      <c r="A1092" s="51">
        <v>2023</v>
      </c>
      <c r="B1092" s="52" t="s">
        <v>36</v>
      </c>
      <c r="C1092" s="52" t="s">
        <v>200</v>
      </c>
      <c r="D1092" s="52" t="s">
        <v>215</v>
      </c>
      <c r="E1092" s="52" t="s">
        <v>226</v>
      </c>
      <c r="F1092" s="52" t="s">
        <v>203</v>
      </c>
      <c r="G1092" s="52" t="s">
        <v>227</v>
      </c>
      <c r="H1092" s="53">
        <v>46.099259846722859</v>
      </c>
      <c r="I1092" s="53">
        <v>0</v>
      </c>
      <c r="J1092" s="54">
        <v>46.099259846722859</v>
      </c>
      <c r="K1092" s="53">
        <v>573.96423800320633</v>
      </c>
      <c r="L1092" s="53">
        <v>122.76288888888881</v>
      </c>
      <c r="M1092" s="54">
        <v>696.72712689209516</v>
      </c>
      <c r="N1092" s="53">
        <v>40.437248299868301</v>
      </c>
      <c r="O1092" s="53">
        <v>211.10015563926927</v>
      </c>
      <c r="P1092" s="53">
        <v>31.645710353821915</v>
      </c>
      <c r="Q1092" s="53">
        <v>25.506309294319639</v>
      </c>
      <c r="R1092" s="53">
        <v>118.25678591475673</v>
      </c>
      <c r="S1092" s="53">
        <v>88.171659685203053</v>
      </c>
      <c r="T1092" s="53">
        <v>51.062392157806414</v>
      </c>
      <c r="U1092" s="53">
        <v>30.555454285688153</v>
      </c>
      <c r="V1092" s="54">
        <v>596.73571563073358</v>
      </c>
      <c r="W1092" s="54">
        <v>1295.6071612261476</v>
      </c>
      <c r="X1092" s="53">
        <v>143.52104018457328</v>
      </c>
      <c r="Y1092" s="55">
        <v>1438.424174146789</v>
      </c>
      <c r="Z1092" s="17" t="str">
        <f>SUBSTITUTE(SUBSTITUTE(SUBSTITUTE(SUBSTITUTE(IF(E1092="","",VLOOKUP(E1092,[1]Esquemas_NORM!$A$2:$H$126,8,FALSE)),"PROVINCIA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92" s="17" t="str">
        <f>IF($E1092="","",INDEX([1]Esquemas_NORM!$H$2:$K$126,MATCH($E1092,[1]Esquemas_NORM!$A$2:$A$126,0),MATCH(AA$4,[1]Esquemas_NORM!$H$1:$K$1,0)))</f>
        <v>A la fecha no ha conformado un EAT Región</v>
      </c>
      <c r="AB1092" s="17" t="str">
        <f>IF($E1092="","",INDEX([1]Esquemas_NORM!$H$2:$K$126,MATCH($E1092,[1]Esquemas_NORM!$A$2:$A$126,0),MATCH(AB$4,[1]Esquemas_NORM!$H$1:$K$1,0)))</f>
        <v>A la fecha no ha conformado un EAT Área Metropolitana</v>
      </c>
      <c r="AC1092" s="17" t="str">
        <f>IF($E1092="","",INDEX([1]Esquemas_NORM!$H$2:$K$126,MATCH($E1092,[1]Esquemas_NORM!$A$2:$A$126,0),MATCH(AC$4,[1]Esquemas_NORM!$H$1:$K$1,0)))</f>
        <v>MUNICIPIOS ASOCIADOS DEL ALTIPLANO DEL ORIENTE ANTIOQUEÑO - MASORA</v>
      </c>
      <c r="AD1092" s="23"/>
    </row>
    <row r="1093" spans="1:30" x14ac:dyDescent="0.25">
      <c r="A1093" s="51">
        <v>2023</v>
      </c>
      <c r="B1093" s="52" t="s">
        <v>36</v>
      </c>
      <c r="C1093" s="52" t="s">
        <v>200</v>
      </c>
      <c r="D1093" s="52" t="s">
        <v>205</v>
      </c>
      <c r="E1093" s="52" t="s">
        <v>228</v>
      </c>
      <c r="F1093" s="52" t="s">
        <v>203</v>
      </c>
      <c r="G1093" s="52" t="s">
        <v>229</v>
      </c>
      <c r="H1093" s="53">
        <v>3.9229661113844521</v>
      </c>
      <c r="I1093" s="53">
        <v>0</v>
      </c>
      <c r="J1093" s="54">
        <v>3.9229661113844521</v>
      </c>
      <c r="K1093" s="53">
        <v>11.12212294624927</v>
      </c>
      <c r="L1093" s="53">
        <v>9.8820430800280228</v>
      </c>
      <c r="M1093" s="54">
        <v>21.004166026277293</v>
      </c>
      <c r="N1093" s="53">
        <v>19.014836770535279</v>
      </c>
      <c r="O1093" s="53">
        <v>143.00351567712175</v>
      </c>
      <c r="P1093" s="53">
        <v>16.151009920383824</v>
      </c>
      <c r="Q1093" s="53">
        <v>11.180370184200957</v>
      </c>
      <c r="R1093" s="53">
        <v>103.35842257577889</v>
      </c>
      <c r="S1093" s="53">
        <v>52.05655061547067</v>
      </c>
      <c r="T1093" s="53">
        <v>60.50381236068754</v>
      </c>
      <c r="U1093" s="53">
        <v>20.790729360212925</v>
      </c>
      <c r="V1093" s="54">
        <v>426.05924746439189</v>
      </c>
      <c r="W1093" s="54">
        <v>441.72196334697423</v>
      </c>
      <c r="X1093" s="53">
        <v>48.931803982874001</v>
      </c>
      <c r="Y1093" s="55">
        <v>490.41373754722548</v>
      </c>
      <c r="Z1093" s="17" t="str">
        <f>SUBSTITUTE(SUBSTITUTE(SUBSTITUTE(SUBSTITUTE(IF(E1093="","",VLOOKUP(E1093,[1]Esquemas_NORM!$A$2:$H$126,8,FALSE)),"PROVINCIA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093" s="17" t="str">
        <f>IF($E1093="","",INDEX([1]Esquemas_NORM!$H$2:$K$126,MATCH($E1093,[1]Esquemas_NORM!$A$2:$A$126,0),MATCH(AA$4,[1]Esquemas_NORM!$H$1:$K$1,0)))</f>
        <v>A la fecha no ha conformado un EAT Región</v>
      </c>
      <c r="AB1093" s="17" t="str">
        <f>IF($E1093="","",INDEX([1]Esquemas_NORM!$H$2:$K$126,MATCH($E1093,[1]Esquemas_NORM!$A$2:$A$126,0),MATCH(AB$4,[1]Esquemas_NORM!$H$1:$K$1,0)))</f>
        <v>A la fecha no ha conformado un EAT Área Metropolitana</v>
      </c>
      <c r="AC1093" s="17" t="str">
        <f>IF($E1093="","",INDEX([1]Esquemas_NORM!$H$2:$K$126,MATCH($E1093,[1]Esquemas_NORM!$A$2:$A$126,0),MATCH(AC$4,[1]Esquemas_NORM!$H$1:$K$1,0)))</f>
        <v>A la fecha no ha conformado un EAT asociación - unión</v>
      </c>
      <c r="AD1093" s="23"/>
    </row>
    <row r="1094" spans="1:30" x14ac:dyDescent="0.25">
      <c r="A1094" s="51">
        <v>2023</v>
      </c>
      <c r="B1094" s="52" t="s">
        <v>36</v>
      </c>
      <c r="C1094" s="52" t="s">
        <v>200</v>
      </c>
      <c r="D1094" s="52" t="s">
        <v>215</v>
      </c>
      <c r="E1094" s="52" t="s">
        <v>230</v>
      </c>
      <c r="F1094" s="52" t="s">
        <v>203</v>
      </c>
      <c r="G1094" s="52" t="s">
        <v>231</v>
      </c>
      <c r="H1094" s="53">
        <v>57.204405752947054</v>
      </c>
      <c r="I1094" s="53">
        <v>0.10468830245868851</v>
      </c>
      <c r="J1094" s="54">
        <v>57.309094055405744</v>
      </c>
      <c r="K1094" s="53">
        <v>66.486229587659352</v>
      </c>
      <c r="L1094" s="53">
        <v>26.381114184014177</v>
      </c>
      <c r="M1094" s="54">
        <v>92.867343771673532</v>
      </c>
      <c r="N1094" s="53">
        <v>48.264350997081188</v>
      </c>
      <c r="O1094" s="53">
        <v>192.4673628167975</v>
      </c>
      <c r="P1094" s="53">
        <v>57.134934830557256</v>
      </c>
      <c r="Q1094" s="53">
        <v>59.701576787411987</v>
      </c>
      <c r="R1094" s="53">
        <v>149.86439501166134</v>
      </c>
      <c r="S1094" s="53">
        <v>102.09553763125351</v>
      </c>
      <c r="T1094" s="53">
        <v>89.13437431560331</v>
      </c>
      <c r="U1094" s="53">
        <v>49.029084207704599</v>
      </c>
      <c r="V1094" s="54">
        <v>747.6916165980706</v>
      </c>
      <c r="W1094" s="54">
        <v>889.87777872776769</v>
      </c>
      <c r="X1094" s="53">
        <v>98.576318703956815</v>
      </c>
      <c r="Y1094" s="55">
        <v>987.97054173942695</v>
      </c>
      <c r="Z1094" s="17" t="str">
        <f>SUBSTITUTE(SUBSTITUTE(SUBSTITUTE(SUBSTITUTE(IF(E1094="","",VLOOKUP(E1094,[1]Esquemas_NORM!$A$2:$H$126,8,FALSE)),"PROVINCIA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94" s="17" t="str">
        <f>IF($E1094="","",INDEX([1]Esquemas_NORM!$H$2:$K$126,MATCH($E1094,[1]Esquemas_NORM!$A$2:$A$126,0),MATCH(AA$4,[1]Esquemas_NORM!$H$1:$K$1,0)))</f>
        <v>Región de Planeación y Gestión Aeroportuaria de Oriente</v>
      </c>
      <c r="AB1094" s="17" t="str">
        <f>IF($E1094="","",INDEX([1]Esquemas_NORM!$H$2:$K$126,MATCH($E1094,[1]Esquemas_NORM!$A$2:$A$126,0),MATCH(AB$4,[1]Esquemas_NORM!$H$1:$K$1,0)))</f>
        <v>A la fecha no ha conformado un EAT Área Metropolitana</v>
      </c>
      <c r="AC1094" s="17" t="str">
        <f>IF($E1094="","",INDEX([1]Esquemas_NORM!$H$2:$K$126,MATCH($E1094,[1]Esquemas_NORM!$A$2:$A$126,0),MATCH(AC$4,[1]Esquemas_NORM!$H$1:$K$1,0)))</f>
        <v>MUNICIPIOS ASOCIADOS DEL ALTIPLANO DEL ORIENTE ANTIOQUEÑO - MASORA</v>
      </c>
      <c r="AD1094" s="23"/>
    </row>
    <row r="1095" spans="1:30" x14ac:dyDescent="0.25">
      <c r="A1095" s="51">
        <v>2023</v>
      </c>
      <c r="B1095" s="52" t="s">
        <v>36</v>
      </c>
      <c r="C1095" s="52" t="s">
        <v>200</v>
      </c>
      <c r="D1095" s="52" t="s">
        <v>215</v>
      </c>
      <c r="E1095" s="52" t="s">
        <v>232</v>
      </c>
      <c r="F1095" s="52" t="s">
        <v>203</v>
      </c>
      <c r="G1095" s="52" t="s">
        <v>233</v>
      </c>
      <c r="H1095" s="53">
        <v>54.591420594908605</v>
      </c>
      <c r="I1095" s="53">
        <v>3.103971049740134E-2</v>
      </c>
      <c r="J1095" s="54">
        <v>54.622460305406008</v>
      </c>
      <c r="K1095" s="53">
        <v>24.478569653808552</v>
      </c>
      <c r="L1095" s="53">
        <v>8.870823464668053</v>
      </c>
      <c r="M1095" s="54">
        <v>33.349393118476605</v>
      </c>
      <c r="N1095" s="53">
        <v>12.197450663872845</v>
      </c>
      <c r="O1095" s="53">
        <v>57.031418867802117</v>
      </c>
      <c r="P1095" s="53">
        <v>10.210494135189592</v>
      </c>
      <c r="Q1095" s="53">
        <v>15.876313059623191</v>
      </c>
      <c r="R1095" s="53">
        <v>32.900949798449858</v>
      </c>
      <c r="S1095" s="53">
        <v>31.014468630067466</v>
      </c>
      <c r="T1095" s="53">
        <v>40.522642721114785</v>
      </c>
      <c r="U1095" s="53">
        <v>20.005577924683433</v>
      </c>
      <c r="V1095" s="54">
        <v>219.75931580080325</v>
      </c>
      <c r="W1095" s="54">
        <v>326.13543711032554</v>
      </c>
      <c r="X1095" s="53">
        <v>36.127692541343563</v>
      </c>
      <c r="Y1095" s="55">
        <v>362.08590908178292</v>
      </c>
      <c r="Z1095" s="17" t="str">
        <f>SUBSTITUTE(SUBSTITUTE(SUBSTITUTE(SUBSTITUTE(IF(E1095="","",VLOOKUP(E1095,[1]Esquemas_NORM!$A$2:$H$126,8,FALSE)),"PROVINCIA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095" s="17" t="str">
        <f>IF($E1095="","",INDEX([1]Esquemas_NORM!$H$2:$K$126,MATCH($E1095,[1]Esquemas_NORM!$A$2:$A$126,0),MATCH(AA$4,[1]Esquemas_NORM!$H$1:$K$1,0)))</f>
        <v>Región de Planeación y Gestión Aeroportuaria de Oriente</v>
      </c>
      <c r="AB1095" s="17" t="str">
        <f>IF($E1095="","",INDEX([1]Esquemas_NORM!$H$2:$K$126,MATCH($E1095,[1]Esquemas_NORM!$A$2:$A$126,0),MATCH(AB$4,[1]Esquemas_NORM!$H$1:$K$1,0)))</f>
        <v>A la fecha no ha conformado un EAT Área Metropolitana</v>
      </c>
      <c r="AC1095" s="17" t="str">
        <f>IF($E1095="","",INDEX([1]Esquemas_NORM!$H$2:$K$126,MATCH($E1095,[1]Esquemas_NORM!$A$2:$A$126,0),MATCH(AC$4,[1]Esquemas_NORM!$H$1:$K$1,0)))</f>
        <v>MUNICIPIOS ASOCIADOS DEL ALTIPLANO DEL ORIENTE ANTIOQUEÑO - MASORA</v>
      </c>
      <c r="AD1095" s="23"/>
    </row>
    <row r="1096" spans="1:30" x14ac:dyDescent="0.25">
      <c r="A1096" s="51">
        <v>2023</v>
      </c>
      <c r="B1096" s="52" t="s">
        <v>36</v>
      </c>
      <c r="C1096" s="52" t="s">
        <v>200</v>
      </c>
      <c r="D1096" s="52" t="s">
        <v>215</v>
      </c>
      <c r="E1096" s="52" t="s">
        <v>234</v>
      </c>
      <c r="F1096" s="52" t="s">
        <v>203</v>
      </c>
      <c r="G1096" s="52" t="s">
        <v>235</v>
      </c>
      <c r="H1096" s="53">
        <v>187.05768982241275</v>
      </c>
      <c r="I1096" s="53">
        <v>0</v>
      </c>
      <c r="J1096" s="54">
        <v>187.05768982241275</v>
      </c>
      <c r="K1096" s="53">
        <v>453.23648292873088</v>
      </c>
      <c r="L1096" s="53">
        <v>45.715346205102222</v>
      </c>
      <c r="M1096" s="54">
        <v>498.95182913383309</v>
      </c>
      <c r="N1096" s="53">
        <v>55.599212187045438</v>
      </c>
      <c r="O1096" s="53">
        <v>129.65643814530645</v>
      </c>
      <c r="P1096" s="53">
        <v>37.78630184492566</v>
      </c>
      <c r="Q1096" s="53">
        <v>37.947985234344536</v>
      </c>
      <c r="R1096" s="53">
        <v>102.0436392254435</v>
      </c>
      <c r="S1096" s="53">
        <v>103.84411889500898</v>
      </c>
      <c r="T1096" s="53">
        <v>122.51510646177302</v>
      </c>
      <c r="U1096" s="53">
        <v>47.095238807923657</v>
      </c>
      <c r="V1096" s="54">
        <v>636.48804080177126</v>
      </c>
      <c r="W1096" s="54">
        <v>1356.3029823027082</v>
      </c>
      <c r="X1096" s="53">
        <v>150.2446271147179</v>
      </c>
      <c r="Y1096" s="55">
        <v>1505.8106003098251</v>
      </c>
      <c r="Z1096" s="17" t="str">
        <f>SUBSTITUTE(SUBSTITUTE(SUBSTITUTE(SUBSTITUTE(IF(E1096="","",VLOOKUP(E1096,[1]Esquemas_NORM!$A$2:$H$126,8,FALSE)),"PROVINCIA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096" s="17" t="str">
        <f>IF($E1096="","",INDEX([1]Esquemas_NORM!$H$2:$K$126,MATCH($E1096,[1]Esquemas_NORM!$A$2:$A$126,0),MATCH(AA$4,[1]Esquemas_NORM!$H$1:$K$1,0)))</f>
        <v>A la fecha no ha conformado un EAT Región</v>
      </c>
      <c r="AB1096" s="17" t="str">
        <f>IF($E1096="","",INDEX([1]Esquemas_NORM!$H$2:$K$126,MATCH($E1096,[1]Esquemas_NORM!$A$2:$A$126,0),MATCH(AB$4,[1]Esquemas_NORM!$H$1:$K$1,0)))</f>
        <v>A la fecha no ha conformado un EAT Área Metropolitana</v>
      </c>
      <c r="AC1096" s="17" t="str">
        <f>IF($E1096="","",INDEX([1]Esquemas_NORM!$H$2:$K$126,MATCH($E1096,[1]Esquemas_NORM!$A$2:$A$126,0),MATCH(AC$4,[1]Esquemas_NORM!$H$1:$K$1,0)))</f>
        <v>MUNICIPIOS ASOCIADOS DEL ALTIPLANO DEL ORIENTE ANTIOQUEÑO - MASORA</v>
      </c>
      <c r="AD1096" s="23"/>
    </row>
    <row r="1097" spans="1:30" x14ac:dyDescent="0.25">
      <c r="A1097" s="51">
        <v>2023</v>
      </c>
      <c r="B1097" s="52" t="s">
        <v>36</v>
      </c>
      <c r="C1097" s="52" t="s">
        <v>200</v>
      </c>
      <c r="D1097" s="52" t="s">
        <v>201</v>
      </c>
      <c r="E1097" s="52" t="s">
        <v>236</v>
      </c>
      <c r="F1097" s="52" t="s">
        <v>203</v>
      </c>
      <c r="G1097" s="52" t="s">
        <v>237</v>
      </c>
      <c r="H1097" s="53">
        <v>19.386523521904586</v>
      </c>
      <c r="I1097" s="53">
        <v>0</v>
      </c>
      <c r="J1097" s="54">
        <v>19.386523521904586</v>
      </c>
      <c r="K1097" s="53">
        <v>5.2451201170080211</v>
      </c>
      <c r="L1097" s="53">
        <v>0.35454134521185837</v>
      </c>
      <c r="M1097" s="54">
        <v>5.5996614622198795</v>
      </c>
      <c r="N1097" s="53">
        <v>1.6620576816528667</v>
      </c>
      <c r="O1097" s="53">
        <v>11.7520948716208</v>
      </c>
      <c r="P1097" s="53">
        <v>4.5595132186359413</v>
      </c>
      <c r="Q1097" s="53">
        <v>4.3493740060613622</v>
      </c>
      <c r="R1097" s="53">
        <v>11.6262828750042</v>
      </c>
      <c r="S1097" s="53">
        <v>9.289203126401766</v>
      </c>
      <c r="T1097" s="53">
        <v>22.8241094907596</v>
      </c>
      <c r="U1097" s="53">
        <v>6.4864904970636834</v>
      </c>
      <c r="V1097" s="54">
        <v>72.549125767200223</v>
      </c>
      <c r="W1097" s="54">
        <v>102.41211311992504</v>
      </c>
      <c r="X1097" s="53">
        <v>11.344714233107126</v>
      </c>
      <c r="Y1097" s="55">
        <v>113.70117705875202</v>
      </c>
      <c r="Z1097" s="17" t="str">
        <f>SUBSTITUTE(SUBSTITUTE(SUBSTITUTE(SUBSTITUTE(IF(E1097="","",VLOOKUP(E1097,[1]Esquemas_NORM!$A$2:$H$126,8,FALSE)),"PROVINCIA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097" s="17" t="str">
        <f>IF($E1097="","",INDEX([1]Esquemas_NORM!$H$2:$K$126,MATCH($E1097,[1]Esquemas_NORM!$A$2:$A$126,0),MATCH(AA$4,[1]Esquemas_NORM!$H$1:$K$1,0)))</f>
        <v>A la fecha no ha conformado un EAT Región</v>
      </c>
      <c r="AB1097" s="17" t="str">
        <f>IF($E1097="","",INDEX([1]Esquemas_NORM!$H$2:$K$126,MATCH($E1097,[1]Esquemas_NORM!$A$2:$A$126,0),MATCH(AB$4,[1]Esquemas_NORM!$H$1:$K$1,0)))</f>
        <v>A la fecha no ha conformado un EAT Área Metropolitana</v>
      </c>
      <c r="AC1097" s="17" t="str">
        <f>IF($E1097="","",INDEX([1]Esquemas_NORM!$H$2:$K$126,MATCH($E1097,[1]Esquemas_NORM!$A$2:$A$126,0),MATCH(AC$4,[1]Esquemas_NORM!$H$1:$K$1,0)))</f>
        <v>MUNICIPIOS UNIDOS DEL SUR DE ANTIOQUIA - MUSA</v>
      </c>
      <c r="AD1097" s="23"/>
    </row>
    <row r="1098" spans="1:30" x14ac:dyDescent="0.25">
      <c r="A1098" s="51">
        <v>2023</v>
      </c>
      <c r="B1098" s="52" t="s">
        <v>36</v>
      </c>
      <c r="C1098" s="52" t="s">
        <v>200</v>
      </c>
      <c r="D1098" s="52" t="s">
        <v>215</v>
      </c>
      <c r="E1098" s="52" t="s">
        <v>238</v>
      </c>
      <c r="F1098" s="52" t="s">
        <v>203</v>
      </c>
      <c r="G1098" s="52" t="s">
        <v>239</v>
      </c>
      <c r="H1098" s="53">
        <v>44.195624991381258</v>
      </c>
      <c r="I1098" s="53">
        <v>0.50714474282048305</v>
      </c>
      <c r="J1098" s="54">
        <v>44.702769734201745</v>
      </c>
      <c r="K1098" s="53">
        <v>1321.2844018224989</v>
      </c>
      <c r="L1098" s="53">
        <v>434.58201862199564</v>
      </c>
      <c r="M1098" s="54">
        <v>1755.8664204444945</v>
      </c>
      <c r="N1098" s="53">
        <v>124.1182220189003</v>
      </c>
      <c r="O1098" s="53">
        <v>765.53648115447731</v>
      </c>
      <c r="P1098" s="53">
        <v>82.820060481681921</v>
      </c>
      <c r="Q1098" s="53">
        <v>114.00592925693286</v>
      </c>
      <c r="R1098" s="53">
        <v>238.67744018078329</v>
      </c>
      <c r="S1098" s="53">
        <v>274.66817342567396</v>
      </c>
      <c r="T1098" s="53">
        <v>260.28213565365593</v>
      </c>
      <c r="U1098" s="53">
        <v>85.660286310185995</v>
      </c>
      <c r="V1098" s="54">
        <v>1945.7687284822916</v>
      </c>
      <c r="W1098" s="54">
        <v>3618.7725335910327</v>
      </c>
      <c r="X1098" s="53">
        <v>400.86996564667896</v>
      </c>
      <c r="Y1098" s="55">
        <v>4017.6760740728473</v>
      </c>
      <c r="Z1098" s="17" t="str">
        <f>SUBSTITUTE(SUBSTITUTE(SUBSTITUTE(SUBSTITUTE(IF(E1098="","",VLOOKUP(E1098,[1]Esquemas_NORM!$A$2:$H$126,8,FALSE)),"PROVINCIA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098" s="17" t="str">
        <f>IF($E1098="","",INDEX([1]Esquemas_NORM!$H$2:$K$126,MATCH($E1098,[1]Esquemas_NORM!$A$2:$A$126,0),MATCH(AA$4,[1]Esquemas_NORM!$H$1:$K$1,0)))</f>
        <v>Región de Planeación y Gestión Aeroportuaria de Oriente</v>
      </c>
      <c r="AB1098" s="17" t="str">
        <f>IF($E1098="","",INDEX([1]Esquemas_NORM!$H$2:$K$126,MATCH($E1098,[1]Esquemas_NORM!$A$2:$A$126,0),MATCH(AB$4,[1]Esquemas_NORM!$H$1:$K$1,0)))</f>
        <v>A la fecha no ha conformado un EAT Área Metropolitana</v>
      </c>
      <c r="AC1098" s="17" t="str">
        <f>IF($E1098="","",INDEX([1]Esquemas_NORM!$H$2:$K$126,MATCH($E1098,[1]Esquemas_NORM!$A$2:$A$126,0),MATCH(AC$4,[1]Esquemas_NORM!$H$1:$K$1,0)))</f>
        <v>MUNICIPIOS ASOCIADOS DEL ALTIPLANO DEL ORIENTE ANTIOQUEÑO - MASORA</v>
      </c>
      <c r="AD1098" s="23"/>
    </row>
    <row r="1099" spans="1:30" x14ac:dyDescent="0.25">
      <c r="A1099" s="51">
        <v>2023</v>
      </c>
      <c r="B1099" s="52" t="s">
        <v>36</v>
      </c>
      <c r="C1099" s="52" t="s">
        <v>200</v>
      </c>
      <c r="D1099" s="52" t="s">
        <v>205</v>
      </c>
      <c r="E1099" s="52" t="s">
        <v>240</v>
      </c>
      <c r="F1099" s="52" t="s">
        <v>203</v>
      </c>
      <c r="G1099" s="52" t="s">
        <v>241</v>
      </c>
      <c r="H1099" s="53">
        <v>13.158876038839029</v>
      </c>
      <c r="I1099" s="53">
        <v>2.0990683129847354</v>
      </c>
      <c r="J1099" s="54">
        <v>15.257944351823765</v>
      </c>
      <c r="K1099" s="53">
        <v>15.664462393438727</v>
      </c>
      <c r="L1099" s="53">
        <v>27.326177849961535</v>
      </c>
      <c r="M1099" s="54">
        <v>42.990640243400264</v>
      </c>
      <c r="N1099" s="53">
        <v>554.77265064753567</v>
      </c>
      <c r="O1099" s="53">
        <v>17.41790450714953</v>
      </c>
      <c r="P1099" s="53">
        <v>5.1058386320279983</v>
      </c>
      <c r="Q1099" s="53">
        <v>3.91235400345799</v>
      </c>
      <c r="R1099" s="53">
        <v>10.957072439610476</v>
      </c>
      <c r="S1099" s="53">
        <v>37.789607776174847</v>
      </c>
      <c r="T1099" s="53">
        <v>25.651946427907081</v>
      </c>
      <c r="U1099" s="53">
        <v>6.6188339649846242</v>
      </c>
      <c r="V1099" s="54">
        <v>662.22620839884826</v>
      </c>
      <c r="W1099" s="54">
        <v>909.71972855473564</v>
      </c>
      <c r="X1099" s="53">
        <v>100.77431309890569</v>
      </c>
      <c r="Y1099" s="55">
        <v>1009.9997039326054</v>
      </c>
      <c r="Z1099" s="17" t="str">
        <f>SUBSTITUTE(SUBSTITUTE(SUBSTITUTE(SUBSTITUTE(IF(E1099="","",VLOOKUP(E1099,[1]Esquemas_NORM!$A$2:$H$126,8,FALSE)),"PROVINCIA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099" s="17" t="str">
        <f>IF($E1099="","",INDEX([1]Esquemas_NORM!$H$2:$K$126,MATCH($E1099,[1]Esquemas_NORM!$A$2:$A$126,0),MATCH(AA$4,[1]Esquemas_NORM!$H$1:$K$1,0)))</f>
        <v>A la fecha no ha conformado un EAT Región</v>
      </c>
      <c r="AB1099" s="17" t="str">
        <f>IF($E1099="","",INDEX([1]Esquemas_NORM!$H$2:$K$126,MATCH($E1099,[1]Esquemas_NORM!$A$2:$A$126,0),MATCH(AB$4,[1]Esquemas_NORM!$H$1:$K$1,0)))</f>
        <v>A la fecha no ha conformado un EAT Área Metropolitana</v>
      </c>
      <c r="AC1099" s="17" t="str">
        <f>IF($E1099="","",INDEX([1]Esquemas_NORM!$H$2:$K$126,MATCH($E1099,[1]Esquemas_NORM!$A$2:$A$126,0),MATCH(AC$4,[1]Esquemas_NORM!$H$1:$K$1,0)))</f>
        <v>A la fecha no ha conformado un EAT asociación - unión</v>
      </c>
      <c r="AD1099" s="23"/>
    </row>
    <row r="1100" spans="1:30" x14ac:dyDescent="0.25">
      <c r="A1100" s="51">
        <v>2023</v>
      </c>
      <c r="B1100" s="52" t="s">
        <v>36</v>
      </c>
      <c r="C1100" s="52" t="s">
        <v>200</v>
      </c>
      <c r="D1100" s="52" t="s">
        <v>210</v>
      </c>
      <c r="E1100" s="52" t="s">
        <v>242</v>
      </c>
      <c r="F1100" s="52" t="s">
        <v>203</v>
      </c>
      <c r="G1100" s="52" t="s">
        <v>243</v>
      </c>
      <c r="H1100" s="53">
        <v>5.6304957916761413</v>
      </c>
      <c r="I1100" s="53">
        <v>0</v>
      </c>
      <c r="J1100" s="54">
        <v>5.6304957916761413</v>
      </c>
      <c r="K1100" s="53">
        <v>0.43530582731561868</v>
      </c>
      <c r="L1100" s="53">
        <v>2.4614084480669614</v>
      </c>
      <c r="M1100" s="54">
        <v>2.8967142753825801</v>
      </c>
      <c r="N1100" s="53">
        <v>17.580794896988237</v>
      </c>
      <c r="O1100" s="53">
        <v>4.8140966163918479</v>
      </c>
      <c r="P1100" s="53">
        <v>1.0076497971246774</v>
      </c>
      <c r="Q1100" s="53">
        <v>0.78505441069101467</v>
      </c>
      <c r="R1100" s="53">
        <v>2.9892444787778762</v>
      </c>
      <c r="S1100" s="53">
        <v>3.0438372165417373</v>
      </c>
      <c r="T1100" s="53">
        <v>4.6343939899941491</v>
      </c>
      <c r="U1100" s="53">
        <v>2.0440002417777365</v>
      </c>
      <c r="V1100" s="54">
        <v>36.899071648287283</v>
      </c>
      <c r="W1100" s="54">
        <v>53.144626060539764</v>
      </c>
      <c r="X1100" s="53">
        <v>5.8871023877426207</v>
      </c>
      <c r="Y1100" s="55">
        <v>59.002849890955787</v>
      </c>
      <c r="Z1100" s="17" t="str">
        <f>SUBSTITUTE(SUBSTITUTE(SUBSTITUTE(SUBSTITUTE(IF(E1100="","",VLOOKUP(E1100,[1]Esquemas_NORM!$A$2:$H$126,8,FALSE)),"PROVINCIA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100" s="17" t="str">
        <f>IF($E1100="","",INDEX([1]Esquemas_NORM!$H$2:$K$126,MATCH($E1100,[1]Esquemas_NORM!$A$2:$A$126,0),MATCH(AA$4,[1]Esquemas_NORM!$H$1:$K$1,0)))</f>
        <v>A la fecha no ha conformado un EAT Región</v>
      </c>
      <c r="AB1100" s="17" t="str">
        <f>IF($E1100="","",INDEX([1]Esquemas_NORM!$H$2:$K$126,MATCH($E1100,[1]Esquemas_NORM!$A$2:$A$126,0),MATCH(AB$4,[1]Esquemas_NORM!$H$1:$K$1,0)))</f>
        <v>A la fecha no ha conformado un EAT Área Metropolitana</v>
      </c>
      <c r="AC1100" s="17" t="str">
        <f>IF($E1100="","",INDEX([1]Esquemas_NORM!$H$2:$K$126,MATCH($E1100,[1]Esquemas_NORM!$A$2:$A$126,0),MATCH(AC$4,[1]Esquemas_NORM!$H$1:$K$1,0)))</f>
        <v>A la fecha no ha conformado un EAT asociación - unión</v>
      </c>
      <c r="AD1100" s="23"/>
    </row>
    <row r="1101" spans="1:30" x14ac:dyDescent="0.25">
      <c r="A1101" s="51">
        <v>2023</v>
      </c>
      <c r="B1101" s="52" t="s">
        <v>36</v>
      </c>
      <c r="C1101" s="52" t="s">
        <v>200</v>
      </c>
      <c r="D1101" s="52" t="s">
        <v>210</v>
      </c>
      <c r="E1101" s="52" t="s">
        <v>244</v>
      </c>
      <c r="F1101" s="52" t="s">
        <v>203</v>
      </c>
      <c r="G1101" s="52" t="s">
        <v>245</v>
      </c>
      <c r="H1101" s="53">
        <v>6.3965392737806814</v>
      </c>
      <c r="I1101" s="53">
        <v>0.33197050188951155</v>
      </c>
      <c r="J1101" s="54">
        <v>6.7285097756701928</v>
      </c>
      <c r="K1101" s="53">
        <v>2.9433657339797494</v>
      </c>
      <c r="L1101" s="53">
        <v>3.5144445489962473</v>
      </c>
      <c r="M1101" s="54">
        <v>6.4578102829759967</v>
      </c>
      <c r="N1101" s="53">
        <v>2.9303076782986621</v>
      </c>
      <c r="O1101" s="53">
        <v>33.612561007501625</v>
      </c>
      <c r="P1101" s="53">
        <v>5.6125018577865946</v>
      </c>
      <c r="Q1101" s="53">
        <v>4.3287173692001604</v>
      </c>
      <c r="R1101" s="53">
        <v>10.354666452942872</v>
      </c>
      <c r="S1101" s="53">
        <v>14.279728614821018</v>
      </c>
      <c r="T1101" s="53">
        <v>24.149802040183211</v>
      </c>
      <c r="U1101" s="53">
        <v>8.3041183127550831</v>
      </c>
      <c r="V1101" s="54">
        <v>103.57240333348922</v>
      </c>
      <c r="W1101" s="54">
        <v>117.32646901143538</v>
      </c>
      <c r="X1101" s="53">
        <v>12.99685381313315</v>
      </c>
      <c r="Y1101" s="55">
        <v>130.25956813453828</v>
      </c>
      <c r="Z1101" s="17" t="str">
        <f>SUBSTITUTE(SUBSTITUTE(SUBSTITUTE(SUBSTITUTE(IF(E1101="","",VLOOKUP(E1101,[1]Esquemas_NORM!$A$2:$H$126,8,FALSE)),"PROVINCIA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101" s="17" t="str">
        <f>IF($E1101="","",INDEX([1]Esquemas_NORM!$H$2:$K$126,MATCH($E1101,[1]Esquemas_NORM!$A$2:$A$126,0),MATCH(AA$4,[1]Esquemas_NORM!$H$1:$K$1,0)))</f>
        <v>A la fecha no ha conformado un EAT Región</v>
      </c>
      <c r="AB1101" s="17" t="str">
        <f>IF($E1101="","",INDEX([1]Esquemas_NORM!$H$2:$K$126,MATCH($E1101,[1]Esquemas_NORM!$A$2:$A$126,0),MATCH(AB$4,[1]Esquemas_NORM!$H$1:$K$1,0)))</f>
        <v>A la fecha no ha conformado un EAT Área Metropolitana</v>
      </c>
      <c r="AC1101" s="17" t="str">
        <f>IF($E1101="","",INDEX([1]Esquemas_NORM!$H$2:$K$126,MATCH($E1101,[1]Esquemas_NORM!$A$2:$A$126,0),MATCH(AC$4,[1]Esquemas_NORM!$H$1:$K$1,0)))</f>
        <v>A la fecha no ha conformado un EAT asociación - unión</v>
      </c>
      <c r="AD1101" s="23"/>
    </row>
    <row r="1102" spans="1:30" x14ac:dyDescent="0.25">
      <c r="A1102" s="51">
        <v>2023</v>
      </c>
      <c r="B1102" s="52" t="s">
        <v>36</v>
      </c>
      <c r="C1102" s="52" t="s">
        <v>200</v>
      </c>
      <c r="D1102" s="52" t="s">
        <v>205</v>
      </c>
      <c r="E1102" s="52" t="s">
        <v>246</v>
      </c>
      <c r="F1102" s="52" t="s">
        <v>203</v>
      </c>
      <c r="G1102" s="52" t="s">
        <v>247</v>
      </c>
      <c r="H1102" s="53">
        <v>6.3851305492111479</v>
      </c>
      <c r="I1102" s="53">
        <v>3.9729768362004925E-2</v>
      </c>
      <c r="J1102" s="54">
        <v>6.4248603175731525</v>
      </c>
      <c r="K1102" s="53">
        <v>2.3725084503952614</v>
      </c>
      <c r="L1102" s="53">
        <v>4.7837648521029319</v>
      </c>
      <c r="M1102" s="54">
        <v>7.1562733024981933</v>
      </c>
      <c r="N1102" s="53">
        <v>67.528327711811613</v>
      </c>
      <c r="O1102" s="53">
        <v>3.9955208820636665</v>
      </c>
      <c r="P1102" s="53">
        <v>0.95493343172211587</v>
      </c>
      <c r="Q1102" s="53">
        <v>0.84868555864211492</v>
      </c>
      <c r="R1102" s="53">
        <v>2.8247689388216162</v>
      </c>
      <c r="S1102" s="53">
        <v>5.3692645268593022</v>
      </c>
      <c r="T1102" s="53">
        <v>3.8717023844236289</v>
      </c>
      <c r="U1102" s="53">
        <v>1.6985997340836683</v>
      </c>
      <c r="V1102" s="54">
        <v>87.091803168427731</v>
      </c>
      <c r="W1102" s="54">
        <v>125.54291233238148</v>
      </c>
      <c r="X1102" s="53">
        <v>13.907031317032539</v>
      </c>
      <c r="Y1102" s="55">
        <v>139.38172418002506</v>
      </c>
      <c r="Z1102" s="17" t="str">
        <f>SUBSTITUTE(SUBSTITUTE(SUBSTITUTE(SUBSTITUTE(IF(E1102="","",VLOOKUP(E1102,[1]Esquemas_NORM!$A$2:$H$126,8,FALSE)),"PROVINCIA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102" s="17" t="str">
        <f>IF($E1102="","",INDEX([1]Esquemas_NORM!$H$2:$K$126,MATCH($E1102,[1]Esquemas_NORM!$A$2:$A$126,0),MATCH(AA$4,[1]Esquemas_NORM!$H$1:$K$1,0)))</f>
        <v>A la fecha no ha conformado un EAT Región</v>
      </c>
      <c r="AB1102" s="17" t="str">
        <f>IF($E1102="","",INDEX([1]Esquemas_NORM!$H$2:$K$126,MATCH($E1102,[1]Esquemas_NORM!$A$2:$A$126,0),MATCH(AB$4,[1]Esquemas_NORM!$H$1:$K$1,0)))</f>
        <v>A la fecha no ha conformado un EAT Área Metropolitana</v>
      </c>
      <c r="AC1102" s="17" t="str">
        <f>IF($E1102="","",INDEX([1]Esquemas_NORM!$H$2:$K$126,MATCH($E1102,[1]Esquemas_NORM!$A$2:$A$126,0),MATCH(AC$4,[1]Esquemas_NORM!$H$1:$K$1,0)))</f>
        <v>A la fecha no ha conformado un EAT asociación - unión</v>
      </c>
      <c r="AD1102" s="23"/>
    </row>
    <row r="1103" spans="1:30" x14ac:dyDescent="0.25">
      <c r="A1103" s="51">
        <v>2023</v>
      </c>
      <c r="B1103" s="52" t="s">
        <v>36</v>
      </c>
      <c r="C1103" s="52" t="s">
        <v>200</v>
      </c>
      <c r="D1103" s="52" t="s">
        <v>215</v>
      </c>
      <c r="E1103" s="52" t="s">
        <v>248</v>
      </c>
      <c r="F1103" s="52" t="s">
        <v>203</v>
      </c>
      <c r="G1103" s="52" t="s">
        <v>249</v>
      </c>
      <c r="H1103" s="53">
        <v>114.92946383235382</v>
      </c>
      <c r="I1103" s="53">
        <v>0</v>
      </c>
      <c r="J1103" s="54">
        <v>114.92946383235382</v>
      </c>
      <c r="K1103" s="53">
        <v>10.207852485701364</v>
      </c>
      <c r="L1103" s="53">
        <v>8.6413728329156516</v>
      </c>
      <c r="M1103" s="54">
        <v>18.849225318617016</v>
      </c>
      <c r="N1103" s="53">
        <v>4.3955357276140443</v>
      </c>
      <c r="O1103" s="53">
        <v>49.920270082538536</v>
      </c>
      <c r="P1103" s="53">
        <v>7.1997227172922367</v>
      </c>
      <c r="Q1103" s="53">
        <v>7.0798013782944782</v>
      </c>
      <c r="R1103" s="53">
        <v>43.601065792524587</v>
      </c>
      <c r="S1103" s="53">
        <v>22.607865749655414</v>
      </c>
      <c r="T1103" s="53">
        <v>33.879381702305558</v>
      </c>
      <c r="U1103" s="53">
        <v>14.679282156677509</v>
      </c>
      <c r="V1103" s="54">
        <v>183.36292530690238</v>
      </c>
      <c r="W1103" s="54">
        <v>367.28303159638097</v>
      </c>
      <c r="X1103" s="53">
        <v>40.685822303582881</v>
      </c>
      <c r="Y1103" s="55">
        <v>407.76927390722801</v>
      </c>
      <c r="Z1103" s="17" t="str">
        <f>SUBSTITUTE(SUBSTITUTE(SUBSTITUTE(SUBSTITUTE(IF(E1103="","",VLOOKUP(E1103,[1]Esquemas_NORM!$A$2:$H$126,8,FALSE)),"PROVINCIA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103" s="17" t="str">
        <f>IF($E1103="","",INDEX([1]Esquemas_NORM!$H$2:$K$126,MATCH($E1103,[1]Esquemas_NORM!$A$2:$A$126,0),MATCH(AA$4,[1]Esquemas_NORM!$H$1:$K$1,0)))</f>
        <v>A la fecha no ha conformado un EAT Región</v>
      </c>
      <c r="AB1103" s="17" t="str">
        <f>IF($E1103="","",INDEX([1]Esquemas_NORM!$H$2:$K$126,MATCH($E1103,[1]Esquemas_NORM!$A$2:$A$126,0),MATCH(AB$4,[1]Esquemas_NORM!$H$1:$K$1,0)))</f>
        <v>A la fecha no ha conformado un EAT Área Metropolitana</v>
      </c>
      <c r="AC1103" s="17" t="str">
        <f>IF($E1103="","",INDEX([1]Esquemas_NORM!$H$2:$K$126,MATCH($E1103,[1]Esquemas_NORM!$A$2:$A$126,0),MATCH(AC$4,[1]Esquemas_NORM!$H$1:$K$1,0)))</f>
        <v>MUNICIPIOS ASOCIADOS DEL ALTIPLANO DEL ORIENTE ANTIOQUEÑO - MASORA</v>
      </c>
      <c r="AD1103" s="23"/>
    </row>
    <row r="1104" spans="1:30" x14ac:dyDescent="0.25">
      <c r="A1104" s="51">
        <v>2023</v>
      </c>
      <c r="B1104" s="52" t="s">
        <v>36</v>
      </c>
      <c r="C1104" s="52" t="s">
        <v>200</v>
      </c>
      <c r="D1104" s="52" t="s">
        <v>201</v>
      </c>
      <c r="E1104" s="52" t="s">
        <v>250</v>
      </c>
      <c r="F1104" s="52" t="s">
        <v>203</v>
      </c>
      <c r="G1104" s="52" t="s">
        <v>251</v>
      </c>
      <c r="H1104" s="53">
        <v>298.92213768737821</v>
      </c>
      <c r="I1104" s="53">
        <v>20.084304764162709</v>
      </c>
      <c r="J1104" s="54">
        <v>319.00644245154092</v>
      </c>
      <c r="K1104" s="53">
        <v>266.29348851437692</v>
      </c>
      <c r="L1104" s="53">
        <v>1.3337657173954991</v>
      </c>
      <c r="M1104" s="54">
        <v>267.62725423177244</v>
      </c>
      <c r="N1104" s="53">
        <v>54.441789677521811</v>
      </c>
      <c r="O1104" s="53">
        <v>47.017762850914089</v>
      </c>
      <c r="P1104" s="53">
        <v>16.209692163359446</v>
      </c>
      <c r="Q1104" s="53">
        <v>16.631438293696505</v>
      </c>
      <c r="R1104" s="53">
        <v>37.987548738649622</v>
      </c>
      <c r="S1104" s="53">
        <v>88.988819373406898</v>
      </c>
      <c r="T1104" s="53">
        <v>71.774597754191674</v>
      </c>
      <c r="U1104" s="53">
        <v>19.005659342302366</v>
      </c>
      <c r="V1104" s="54">
        <v>352.05730819404238</v>
      </c>
      <c r="W1104" s="54">
        <v>1080.2626052159878</v>
      </c>
      <c r="X1104" s="53">
        <v>119.66622091410366</v>
      </c>
      <c r="Y1104" s="55">
        <v>1199.3418161558923</v>
      </c>
      <c r="Z1104" s="17" t="str">
        <f>SUBSTITUTE(SUBSTITUTE(SUBSTITUTE(SUBSTITUTE(IF(E1104="","",VLOOKUP(E1104,[1]Esquemas_NORM!$A$2:$H$126,8,FALSE)),"PROVINCIA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104" s="17" t="str">
        <f>IF($E1104="","",INDEX([1]Esquemas_NORM!$H$2:$K$126,MATCH($E1104,[1]Esquemas_NORM!$A$2:$A$126,0),MATCH(AA$4,[1]Esquemas_NORM!$H$1:$K$1,0)))</f>
        <v>A la fecha no ha conformado un EAT Región</v>
      </c>
      <c r="AB1104" s="17" t="str">
        <f>IF($E1104="","",INDEX([1]Esquemas_NORM!$H$2:$K$126,MATCH($E1104,[1]Esquemas_NORM!$A$2:$A$126,0),MATCH(AB$4,[1]Esquemas_NORM!$H$1:$K$1,0)))</f>
        <v>A la fecha no ha conformado un EAT Área Metropolitana</v>
      </c>
      <c r="AC1104" s="17" t="str">
        <f>IF($E1104="","",INDEX([1]Esquemas_NORM!$H$2:$K$126,MATCH($E1104,[1]Esquemas_NORM!$A$2:$A$126,0),MATCH(AC$4,[1]Esquemas_NORM!$H$1:$K$1,0)))</f>
        <v>A la fecha no ha conformado un EAT asociación - unión</v>
      </c>
      <c r="AD1104" s="23"/>
    </row>
    <row r="1105" spans="1:30" x14ac:dyDescent="0.25">
      <c r="A1105" s="51">
        <v>2023</v>
      </c>
      <c r="B1105" s="52" t="s">
        <v>36</v>
      </c>
      <c r="C1105" s="52" t="s">
        <v>252</v>
      </c>
      <c r="D1105" s="52" t="s">
        <v>253</v>
      </c>
      <c r="E1105" s="52" t="s">
        <v>254</v>
      </c>
      <c r="F1105" s="52" t="s">
        <v>255</v>
      </c>
      <c r="G1105" s="52" t="s">
        <v>256</v>
      </c>
      <c r="H1105" s="53">
        <v>26.081734075980741</v>
      </c>
      <c r="I1105" s="53">
        <v>10.396565140588097</v>
      </c>
      <c r="J1105" s="54">
        <v>36.478299216568836</v>
      </c>
      <c r="K1105" s="53">
        <v>197.89565644246221</v>
      </c>
      <c r="L1105" s="53">
        <v>45.170778308947476</v>
      </c>
      <c r="M1105" s="54">
        <v>243.0664347514097</v>
      </c>
      <c r="N1105" s="53">
        <v>16.49448990243263</v>
      </c>
      <c r="O1105" s="53">
        <v>84.944174495008085</v>
      </c>
      <c r="P1105" s="53">
        <v>14.034269784127611</v>
      </c>
      <c r="Q1105" s="53">
        <v>12.862830716962915</v>
      </c>
      <c r="R1105" s="53">
        <v>34.684410037579568</v>
      </c>
      <c r="S1105" s="53">
        <v>40.446174472805787</v>
      </c>
      <c r="T1105" s="53">
        <v>36.54647935314938</v>
      </c>
      <c r="U1105" s="53">
        <v>20.392811007721075</v>
      </c>
      <c r="V1105" s="54">
        <v>260.40563976978706</v>
      </c>
      <c r="W1105" s="54">
        <v>534.61476191213683</v>
      </c>
      <c r="X1105" s="53">
        <v>59.222014993369491</v>
      </c>
      <c r="Y1105" s="55">
        <v>593.54626958249196</v>
      </c>
      <c r="Z1105" s="17" t="str">
        <f>SUBSTITUTE(SUBSTITUTE(SUBSTITUTE(SUBSTITUTE(IF(E1105="","",VLOOKUP(E1105,[1]Esquemas_NORM!$A$2:$H$126,8,FALSE)),"PROVINCIA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05" s="17" t="str">
        <f>IF($E1105="","",INDEX([1]Esquemas_NORM!$H$2:$K$126,MATCH($E1105,[1]Esquemas_NORM!$A$2:$A$126,0),MATCH(AA$4,[1]Esquemas_NORM!$H$1:$K$1,0)))</f>
        <v>A la fecha no ha conformado un EAT Región</v>
      </c>
      <c r="AB1105" s="17" t="str">
        <f>IF($E1105="","",INDEX([1]Esquemas_NORM!$H$2:$K$126,MATCH($E1105,[1]Esquemas_NORM!$A$2:$A$126,0),MATCH(AB$4,[1]Esquemas_NORM!$H$1:$K$1,0)))</f>
        <v>A la fecha no ha conformado un EAT Área Metropolitana</v>
      </c>
      <c r="AC1105" s="17" t="str">
        <f>IF($E1105="","",INDEX([1]Esquemas_NORM!$H$2:$K$126,MATCH($E1105,[1]Esquemas_NORM!$A$2:$A$126,0),MATCH(AC$4,[1]Esquemas_NORM!$H$1:$K$1,0)))</f>
        <v>A la fecha no ha conformado un EAT asociación - unión</v>
      </c>
      <c r="AD1105" s="23"/>
    </row>
    <row r="1106" spans="1:30" x14ac:dyDescent="0.25">
      <c r="A1106" s="51">
        <v>2023</v>
      </c>
      <c r="B1106" s="52" t="s">
        <v>36</v>
      </c>
      <c r="C1106" s="52" t="s">
        <v>252</v>
      </c>
      <c r="D1106" s="52" t="s">
        <v>257</v>
      </c>
      <c r="E1106" s="52" t="s">
        <v>258</v>
      </c>
      <c r="F1106" s="52" t="s">
        <v>255</v>
      </c>
      <c r="G1106" s="52" t="s">
        <v>259</v>
      </c>
      <c r="H1106" s="53">
        <v>58.502393245351406</v>
      </c>
      <c r="I1106" s="53">
        <v>21.825861054371465</v>
      </c>
      <c r="J1106" s="54">
        <v>80.328254299722872</v>
      </c>
      <c r="K1106" s="53">
        <v>26.532448130689801</v>
      </c>
      <c r="L1106" s="53">
        <v>30.38534632950395</v>
      </c>
      <c r="M1106" s="54">
        <v>56.917794460193747</v>
      </c>
      <c r="N1106" s="53">
        <v>15.961625784529884</v>
      </c>
      <c r="O1106" s="53">
        <v>90.084557400780923</v>
      </c>
      <c r="P1106" s="53">
        <v>20.513682234341712</v>
      </c>
      <c r="Q1106" s="53">
        <v>30.468962118982091</v>
      </c>
      <c r="R1106" s="53">
        <v>49.275424553727341</v>
      </c>
      <c r="S1106" s="53">
        <v>52.708281499745333</v>
      </c>
      <c r="T1106" s="53">
        <v>96.718544532403655</v>
      </c>
      <c r="U1106" s="53">
        <v>29.395568125091639</v>
      </c>
      <c r="V1106" s="54">
        <v>385.12664624960257</v>
      </c>
      <c r="W1106" s="54">
        <v>544.1008010957944</v>
      </c>
      <c r="X1106" s="53">
        <v>60.272832132712217</v>
      </c>
      <c r="Y1106" s="55">
        <v>604.07797123329522</v>
      </c>
      <c r="Z1106" s="17" t="str">
        <f>SUBSTITUTE(SUBSTITUTE(SUBSTITUTE(SUBSTITUTE(IF(E1106="","",VLOOKUP(E1106,[1]Esquemas_NORM!$A$2:$H$126,8,FALSE)),"PROVINCIA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106" s="17" t="str">
        <f>IF($E1106="","",INDEX([1]Esquemas_NORM!$H$2:$K$126,MATCH($E1106,[1]Esquemas_NORM!$A$2:$A$126,0),MATCH(AA$4,[1]Esquemas_NORM!$H$1:$K$1,0)))</f>
        <v>A la fecha no ha conformado un EAT Región</v>
      </c>
      <c r="AB1106" s="17" t="str">
        <f>IF($E1106="","",INDEX([1]Esquemas_NORM!$H$2:$K$126,MATCH($E1106,[1]Esquemas_NORM!$A$2:$A$126,0),MATCH(AB$4,[1]Esquemas_NORM!$H$1:$K$1,0)))</f>
        <v>A la fecha no ha conformado un EAT Área Metropolitana</v>
      </c>
      <c r="AC1106" s="17" t="str">
        <f>IF($E1106="","",INDEX([1]Esquemas_NORM!$H$2:$K$126,MATCH($E1106,[1]Esquemas_NORM!$A$2:$A$126,0),MATCH(AC$4,[1]Esquemas_NORM!$H$1:$K$1,0)))</f>
        <v>A la fecha no ha conformado un EAT asociación - unión</v>
      </c>
      <c r="AD1106" s="23"/>
    </row>
    <row r="1107" spans="1:30" x14ac:dyDescent="0.25">
      <c r="A1107" s="51">
        <v>2023</v>
      </c>
      <c r="B1107" s="52" t="s">
        <v>36</v>
      </c>
      <c r="C1107" s="52" t="s">
        <v>252</v>
      </c>
      <c r="D1107" s="52" t="s">
        <v>253</v>
      </c>
      <c r="E1107" s="52" t="s">
        <v>260</v>
      </c>
      <c r="F1107" s="52" t="s">
        <v>255</v>
      </c>
      <c r="G1107" s="52" t="s">
        <v>261</v>
      </c>
      <c r="H1107" s="53">
        <v>20.324947113962573</v>
      </c>
      <c r="I1107" s="53">
        <v>1.1812664609326173</v>
      </c>
      <c r="J1107" s="54">
        <v>21.506213574895192</v>
      </c>
      <c r="K1107" s="53">
        <v>3.92730327354188</v>
      </c>
      <c r="L1107" s="53">
        <v>0.3841448783636458</v>
      </c>
      <c r="M1107" s="54">
        <v>4.3114481519055259</v>
      </c>
      <c r="N1107" s="53">
        <v>3.167790132080941</v>
      </c>
      <c r="O1107" s="53">
        <v>10.22769408678516</v>
      </c>
      <c r="P1107" s="53">
        <v>3.2832921188114947</v>
      </c>
      <c r="Q1107" s="53">
        <v>1.9869137465347775</v>
      </c>
      <c r="R1107" s="53">
        <v>6.8474482752195041</v>
      </c>
      <c r="S1107" s="53">
        <v>7.3822459852428173</v>
      </c>
      <c r="T1107" s="53">
        <v>10.696344372158331</v>
      </c>
      <c r="U1107" s="53">
        <v>4.1348547610181683</v>
      </c>
      <c r="V1107" s="54">
        <v>47.726583477851193</v>
      </c>
      <c r="W1107" s="54">
        <v>82.80195061571213</v>
      </c>
      <c r="X1107" s="53">
        <v>9.1723961068858646</v>
      </c>
      <c r="Y1107" s="55">
        <v>91.929352504840367</v>
      </c>
      <c r="Z1107" s="17" t="str">
        <f>SUBSTITUTE(SUBSTITUTE(SUBSTITUTE(SUBSTITUTE(IF(E1107="","",VLOOKUP(E1107,[1]Esquemas_NORM!$A$2:$H$126,8,FALSE)),"PROVINCIA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07" s="17" t="str">
        <f>IF($E1107="","",INDEX([1]Esquemas_NORM!$H$2:$K$126,MATCH($E1107,[1]Esquemas_NORM!$A$2:$A$126,0),MATCH(AA$4,[1]Esquemas_NORM!$H$1:$K$1,0)))</f>
        <v>A la fecha no ha conformado un EAT Región</v>
      </c>
      <c r="AB1107" s="17" t="str">
        <f>IF($E1107="","",INDEX([1]Esquemas_NORM!$H$2:$K$126,MATCH($E1107,[1]Esquemas_NORM!$A$2:$A$126,0),MATCH(AB$4,[1]Esquemas_NORM!$H$1:$K$1,0)))</f>
        <v>A la fecha no ha conformado un EAT Área Metropolitana</v>
      </c>
      <c r="AC1107" s="17" t="str">
        <f>IF($E1107="","",INDEX([1]Esquemas_NORM!$H$2:$K$126,MATCH($E1107,[1]Esquemas_NORM!$A$2:$A$126,0),MATCH(AC$4,[1]Esquemas_NORM!$H$1:$K$1,0)))</f>
        <v>A la fecha no ha conformado un EAT asociación - unión</v>
      </c>
      <c r="AD1107" s="23"/>
    </row>
    <row r="1108" spans="1:30" x14ac:dyDescent="0.25">
      <c r="A1108" s="51">
        <v>2023</v>
      </c>
      <c r="B1108" s="52" t="s">
        <v>36</v>
      </c>
      <c r="C1108" s="52" t="s">
        <v>252</v>
      </c>
      <c r="D1108" s="52" t="s">
        <v>257</v>
      </c>
      <c r="E1108" s="52" t="s">
        <v>262</v>
      </c>
      <c r="F1108" s="52" t="s">
        <v>255</v>
      </c>
      <c r="G1108" s="52" t="s">
        <v>263</v>
      </c>
      <c r="H1108" s="53">
        <v>63.887826450349991</v>
      </c>
      <c r="I1108" s="53">
        <v>0</v>
      </c>
      <c r="J1108" s="54">
        <v>63.887826450349991</v>
      </c>
      <c r="K1108" s="53">
        <v>5.2069330526473365</v>
      </c>
      <c r="L1108" s="53">
        <v>4.1333770579604927</v>
      </c>
      <c r="M1108" s="54">
        <v>9.3403101106078292</v>
      </c>
      <c r="N1108" s="53">
        <v>3.2946751295872412</v>
      </c>
      <c r="O1108" s="53">
        <v>15.202838761344031</v>
      </c>
      <c r="P1108" s="53">
        <v>5.537338081307225</v>
      </c>
      <c r="Q1108" s="53">
        <v>4.4702234706674258</v>
      </c>
      <c r="R1108" s="53">
        <v>13.369933693095874</v>
      </c>
      <c r="S1108" s="53">
        <v>11.22673355831656</v>
      </c>
      <c r="T1108" s="53">
        <v>23.02919837235661</v>
      </c>
      <c r="U1108" s="53">
        <v>6.69943572069519</v>
      </c>
      <c r="V1108" s="54">
        <v>82.83037678737017</v>
      </c>
      <c r="W1108" s="54">
        <v>184.12540997558673</v>
      </c>
      <c r="X1108" s="53">
        <v>20.396514587894774</v>
      </c>
      <c r="Y1108" s="55">
        <v>204.42187162113419</v>
      </c>
      <c r="Z1108" s="17" t="str">
        <f>SUBSTITUTE(SUBSTITUTE(SUBSTITUTE(SUBSTITUTE(IF(E1108="","",VLOOKUP(E1108,[1]Esquemas_NORM!$A$2:$H$126,8,FALSE)),"PROVINCIA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108" s="17" t="str">
        <f>IF($E1108="","",INDEX([1]Esquemas_NORM!$H$2:$K$126,MATCH($E1108,[1]Esquemas_NORM!$A$2:$A$126,0),MATCH(AA$4,[1]Esquemas_NORM!$H$1:$K$1,0)))</f>
        <v>A la fecha no ha conformado un EAT Región</v>
      </c>
      <c r="AB1108" s="17" t="str">
        <f>IF($E1108="","",INDEX([1]Esquemas_NORM!$H$2:$K$126,MATCH($E1108,[1]Esquemas_NORM!$A$2:$A$126,0),MATCH(AB$4,[1]Esquemas_NORM!$H$1:$K$1,0)))</f>
        <v>A la fecha no ha conformado un EAT Área Metropolitana</v>
      </c>
      <c r="AC1108" s="17" t="str">
        <f>IF($E1108="","",INDEX([1]Esquemas_NORM!$H$2:$K$126,MATCH($E1108,[1]Esquemas_NORM!$A$2:$A$126,0),MATCH(AC$4,[1]Esquemas_NORM!$H$1:$K$1,0)))</f>
        <v>A la fecha no ha conformado un EAT asociación - unión</v>
      </c>
      <c r="AD1108" s="23"/>
    </row>
    <row r="1109" spans="1:30" x14ac:dyDescent="0.25">
      <c r="A1109" s="51">
        <v>2023</v>
      </c>
      <c r="B1109" s="52" t="s">
        <v>36</v>
      </c>
      <c r="C1109" s="52" t="s">
        <v>252</v>
      </c>
      <c r="D1109" s="52" t="s">
        <v>264</v>
      </c>
      <c r="E1109" s="52" t="s">
        <v>265</v>
      </c>
      <c r="F1109" s="52" t="s">
        <v>255</v>
      </c>
      <c r="G1109" s="52" t="s">
        <v>266</v>
      </c>
      <c r="H1109" s="53">
        <v>61.846983388265869</v>
      </c>
      <c r="I1109" s="53">
        <v>0</v>
      </c>
      <c r="J1109" s="54">
        <v>61.846983388265869</v>
      </c>
      <c r="K1109" s="53">
        <v>5.5778290881157311</v>
      </c>
      <c r="L1109" s="53">
        <v>5.6310283495992337</v>
      </c>
      <c r="M1109" s="54">
        <v>11.208857437714965</v>
      </c>
      <c r="N1109" s="53">
        <v>3.4715166918487732</v>
      </c>
      <c r="O1109" s="53">
        <v>22.763091974328844</v>
      </c>
      <c r="P1109" s="53">
        <v>6.9565170269364218</v>
      </c>
      <c r="Q1109" s="53">
        <v>8.0564845118788693</v>
      </c>
      <c r="R1109" s="53">
        <v>16.540114961607227</v>
      </c>
      <c r="S1109" s="53">
        <v>14.837396130078682</v>
      </c>
      <c r="T1109" s="53">
        <v>35.315566115612668</v>
      </c>
      <c r="U1109" s="53">
        <v>9.4769225770278815</v>
      </c>
      <c r="V1109" s="54">
        <v>117.41760998931937</v>
      </c>
      <c r="W1109" s="54">
        <v>215.28942609161075</v>
      </c>
      <c r="X1109" s="53">
        <v>23.848712247149987</v>
      </c>
      <c r="Y1109" s="55">
        <v>239.02115100637934</v>
      </c>
      <c r="Z1109" s="17" t="str">
        <f>SUBSTITUTE(SUBSTITUTE(SUBSTITUTE(SUBSTITUTE(IF(E1109="","",VLOOKUP(E1109,[1]Esquemas_NORM!$A$2:$H$126,8,FALSE)),"PROVINCIA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09" s="17" t="str">
        <f>IF($E1109="","",INDEX([1]Esquemas_NORM!$H$2:$K$126,MATCH($E1109,[1]Esquemas_NORM!$A$2:$A$126,0),MATCH(AA$4,[1]Esquemas_NORM!$H$1:$K$1,0)))</f>
        <v>A la fecha no ha conformado un EAT Región</v>
      </c>
      <c r="AB1109" s="17" t="str">
        <f>IF($E1109="","",INDEX([1]Esquemas_NORM!$H$2:$K$126,MATCH($E1109,[1]Esquemas_NORM!$A$2:$A$126,0),MATCH(AB$4,[1]Esquemas_NORM!$H$1:$K$1,0)))</f>
        <v>A la fecha no ha conformado un EAT Área Metropolitana</v>
      </c>
      <c r="AC1109" s="17" t="str">
        <f>IF($E1109="","",INDEX([1]Esquemas_NORM!$H$2:$K$126,MATCH($E1109,[1]Esquemas_NORM!$A$2:$A$126,0),MATCH(AC$4,[1]Esquemas_NORM!$H$1:$K$1,0)))</f>
        <v>A la fecha no ha conformado un EAT asociación - unión</v>
      </c>
      <c r="AD1109" s="23"/>
    </row>
    <row r="1110" spans="1:30" x14ac:dyDescent="0.25">
      <c r="A1110" s="51">
        <v>2023</v>
      </c>
      <c r="B1110" s="52" t="s">
        <v>36</v>
      </c>
      <c r="C1110" s="52" t="s">
        <v>252</v>
      </c>
      <c r="D1110" s="52" t="s">
        <v>267</v>
      </c>
      <c r="E1110" s="52" t="s">
        <v>268</v>
      </c>
      <c r="F1110" s="52" t="s">
        <v>255</v>
      </c>
      <c r="G1110" s="52" t="s">
        <v>269</v>
      </c>
      <c r="H1110" s="53">
        <v>15.875312913418528</v>
      </c>
      <c r="I1110" s="53">
        <v>0</v>
      </c>
      <c r="J1110" s="54">
        <v>15.875312913418528</v>
      </c>
      <c r="K1110" s="53">
        <v>1.9778719609336162</v>
      </c>
      <c r="L1110" s="53">
        <v>1.507172192871252</v>
      </c>
      <c r="M1110" s="54">
        <v>3.4850441538048682</v>
      </c>
      <c r="N1110" s="53">
        <v>1.2067061510971815</v>
      </c>
      <c r="O1110" s="53">
        <v>8.4517447449179954</v>
      </c>
      <c r="P1110" s="53">
        <v>2.1309465139273329</v>
      </c>
      <c r="Q1110" s="53">
        <v>2.1625052405399989</v>
      </c>
      <c r="R1110" s="53">
        <v>4.9465524467084601</v>
      </c>
      <c r="S1110" s="53">
        <v>5.9550128466290095</v>
      </c>
      <c r="T1110" s="53">
        <v>13.395487750329652</v>
      </c>
      <c r="U1110" s="53">
        <v>2.7752098060643133</v>
      </c>
      <c r="V1110" s="54">
        <v>41.02416550021394</v>
      </c>
      <c r="W1110" s="54">
        <v>66.435082019187519</v>
      </c>
      <c r="X1110" s="53">
        <v>7.3593542560564407</v>
      </c>
      <c r="Y1110" s="55">
        <v>73.758335742286761</v>
      </c>
      <c r="Z1110" s="17" t="str">
        <f>SUBSTITUTE(SUBSTITUTE(SUBSTITUTE(SUBSTITUTE(IF(E1110="","",VLOOKUP(E1110,[1]Esquemas_NORM!$A$2:$H$126,8,FALSE)),"PROVINCIA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10" s="17" t="str">
        <f>IF($E1110="","",INDEX([1]Esquemas_NORM!$H$2:$K$126,MATCH($E1110,[1]Esquemas_NORM!$A$2:$A$126,0),MATCH(AA$4,[1]Esquemas_NORM!$H$1:$K$1,0)))</f>
        <v>A la fecha no ha conformado un EAT Región</v>
      </c>
      <c r="AB1110" s="17" t="str">
        <f>IF($E1110="","",INDEX([1]Esquemas_NORM!$H$2:$K$126,MATCH($E1110,[1]Esquemas_NORM!$A$2:$A$126,0),MATCH(AB$4,[1]Esquemas_NORM!$H$1:$K$1,0)))</f>
        <v>A la fecha no ha conformado un EAT Área Metropolitana</v>
      </c>
      <c r="AC1110" s="17" t="str">
        <f>IF($E1110="","",INDEX([1]Esquemas_NORM!$H$2:$K$126,MATCH($E1110,[1]Esquemas_NORM!$A$2:$A$126,0),MATCH(AC$4,[1]Esquemas_NORM!$H$1:$K$1,0)))</f>
        <v>A la fecha no ha conformado un EAT asociación - unión</v>
      </c>
      <c r="AD1110" s="23"/>
    </row>
    <row r="1111" spans="1:30" x14ac:dyDescent="0.25">
      <c r="A1111" s="51">
        <v>2023</v>
      </c>
      <c r="B1111" s="52" t="s">
        <v>36</v>
      </c>
      <c r="C1111" s="52" t="s">
        <v>252</v>
      </c>
      <c r="D1111" s="52" t="s">
        <v>257</v>
      </c>
      <c r="E1111" s="52" t="s">
        <v>270</v>
      </c>
      <c r="F1111" s="52" t="s">
        <v>255</v>
      </c>
      <c r="G1111" s="52" t="s">
        <v>271</v>
      </c>
      <c r="H1111" s="53">
        <v>68.583842678852307</v>
      </c>
      <c r="I1111" s="53">
        <v>0</v>
      </c>
      <c r="J1111" s="54">
        <v>68.583842678852307</v>
      </c>
      <c r="K1111" s="53">
        <v>8.1962935628804114</v>
      </c>
      <c r="L1111" s="53">
        <v>8.5123022718019516</v>
      </c>
      <c r="M1111" s="54">
        <v>16.708595834682363</v>
      </c>
      <c r="N1111" s="53">
        <v>10.972841754625094</v>
      </c>
      <c r="O1111" s="53">
        <v>59.669958263678659</v>
      </c>
      <c r="P1111" s="53">
        <v>13.057535041045165</v>
      </c>
      <c r="Q1111" s="53">
        <v>19.709987881150905</v>
      </c>
      <c r="R1111" s="53">
        <v>25.684721052334385</v>
      </c>
      <c r="S1111" s="53">
        <v>33.281640039757661</v>
      </c>
      <c r="T1111" s="53">
        <v>66.281202497355778</v>
      </c>
      <c r="U1111" s="53">
        <v>18.42753802110127</v>
      </c>
      <c r="V1111" s="54">
        <v>247.0854245510489</v>
      </c>
      <c r="W1111" s="54">
        <v>357.44499512557479</v>
      </c>
      <c r="X1111" s="53">
        <v>39.596012622116916</v>
      </c>
      <c r="Y1111" s="55">
        <v>396.84677370093965</v>
      </c>
      <c r="Z1111" s="17" t="str">
        <f>SUBSTITUTE(SUBSTITUTE(SUBSTITUTE(SUBSTITUTE(IF(E1111="","",VLOOKUP(E1111,[1]Esquemas_NORM!$A$2:$H$126,8,FALSE)),"PROVINCIA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111" s="17" t="str">
        <f>IF($E1111="","",INDEX([1]Esquemas_NORM!$H$2:$K$126,MATCH($E1111,[1]Esquemas_NORM!$A$2:$A$126,0),MATCH(AA$4,[1]Esquemas_NORM!$H$1:$K$1,0)))</f>
        <v>A la fecha no ha conformado un EAT Región</v>
      </c>
      <c r="AB1111" s="17" t="str">
        <f>IF($E1111="","",INDEX([1]Esquemas_NORM!$H$2:$K$126,MATCH($E1111,[1]Esquemas_NORM!$A$2:$A$126,0),MATCH(AB$4,[1]Esquemas_NORM!$H$1:$K$1,0)))</f>
        <v>A la fecha no ha conformado un EAT Área Metropolitana</v>
      </c>
      <c r="AC1111" s="17" t="str">
        <f>IF($E1111="","",INDEX([1]Esquemas_NORM!$H$2:$K$126,MATCH($E1111,[1]Esquemas_NORM!$A$2:$A$126,0),MATCH(AC$4,[1]Esquemas_NORM!$H$1:$K$1,0)))</f>
        <v>A la fecha no ha conformado un EAT asociación - unión</v>
      </c>
      <c r="AD1111" s="23"/>
    </row>
    <row r="1112" spans="1:30" x14ac:dyDescent="0.25">
      <c r="A1112" s="51">
        <v>2023</v>
      </c>
      <c r="B1112" s="52" t="s">
        <v>36</v>
      </c>
      <c r="C1112" s="52" t="s">
        <v>252</v>
      </c>
      <c r="D1112" s="52" t="s">
        <v>264</v>
      </c>
      <c r="E1112" s="52" t="s">
        <v>272</v>
      </c>
      <c r="F1112" s="52" t="s">
        <v>255</v>
      </c>
      <c r="G1112" s="52" t="s">
        <v>273</v>
      </c>
      <c r="H1112" s="53">
        <v>132.95483435206387</v>
      </c>
      <c r="I1112" s="53">
        <v>0</v>
      </c>
      <c r="J1112" s="54">
        <v>132.95483435206387</v>
      </c>
      <c r="K1112" s="53">
        <v>12.070303609173068</v>
      </c>
      <c r="L1112" s="53">
        <v>7.0122373945210503</v>
      </c>
      <c r="M1112" s="54">
        <v>19.082541003694118</v>
      </c>
      <c r="N1112" s="53">
        <v>8.0508499706420231</v>
      </c>
      <c r="O1112" s="53">
        <v>33.002610336739153</v>
      </c>
      <c r="P1112" s="53">
        <v>8.4735404547441622</v>
      </c>
      <c r="Q1112" s="53">
        <v>9.646881099187592</v>
      </c>
      <c r="R1112" s="53">
        <v>24.386700590575206</v>
      </c>
      <c r="S1112" s="53">
        <v>21.662403583110752</v>
      </c>
      <c r="T1112" s="53">
        <v>42.600906919833839</v>
      </c>
      <c r="U1112" s="53">
        <v>13.291599391310886</v>
      </c>
      <c r="V1112" s="54">
        <v>161.11549234614361</v>
      </c>
      <c r="W1112" s="54">
        <v>373.87891297170131</v>
      </c>
      <c r="X1112" s="53">
        <v>41.416481861709933</v>
      </c>
      <c r="Y1112" s="55">
        <v>415.09223066758858</v>
      </c>
      <c r="Z1112" s="17" t="str">
        <f>SUBSTITUTE(SUBSTITUTE(SUBSTITUTE(SUBSTITUTE(IF(E1112="","",VLOOKUP(E1112,[1]Esquemas_NORM!$A$2:$H$126,8,FALSE)),"PROVINCIA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12" s="17" t="str">
        <f>IF($E1112="","",INDEX([1]Esquemas_NORM!$H$2:$K$126,MATCH($E1112,[1]Esquemas_NORM!$A$2:$A$126,0),MATCH(AA$4,[1]Esquemas_NORM!$H$1:$K$1,0)))</f>
        <v>A la fecha no ha conformado un EAT Región</v>
      </c>
      <c r="AB1112" s="17" t="str">
        <f>IF($E1112="","",INDEX([1]Esquemas_NORM!$H$2:$K$126,MATCH($E1112,[1]Esquemas_NORM!$A$2:$A$126,0),MATCH(AB$4,[1]Esquemas_NORM!$H$1:$K$1,0)))</f>
        <v>A la fecha no ha conformado un EAT Área Metropolitana</v>
      </c>
      <c r="AC1112" s="17" t="str">
        <f>IF($E1112="","",INDEX([1]Esquemas_NORM!$H$2:$K$126,MATCH($E1112,[1]Esquemas_NORM!$A$2:$A$126,0),MATCH(AC$4,[1]Esquemas_NORM!$H$1:$K$1,0)))</f>
        <v>A la fecha no ha conformado un EAT asociación - unión</v>
      </c>
      <c r="AD1112" s="23"/>
    </row>
    <row r="1113" spans="1:30" x14ac:dyDescent="0.25">
      <c r="A1113" s="51">
        <v>2023</v>
      </c>
      <c r="B1113" s="52" t="s">
        <v>36</v>
      </c>
      <c r="C1113" s="52" t="s">
        <v>252</v>
      </c>
      <c r="D1113" s="52" t="s">
        <v>253</v>
      </c>
      <c r="E1113" s="52" t="s">
        <v>274</v>
      </c>
      <c r="F1113" s="52" t="s">
        <v>255</v>
      </c>
      <c r="G1113" s="52" t="s">
        <v>275</v>
      </c>
      <c r="H1113" s="53">
        <v>125.57699785301369</v>
      </c>
      <c r="I1113" s="53">
        <v>4.4179054604014567</v>
      </c>
      <c r="J1113" s="54">
        <v>129.99490331341514</v>
      </c>
      <c r="K1113" s="53">
        <v>12.25947217981553</v>
      </c>
      <c r="L1113" s="53">
        <v>10.190089220302799</v>
      </c>
      <c r="M1113" s="54">
        <v>22.449561400118327</v>
      </c>
      <c r="N1113" s="53">
        <v>7.011936205898353</v>
      </c>
      <c r="O1113" s="53">
        <v>48.052321855213293</v>
      </c>
      <c r="P1113" s="53">
        <v>10.061409272773195</v>
      </c>
      <c r="Q1113" s="53">
        <v>10.60823879299762</v>
      </c>
      <c r="R1113" s="53">
        <v>35.911897310645479</v>
      </c>
      <c r="S1113" s="53">
        <v>28.992030382519761</v>
      </c>
      <c r="T1113" s="53">
        <v>38.990725419836686</v>
      </c>
      <c r="U1113" s="53">
        <v>18.565538918095616</v>
      </c>
      <c r="V1113" s="54">
        <v>198.19409815798002</v>
      </c>
      <c r="W1113" s="54">
        <v>407.8932926925674</v>
      </c>
      <c r="X1113" s="53">
        <v>45.184428894470408</v>
      </c>
      <c r="Y1113" s="55">
        <v>452.85607415606694</v>
      </c>
      <c r="Z1113" s="17" t="str">
        <f>SUBSTITUTE(SUBSTITUTE(SUBSTITUTE(SUBSTITUTE(IF(E1113="","",VLOOKUP(E1113,[1]Esquemas_NORM!$A$2:$H$126,8,FALSE)),"PROVINCIA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13" s="17" t="str">
        <f>IF($E1113="","",INDEX([1]Esquemas_NORM!$H$2:$K$126,MATCH($E1113,[1]Esquemas_NORM!$A$2:$A$126,0),MATCH(AA$4,[1]Esquemas_NORM!$H$1:$K$1,0)))</f>
        <v>A la fecha no ha conformado un EAT Región</v>
      </c>
      <c r="AB1113" s="17" t="str">
        <f>IF($E1113="","",INDEX([1]Esquemas_NORM!$H$2:$K$126,MATCH($E1113,[1]Esquemas_NORM!$A$2:$A$126,0),MATCH(AB$4,[1]Esquemas_NORM!$H$1:$K$1,0)))</f>
        <v>A la fecha no ha conformado un EAT Área Metropolitana</v>
      </c>
      <c r="AC1113" s="17" t="str">
        <f>IF($E1113="","",INDEX([1]Esquemas_NORM!$H$2:$K$126,MATCH($E1113,[1]Esquemas_NORM!$A$2:$A$126,0),MATCH(AC$4,[1]Esquemas_NORM!$H$1:$K$1,0)))</f>
        <v>A la fecha no ha conformado un EAT asociación - unión</v>
      </c>
      <c r="AD1113" s="23"/>
    </row>
    <row r="1114" spans="1:30" x14ac:dyDescent="0.25">
      <c r="A1114" s="51">
        <v>2023</v>
      </c>
      <c r="B1114" s="52" t="s">
        <v>36</v>
      </c>
      <c r="C1114" s="52" t="s">
        <v>252</v>
      </c>
      <c r="D1114" s="52" t="s">
        <v>257</v>
      </c>
      <c r="E1114" s="52" t="s">
        <v>276</v>
      </c>
      <c r="F1114" s="52" t="s">
        <v>255</v>
      </c>
      <c r="G1114" s="52" t="s">
        <v>277</v>
      </c>
      <c r="H1114" s="53">
        <v>20.08615837955449</v>
      </c>
      <c r="I1114" s="53">
        <v>0</v>
      </c>
      <c r="J1114" s="54">
        <v>20.08615837955449</v>
      </c>
      <c r="K1114" s="53">
        <v>2.6561656612571989</v>
      </c>
      <c r="L1114" s="53">
        <v>1.3615060050982231</v>
      </c>
      <c r="M1114" s="54">
        <v>4.0176716663554224</v>
      </c>
      <c r="N1114" s="53">
        <v>2.042106286041975</v>
      </c>
      <c r="O1114" s="53">
        <v>10.317699309351939</v>
      </c>
      <c r="P1114" s="53">
        <v>2.5704389456665897</v>
      </c>
      <c r="Q1114" s="53">
        <v>1.9900270176990824</v>
      </c>
      <c r="R1114" s="53">
        <v>6.0664214698820684</v>
      </c>
      <c r="S1114" s="53">
        <v>6.485446715351773</v>
      </c>
      <c r="T1114" s="53">
        <v>11.189696035091037</v>
      </c>
      <c r="U1114" s="53">
        <v>3.3202931241515743</v>
      </c>
      <c r="V1114" s="54">
        <v>43.982128903236038</v>
      </c>
      <c r="W1114" s="54">
        <v>76.59836942987765</v>
      </c>
      <c r="X1114" s="53">
        <v>8.4851936497657796</v>
      </c>
      <c r="Y1114" s="55">
        <v>85.041939860765211</v>
      </c>
      <c r="Z1114" s="17" t="str">
        <f>SUBSTITUTE(SUBSTITUTE(SUBSTITUTE(SUBSTITUTE(IF(E1114="","",VLOOKUP(E1114,[1]Esquemas_NORM!$A$2:$H$126,8,FALSE)),"PROVINCIA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114" s="17" t="str">
        <f>IF($E1114="","",INDEX([1]Esquemas_NORM!$H$2:$K$126,MATCH($E1114,[1]Esquemas_NORM!$A$2:$A$126,0),MATCH(AA$4,[1]Esquemas_NORM!$H$1:$K$1,0)))</f>
        <v>A la fecha no ha conformado un EAT Región</v>
      </c>
      <c r="AB1114" s="17" t="str">
        <f>IF($E1114="","",INDEX([1]Esquemas_NORM!$H$2:$K$126,MATCH($E1114,[1]Esquemas_NORM!$A$2:$A$126,0),MATCH(AB$4,[1]Esquemas_NORM!$H$1:$K$1,0)))</f>
        <v>A la fecha no ha conformado un EAT Área Metropolitana</v>
      </c>
      <c r="AC1114" s="17" t="str">
        <f>IF($E1114="","",INDEX([1]Esquemas_NORM!$H$2:$K$126,MATCH($E1114,[1]Esquemas_NORM!$A$2:$A$126,0),MATCH(AC$4,[1]Esquemas_NORM!$H$1:$K$1,0)))</f>
        <v>A la fecha no ha conformado un EAT asociación - unión</v>
      </c>
      <c r="AD1114" s="23"/>
    </row>
    <row r="1115" spans="1:30" x14ac:dyDescent="0.25">
      <c r="A1115" s="51">
        <v>2023</v>
      </c>
      <c r="B1115" s="52" t="s">
        <v>36</v>
      </c>
      <c r="C1115" s="52" t="s">
        <v>252</v>
      </c>
      <c r="D1115" s="52" t="s">
        <v>257</v>
      </c>
      <c r="E1115" s="52" t="s">
        <v>278</v>
      </c>
      <c r="F1115" s="52" t="s">
        <v>255</v>
      </c>
      <c r="G1115" s="52" t="s">
        <v>279</v>
      </c>
      <c r="H1115" s="53">
        <v>59.639812569050193</v>
      </c>
      <c r="I1115" s="53">
        <v>0</v>
      </c>
      <c r="J1115" s="54">
        <v>59.639812569050193</v>
      </c>
      <c r="K1115" s="53">
        <v>7.5695519897964276</v>
      </c>
      <c r="L1115" s="53">
        <v>5.2792191939893014</v>
      </c>
      <c r="M1115" s="54">
        <v>12.848771183785729</v>
      </c>
      <c r="N1115" s="53">
        <v>7.3957690799692113</v>
      </c>
      <c r="O1115" s="53">
        <v>44.048917156295801</v>
      </c>
      <c r="P1115" s="53">
        <v>8.6310539889710558</v>
      </c>
      <c r="Q1115" s="53">
        <v>9.2909815599989543</v>
      </c>
      <c r="R1115" s="53">
        <v>22.088998126869882</v>
      </c>
      <c r="S1115" s="53">
        <v>20.57213448976313</v>
      </c>
      <c r="T1115" s="53">
        <v>29.796731615660757</v>
      </c>
      <c r="U1115" s="53">
        <v>10.703806614373619</v>
      </c>
      <c r="V1115" s="54">
        <v>152.52839263190242</v>
      </c>
      <c r="W1115" s="54">
        <v>250.63204928531411</v>
      </c>
      <c r="X1115" s="53">
        <v>27.763795611471068</v>
      </c>
      <c r="Y1115" s="55">
        <v>278.25965253756237</v>
      </c>
      <c r="Z1115" s="17" t="str">
        <f>SUBSTITUTE(SUBSTITUTE(SUBSTITUTE(SUBSTITUTE(IF(E1115="","",VLOOKUP(E1115,[1]Esquemas_NORM!$A$2:$H$126,8,FALSE)),"PROVINCIA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115" s="17" t="str">
        <f>IF($E1115="","",INDEX([1]Esquemas_NORM!$H$2:$K$126,MATCH($E1115,[1]Esquemas_NORM!$A$2:$A$126,0),MATCH(AA$4,[1]Esquemas_NORM!$H$1:$K$1,0)))</f>
        <v>A la fecha no ha conformado un EAT Región</v>
      </c>
      <c r="AB1115" s="17" t="str">
        <f>IF($E1115="","",INDEX([1]Esquemas_NORM!$H$2:$K$126,MATCH($E1115,[1]Esquemas_NORM!$A$2:$A$126,0),MATCH(AB$4,[1]Esquemas_NORM!$H$1:$K$1,0)))</f>
        <v>A la fecha no ha conformado un EAT Área Metropolitana</v>
      </c>
      <c r="AC1115" s="17" t="str">
        <f>IF($E1115="","",INDEX([1]Esquemas_NORM!$H$2:$K$126,MATCH($E1115,[1]Esquemas_NORM!$A$2:$A$126,0),MATCH(AC$4,[1]Esquemas_NORM!$H$1:$K$1,0)))</f>
        <v>A la fecha no ha conformado un EAT asociación - unión</v>
      </c>
      <c r="AD1115" s="23"/>
    </row>
    <row r="1116" spans="1:30" x14ac:dyDescent="0.25">
      <c r="A1116" s="51">
        <v>2023</v>
      </c>
      <c r="B1116" s="52" t="s">
        <v>36</v>
      </c>
      <c r="C1116" s="52" t="s">
        <v>252</v>
      </c>
      <c r="D1116" s="52" t="s">
        <v>267</v>
      </c>
      <c r="E1116" s="52" t="s">
        <v>280</v>
      </c>
      <c r="F1116" s="52" t="s">
        <v>255</v>
      </c>
      <c r="G1116" s="52" t="s">
        <v>281</v>
      </c>
      <c r="H1116" s="53">
        <v>102.82612339227281</v>
      </c>
      <c r="I1116" s="53">
        <v>0</v>
      </c>
      <c r="J1116" s="54">
        <v>102.82612339227281</v>
      </c>
      <c r="K1116" s="53">
        <v>5.3192329826276366</v>
      </c>
      <c r="L1116" s="53">
        <v>8.9422924924268461</v>
      </c>
      <c r="M1116" s="54">
        <v>14.261525475054484</v>
      </c>
      <c r="N1116" s="53">
        <v>20.552105596330009</v>
      </c>
      <c r="O1116" s="53">
        <v>28.418985579725351</v>
      </c>
      <c r="P1116" s="53">
        <v>5.7887070977471691</v>
      </c>
      <c r="Q1116" s="53">
        <v>4.9519624267305469</v>
      </c>
      <c r="R1116" s="53">
        <v>14.80827777436369</v>
      </c>
      <c r="S1116" s="53">
        <v>13.191296921768917</v>
      </c>
      <c r="T1116" s="53">
        <v>16.231111741056278</v>
      </c>
      <c r="U1116" s="53">
        <v>6.9153353065712295</v>
      </c>
      <c r="V1116" s="54">
        <v>110.85778244429318</v>
      </c>
      <c r="W1116" s="54">
        <v>283.32153883073522</v>
      </c>
      <c r="X1116" s="53">
        <v>31.384977774617109</v>
      </c>
      <c r="Y1116" s="55">
        <v>314.5525609205061</v>
      </c>
      <c r="Z1116" s="17" t="str">
        <f>SUBSTITUTE(SUBSTITUTE(SUBSTITUTE(SUBSTITUTE(IF(E1116="","",VLOOKUP(E1116,[1]Esquemas_NORM!$A$2:$H$126,8,FALSE)),"PROVINCIA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16" s="17" t="str">
        <f>IF($E1116="","",INDEX([1]Esquemas_NORM!$H$2:$K$126,MATCH($E1116,[1]Esquemas_NORM!$A$2:$A$126,0),MATCH(AA$4,[1]Esquemas_NORM!$H$1:$K$1,0)))</f>
        <v>A la fecha no ha conformado un EAT Región</v>
      </c>
      <c r="AB1116" s="17" t="str">
        <f>IF($E1116="","",INDEX([1]Esquemas_NORM!$H$2:$K$126,MATCH($E1116,[1]Esquemas_NORM!$A$2:$A$126,0),MATCH(AB$4,[1]Esquemas_NORM!$H$1:$K$1,0)))</f>
        <v>A la fecha no ha conformado un EAT Área Metropolitana</v>
      </c>
      <c r="AC1116" s="17" t="str">
        <f>IF($E1116="","",INDEX([1]Esquemas_NORM!$H$2:$K$126,MATCH($E1116,[1]Esquemas_NORM!$A$2:$A$126,0),MATCH(AC$4,[1]Esquemas_NORM!$H$1:$K$1,0)))</f>
        <v>A la fecha no ha conformado un EAT asociación - unión</v>
      </c>
      <c r="AD1116" s="23"/>
    </row>
    <row r="1117" spans="1:30" x14ac:dyDescent="0.25">
      <c r="A1117" s="51">
        <v>2023</v>
      </c>
      <c r="B1117" s="52" t="s">
        <v>36</v>
      </c>
      <c r="C1117" s="52" t="s">
        <v>252</v>
      </c>
      <c r="D1117" s="52" t="s">
        <v>267</v>
      </c>
      <c r="E1117" s="52" t="s">
        <v>282</v>
      </c>
      <c r="F1117" s="52" t="s">
        <v>255</v>
      </c>
      <c r="G1117" s="52" t="s">
        <v>283</v>
      </c>
      <c r="H1117" s="53">
        <v>13.226268149222149</v>
      </c>
      <c r="I1117" s="53">
        <v>3.6813201203443118</v>
      </c>
      <c r="J1117" s="54">
        <v>16.90758826956646</v>
      </c>
      <c r="K1117" s="53">
        <v>19.281047961309845</v>
      </c>
      <c r="L1117" s="53">
        <v>19.011965464842362</v>
      </c>
      <c r="M1117" s="54">
        <v>38.293013426152207</v>
      </c>
      <c r="N1117" s="53">
        <v>3.8961090266525922</v>
      </c>
      <c r="O1117" s="53">
        <v>46.524453606758684</v>
      </c>
      <c r="P1117" s="53">
        <v>4.0082962302171294</v>
      </c>
      <c r="Q1117" s="53">
        <v>2.8045952729327754</v>
      </c>
      <c r="R1117" s="53">
        <v>7.004833603231833</v>
      </c>
      <c r="S1117" s="53">
        <v>13.127150409223693</v>
      </c>
      <c r="T1117" s="53">
        <v>14.655392253985976</v>
      </c>
      <c r="U1117" s="53">
        <v>4.7529477812452745</v>
      </c>
      <c r="V1117" s="54">
        <v>96.773778184247945</v>
      </c>
      <c r="W1117" s="54">
        <v>159.4146707073719</v>
      </c>
      <c r="X1117" s="53">
        <v>17.659179452937082</v>
      </c>
      <c r="Y1117" s="55">
        <v>176.98722492558699</v>
      </c>
      <c r="Z1117" s="17" t="str">
        <f>SUBSTITUTE(SUBSTITUTE(SUBSTITUTE(SUBSTITUTE(IF(E1117="","",VLOOKUP(E1117,[1]Esquemas_NORM!$A$2:$H$126,8,FALSE)),"PROVINCIA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17" s="17" t="str">
        <f>IF($E1117="","",INDEX([1]Esquemas_NORM!$H$2:$K$126,MATCH($E1117,[1]Esquemas_NORM!$A$2:$A$126,0),MATCH(AA$4,[1]Esquemas_NORM!$H$1:$K$1,0)))</f>
        <v>A la fecha no ha conformado un EAT Región</v>
      </c>
      <c r="AB1117" s="17" t="str">
        <f>IF($E1117="","",INDEX([1]Esquemas_NORM!$H$2:$K$126,MATCH($E1117,[1]Esquemas_NORM!$A$2:$A$126,0),MATCH(AB$4,[1]Esquemas_NORM!$H$1:$K$1,0)))</f>
        <v>A la fecha no ha conformado un EAT Área Metropolitana</v>
      </c>
      <c r="AC1117" s="17" t="str">
        <f>IF($E1117="","",INDEX([1]Esquemas_NORM!$H$2:$K$126,MATCH($E1117,[1]Esquemas_NORM!$A$2:$A$126,0),MATCH(AC$4,[1]Esquemas_NORM!$H$1:$K$1,0)))</f>
        <v>A la fecha no ha conformado un EAT asociación - unión</v>
      </c>
      <c r="AD1117" s="23"/>
    </row>
    <row r="1118" spans="1:30" x14ac:dyDescent="0.25">
      <c r="A1118" s="51">
        <v>2023</v>
      </c>
      <c r="B1118" s="52" t="s">
        <v>36</v>
      </c>
      <c r="C1118" s="52" t="s">
        <v>252</v>
      </c>
      <c r="D1118" s="52" t="s">
        <v>267</v>
      </c>
      <c r="E1118" s="52" t="s">
        <v>284</v>
      </c>
      <c r="F1118" s="52" t="s">
        <v>255</v>
      </c>
      <c r="G1118" s="52" t="s">
        <v>285</v>
      </c>
      <c r="H1118" s="53">
        <v>15.796465261468612</v>
      </c>
      <c r="I1118" s="53">
        <v>0.13383911632732479</v>
      </c>
      <c r="J1118" s="54">
        <v>15.930304377795936</v>
      </c>
      <c r="K1118" s="53">
        <v>0.59444558296873584</v>
      </c>
      <c r="L1118" s="53">
        <v>3.9367207655994583</v>
      </c>
      <c r="M1118" s="54">
        <v>4.5311663485681937</v>
      </c>
      <c r="N1118" s="53">
        <v>1.531201751009442</v>
      </c>
      <c r="O1118" s="53">
        <v>14.598692094087411</v>
      </c>
      <c r="P1118" s="53">
        <v>2.9069285152605282</v>
      </c>
      <c r="Q1118" s="53">
        <v>2.7988175375450832</v>
      </c>
      <c r="R1118" s="53">
        <v>10.672764469791026</v>
      </c>
      <c r="S1118" s="53">
        <v>7.2902865620527804</v>
      </c>
      <c r="T1118" s="53">
        <v>16.233185987463063</v>
      </c>
      <c r="U1118" s="53">
        <v>3.9871322050724767</v>
      </c>
      <c r="V1118" s="54">
        <v>60.019009122281808</v>
      </c>
      <c r="W1118" s="54">
        <v>85.661240476997605</v>
      </c>
      <c r="X1118" s="53">
        <v>9.4891342875338545</v>
      </c>
      <c r="Y1118" s="55">
        <v>95.103826821170813</v>
      </c>
      <c r="Z1118" s="17" t="str">
        <f>SUBSTITUTE(SUBSTITUTE(SUBSTITUTE(SUBSTITUTE(IF(E1118="","",VLOOKUP(E1118,[1]Esquemas_NORM!$A$2:$H$126,8,FALSE)),"PROVINCIA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18" s="17" t="str">
        <f>IF($E1118="","",INDEX([1]Esquemas_NORM!$H$2:$K$126,MATCH($E1118,[1]Esquemas_NORM!$A$2:$A$126,0),MATCH(AA$4,[1]Esquemas_NORM!$H$1:$K$1,0)))</f>
        <v>A la fecha no ha conformado un EAT Región</v>
      </c>
      <c r="AB1118" s="17" t="str">
        <f>IF($E1118="","",INDEX([1]Esquemas_NORM!$H$2:$K$126,MATCH($E1118,[1]Esquemas_NORM!$A$2:$A$126,0),MATCH(AB$4,[1]Esquemas_NORM!$H$1:$K$1,0)))</f>
        <v>A la fecha no ha conformado un EAT Área Metropolitana</v>
      </c>
      <c r="AC1118" s="17" t="str">
        <f>IF($E1118="","",INDEX([1]Esquemas_NORM!$H$2:$K$126,MATCH($E1118,[1]Esquemas_NORM!$A$2:$A$126,0),MATCH(AC$4,[1]Esquemas_NORM!$H$1:$K$1,0)))</f>
        <v>A la fecha no ha conformado un EAT asociación - unión</v>
      </c>
      <c r="AD1118" s="23"/>
    </row>
    <row r="1119" spans="1:30" x14ac:dyDescent="0.25">
      <c r="A1119" s="51">
        <v>2023</v>
      </c>
      <c r="B1119" s="52" t="s">
        <v>36</v>
      </c>
      <c r="C1119" s="52" t="s">
        <v>252</v>
      </c>
      <c r="D1119" s="52" t="s">
        <v>267</v>
      </c>
      <c r="E1119" s="52" t="s">
        <v>286</v>
      </c>
      <c r="F1119" s="52" t="s">
        <v>255</v>
      </c>
      <c r="G1119" s="52" t="s">
        <v>287</v>
      </c>
      <c r="H1119" s="53">
        <v>29.34134924218057</v>
      </c>
      <c r="I1119" s="53">
        <v>0</v>
      </c>
      <c r="J1119" s="54">
        <v>29.34134924218057</v>
      </c>
      <c r="K1119" s="53">
        <v>2.3005432673737447</v>
      </c>
      <c r="L1119" s="53">
        <v>3.6927844421915066</v>
      </c>
      <c r="M1119" s="54">
        <v>5.9933277095652517</v>
      </c>
      <c r="N1119" s="53">
        <v>2.0341648367986749</v>
      </c>
      <c r="O1119" s="53">
        <v>14.884954089524195</v>
      </c>
      <c r="P1119" s="53">
        <v>3.7591587957152197</v>
      </c>
      <c r="Q1119" s="53">
        <v>3.1010337498204552</v>
      </c>
      <c r="R1119" s="53">
        <v>10.239178284657779</v>
      </c>
      <c r="S1119" s="53">
        <v>8.887685404271247</v>
      </c>
      <c r="T1119" s="53">
        <v>19.022870048100934</v>
      </c>
      <c r="U1119" s="53">
        <v>4.9520593654304657</v>
      </c>
      <c r="V1119" s="54">
        <v>66.881104574318968</v>
      </c>
      <c r="W1119" s="54">
        <v>113.88810860803737</v>
      </c>
      <c r="X1119" s="53">
        <v>12.615969023064793</v>
      </c>
      <c r="Y1119" s="55">
        <v>126.44219133107393</v>
      </c>
      <c r="Z1119" s="17" t="str">
        <f>SUBSTITUTE(SUBSTITUTE(SUBSTITUTE(SUBSTITUTE(IF(E1119="","",VLOOKUP(E1119,[1]Esquemas_NORM!$A$2:$H$126,8,FALSE)),"PROVINCIA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19" s="17" t="str">
        <f>IF($E1119="","",INDEX([1]Esquemas_NORM!$H$2:$K$126,MATCH($E1119,[1]Esquemas_NORM!$A$2:$A$126,0),MATCH(AA$4,[1]Esquemas_NORM!$H$1:$K$1,0)))</f>
        <v>A la fecha no ha conformado un EAT Región</v>
      </c>
      <c r="AB1119" s="17" t="str">
        <f>IF($E1119="","",INDEX([1]Esquemas_NORM!$H$2:$K$126,MATCH($E1119,[1]Esquemas_NORM!$A$2:$A$126,0),MATCH(AB$4,[1]Esquemas_NORM!$H$1:$K$1,0)))</f>
        <v>A la fecha no ha conformado un EAT Área Metropolitana</v>
      </c>
      <c r="AC1119" s="17" t="str">
        <f>IF($E1119="","",INDEX([1]Esquemas_NORM!$H$2:$K$126,MATCH($E1119,[1]Esquemas_NORM!$A$2:$A$126,0),MATCH(AC$4,[1]Esquemas_NORM!$H$1:$K$1,0)))</f>
        <v>A la fecha no ha conformado un EAT asociación - unión</v>
      </c>
      <c r="AD1119" s="23"/>
    </row>
    <row r="1120" spans="1:30" x14ac:dyDescent="0.25">
      <c r="A1120" s="51">
        <v>2023</v>
      </c>
      <c r="B1120" s="52" t="s">
        <v>36</v>
      </c>
      <c r="C1120" s="52" t="s">
        <v>252</v>
      </c>
      <c r="D1120" s="52" t="s">
        <v>264</v>
      </c>
      <c r="E1120" s="52" t="s">
        <v>288</v>
      </c>
      <c r="F1120" s="52" t="s">
        <v>255</v>
      </c>
      <c r="G1120" s="52" t="s">
        <v>289</v>
      </c>
      <c r="H1120" s="53">
        <v>85.797905418209695</v>
      </c>
      <c r="I1120" s="53">
        <v>0</v>
      </c>
      <c r="J1120" s="54">
        <v>85.797905418209695</v>
      </c>
      <c r="K1120" s="53">
        <v>8.3296706693771121</v>
      </c>
      <c r="L1120" s="53">
        <v>6.5216422106898913</v>
      </c>
      <c r="M1120" s="54">
        <v>14.851312880067002</v>
      </c>
      <c r="N1120" s="53">
        <v>17.151338410627197</v>
      </c>
      <c r="O1120" s="53">
        <v>32.833440672663997</v>
      </c>
      <c r="P1120" s="53">
        <v>6.8516528793147966</v>
      </c>
      <c r="Q1120" s="53">
        <v>7.2334800853156391</v>
      </c>
      <c r="R1120" s="53">
        <v>17.103584102280607</v>
      </c>
      <c r="S1120" s="53">
        <v>18.155037289510545</v>
      </c>
      <c r="T1120" s="53">
        <v>33.645139942291827</v>
      </c>
      <c r="U1120" s="53">
        <v>12.187143628220836</v>
      </c>
      <c r="V1120" s="54">
        <v>145.16081701022546</v>
      </c>
      <c r="W1120" s="54">
        <v>288.44273520969995</v>
      </c>
      <c r="X1120" s="53">
        <v>31.952278923675511</v>
      </c>
      <c r="Y1120" s="55">
        <v>320.23827561281917</v>
      </c>
      <c r="Z1120" s="17" t="str">
        <f>SUBSTITUTE(SUBSTITUTE(SUBSTITUTE(SUBSTITUTE(IF(E1120="","",VLOOKUP(E1120,[1]Esquemas_NORM!$A$2:$H$126,8,FALSE)),"PROVINCIA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120" s="17" t="str">
        <f>IF($E1120="","",INDEX([1]Esquemas_NORM!$H$2:$K$126,MATCH($E1120,[1]Esquemas_NORM!$A$2:$A$126,0),MATCH(AA$4,[1]Esquemas_NORM!$H$1:$K$1,0)))</f>
        <v>A la fecha no ha conformado un EAT Región</v>
      </c>
      <c r="AB1120" s="17" t="str">
        <f>IF($E1120="","",INDEX([1]Esquemas_NORM!$H$2:$K$126,MATCH($E1120,[1]Esquemas_NORM!$A$2:$A$126,0),MATCH(AB$4,[1]Esquemas_NORM!$H$1:$K$1,0)))</f>
        <v>A la fecha no ha conformado un EAT Área Metropolitana</v>
      </c>
      <c r="AC1120" s="17" t="str">
        <f>IF($E1120="","",INDEX([1]Esquemas_NORM!$H$2:$K$126,MATCH($E1120,[1]Esquemas_NORM!$A$2:$A$126,0),MATCH(AC$4,[1]Esquemas_NORM!$H$1:$K$1,0)))</f>
        <v>A la fecha no ha conformado un EAT asociación - unión</v>
      </c>
      <c r="AD1120" s="23"/>
    </row>
    <row r="1121" spans="1:30" x14ac:dyDescent="0.25">
      <c r="A1121" s="51">
        <v>2023</v>
      </c>
      <c r="B1121" s="52" t="s">
        <v>36</v>
      </c>
      <c r="C1121" s="52" t="s">
        <v>252</v>
      </c>
      <c r="D1121" s="52" t="s">
        <v>267</v>
      </c>
      <c r="E1121" s="52" t="s">
        <v>290</v>
      </c>
      <c r="F1121" s="52" t="s">
        <v>255</v>
      </c>
      <c r="G1121" s="52" t="s">
        <v>291</v>
      </c>
      <c r="H1121" s="53">
        <v>82.242022681580522</v>
      </c>
      <c r="I1121" s="53">
        <v>6.9706690104313698E-2</v>
      </c>
      <c r="J1121" s="54">
        <v>82.311729371684834</v>
      </c>
      <c r="K1121" s="53">
        <v>8.1118784858658923</v>
      </c>
      <c r="L1121" s="53">
        <v>10.300973409901752</v>
      </c>
      <c r="M1121" s="54">
        <v>18.412851895767645</v>
      </c>
      <c r="N1121" s="53">
        <v>6.7056733789846561</v>
      </c>
      <c r="O1121" s="53">
        <v>60.573440016639651</v>
      </c>
      <c r="P1121" s="53">
        <v>11.769859469156255</v>
      </c>
      <c r="Q1121" s="53">
        <v>11.254980934058487</v>
      </c>
      <c r="R1121" s="53">
        <v>32.346478136897126</v>
      </c>
      <c r="S1121" s="53">
        <v>29.1491727802334</v>
      </c>
      <c r="T1121" s="53">
        <v>42.360830459101351</v>
      </c>
      <c r="U1121" s="53">
        <v>18.760817852900704</v>
      </c>
      <c r="V1121" s="54">
        <v>212.92125302797163</v>
      </c>
      <c r="W1121" s="54">
        <v>347.27696461642415</v>
      </c>
      <c r="X1121" s="53">
        <v>38.469647811107329</v>
      </c>
      <c r="Y1121" s="55">
        <v>385.55790364407909</v>
      </c>
      <c r="Z1121" s="17" t="str">
        <f>SUBSTITUTE(SUBSTITUTE(SUBSTITUTE(SUBSTITUTE(IF(E1121="","",VLOOKUP(E1121,[1]Esquemas_NORM!$A$2:$H$126,8,FALSE)),"PROVINCIA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21" s="17" t="str">
        <f>IF($E1121="","",INDEX([1]Esquemas_NORM!$H$2:$K$126,MATCH($E1121,[1]Esquemas_NORM!$A$2:$A$126,0),MATCH(AA$4,[1]Esquemas_NORM!$H$1:$K$1,0)))</f>
        <v>A la fecha no ha conformado un EAT Región</v>
      </c>
      <c r="AB1121" s="17" t="str">
        <f>IF($E1121="","",INDEX([1]Esquemas_NORM!$H$2:$K$126,MATCH($E1121,[1]Esquemas_NORM!$A$2:$A$126,0),MATCH(AB$4,[1]Esquemas_NORM!$H$1:$K$1,0)))</f>
        <v>A la fecha no ha conformado un EAT Área Metropolitana</v>
      </c>
      <c r="AC1121" s="17" t="str">
        <f>IF($E1121="","",INDEX([1]Esquemas_NORM!$H$2:$K$126,MATCH($E1121,[1]Esquemas_NORM!$A$2:$A$126,0),MATCH(AC$4,[1]Esquemas_NORM!$H$1:$K$1,0)))</f>
        <v>A la fecha no ha conformado un EAT asociación - unión</v>
      </c>
      <c r="AD1121" s="23"/>
    </row>
    <row r="1122" spans="1:30" x14ac:dyDescent="0.25">
      <c r="A1122" s="51">
        <v>2023</v>
      </c>
      <c r="B1122" s="52" t="s">
        <v>36</v>
      </c>
      <c r="C1122" s="52" t="s">
        <v>252</v>
      </c>
      <c r="D1122" s="52" t="s">
        <v>267</v>
      </c>
      <c r="E1122" s="52" t="s">
        <v>292</v>
      </c>
      <c r="F1122" s="52" t="s">
        <v>255</v>
      </c>
      <c r="G1122" s="52" t="s">
        <v>293</v>
      </c>
      <c r="H1122" s="53">
        <v>93.94558785068395</v>
      </c>
      <c r="I1122" s="53">
        <v>0</v>
      </c>
      <c r="J1122" s="54">
        <v>93.94558785068395</v>
      </c>
      <c r="K1122" s="53">
        <v>14.830537413415101</v>
      </c>
      <c r="L1122" s="53">
        <v>12.058221741894329</v>
      </c>
      <c r="M1122" s="54">
        <v>26.88875915530943</v>
      </c>
      <c r="N1122" s="53">
        <v>5.9458923865216642</v>
      </c>
      <c r="O1122" s="53">
        <v>37.537325731718013</v>
      </c>
      <c r="P1122" s="53">
        <v>8.3317742601167293</v>
      </c>
      <c r="Q1122" s="53">
        <v>8.4723515820489759</v>
      </c>
      <c r="R1122" s="53">
        <v>15.848959597083073</v>
      </c>
      <c r="S1122" s="53">
        <v>21.178062568043405</v>
      </c>
      <c r="T1122" s="53">
        <v>31.818606731680372</v>
      </c>
      <c r="U1122" s="53">
        <v>11.234055366952797</v>
      </c>
      <c r="V1122" s="54">
        <v>140.36702822416501</v>
      </c>
      <c r="W1122" s="54">
        <v>303.3043856318792</v>
      </c>
      <c r="X1122" s="53">
        <v>33.598580048960279</v>
      </c>
      <c r="Y1122" s="55">
        <v>336.73815140445419</v>
      </c>
      <c r="Z1122" s="17" t="str">
        <f>SUBSTITUTE(SUBSTITUTE(SUBSTITUTE(SUBSTITUTE(IF(E1122="","",VLOOKUP(E1122,[1]Esquemas_NORM!$A$2:$H$126,8,FALSE)),"PROVINCIA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22" s="17" t="str">
        <f>IF($E1122="","",INDEX([1]Esquemas_NORM!$H$2:$K$126,MATCH($E1122,[1]Esquemas_NORM!$A$2:$A$126,0),MATCH(AA$4,[1]Esquemas_NORM!$H$1:$K$1,0)))</f>
        <v>A la fecha no ha conformado un EAT Región</v>
      </c>
      <c r="AB1122" s="17" t="str">
        <f>IF($E1122="","",INDEX([1]Esquemas_NORM!$H$2:$K$126,MATCH($E1122,[1]Esquemas_NORM!$A$2:$A$126,0),MATCH(AB$4,[1]Esquemas_NORM!$H$1:$K$1,0)))</f>
        <v>A la fecha no ha conformado un EAT Área Metropolitana</v>
      </c>
      <c r="AC1122" s="17" t="str">
        <f>IF($E1122="","",INDEX([1]Esquemas_NORM!$H$2:$K$126,MATCH($E1122,[1]Esquemas_NORM!$A$2:$A$126,0),MATCH(AC$4,[1]Esquemas_NORM!$H$1:$K$1,0)))</f>
        <v>A la fecha no ha conformado un EAT asociación - unión</v>
      </c>
      <c r="AD1122" s="23"/>
    </row>
    <row r="1123" spans="1:30" x14ac:dyDescent="0.25">
      <c r="A1123" s="51">
        <v>2023</v>
      </c>
      <c r="B1123" s="52" t="s">
        <v>36</v>
      </c>
      <c r="C1123" s="52" t="s">
        <v>252</v>
      </c>
      <c r="D1123" s="52" t="s">
        <v>267</v>
      </c>
      <c r="E1123" s="52" t="s">
        <v>294</v>
      </c>
      <c r="F1123" s="52" t="s">
        <v>255</v>
      </c>
      <c r="G1123" s="52" t="s">
        <v>295</v>
      </c>
      <c r="H1123" s="53">
        <v>31.643585560392356</v>
      </c>
      <c r="I1123" s="53">
        <v>1.8933817539236344</v>
      </c>
      <c r="J1123" s="54">
        <v>33.536967314315987</v>
      </c>
      <c r="K1123" s="53">
        <v>3.035446312563276</v>
      </c>
      <c r="L1123" s="53">
        <v>2.6983749122390033</v>
      </c>
      <c r="M1123" s="54">
        <v>5.7338212248022788</v>
      </c>
      <c r="N1123" s="53">
        <v>2.806207775519193</v>
      </c>
      <c r="O1123" s="53">
        <v>13.128941369706244</v>
      </c>
      <c r="P1123" s="53">
        <v>3.1331626630241907</v>
      </c>
      <c r="Q1123" s="53">
        <v>3.7222299369860141</v>
      </c>
      <c r="R1123" s="53">
        <v>6.8712630948907663</v>
      </c>
      <c r="S1123" s="53">
        <v>8.3824007699199381</v>
      </c>
      <c r="T1123" s="53">
        <v>16.240411248622767</v>
      </c>
      <c r="U1123" s="53">
        <v>4.3289592878735164</v>
      </c>
      <c r="V1123" s="54">
        <v>58.613576146542627</v>
      </c>
      <c r="W1123" s="54">
        <v>112.75986258218292</v>
      </c>
      <c r="X1123" s="53">
        <v>12.490987432916377</v>
      </c>
      <c r="Y1123" s="55">
        <v>125.18957679902628</v>
      </c>
      <c r="Z1123" s="17" t="str">
        <f>SUBSTITUTE(SUBSTITUTE(SUBSTITUTE(SUBSTITUTE(IF(E1123="","",VLOOKUP(E1123,[1]Esquemas_NORM!$A$2:$H$126,8,FALSE)),"PROVINCIA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23" s="17" t="str">
        <f>IF($E1123="","",INDEX([1]Esquemas_NORM!$H$2:$K$126,MATCH($E1123,[1]Esquemas_NORM!$A$2:$A$126,0),MATCH(AA$4,[1]Esquemas_NORM!$H$1:$K$1,0)))</f>
        <v>A la fecha no ha conformado un EAT Región</v>
      </c>
      <c r="AB1123" s="17" t="str">
        <f>IF($E1123="","",INDEX([1]Esquemas_NORM!$H$2:$K$126,MATCH($E1123,[1]Esquemas_NORM!$A$2:$A$126,0),MATCH(AB$4,[1]Esquemas_NORM!$H$1:$K$1,0)))</f>
        <v>A la fecha no ha conformado un EAT Área Metropolitana</v>
      </c>
      <c r="AC1123" s="17" t="str">
        <f>IF($E1123="","",INDEX([1]Esquemas_NORM!$H$2:$K$126,MATCH($E1123,[1]Esquemas_NORM!$A$2:$A$126,0),MATCH(AC$4,[1]Esquemas_NORM!$H$1:$K$1,0)))</f>
        <v>A la fecha no ha conformado un EAT asociación - unión</v>
      </c>
      <c r="AD1123" s="23"/>
    </row>
    <row r="1124" spans="1:30" x14ac:dyDescent="0.25">
      <c r="A1124" s="51">
        <v>2023</v>
      </c>
      <c r="B1124" s="52" t="s">
        <v>36</v>
      </c>
      <c r="C1124" s="52" t="s">
        <v>252</v>
      </c>
      <c r="D1124" s="52" t="s">
        <v>253</v>
      </c>
      <c r="E1124" s="52" t="s">
        <v>296</v>
      </c>
      <c r="F1124" s="52" t="s">
        <v>255</v>
      </c>
      <c r="G1124" s="52" t="s">
        <v>297</v>
      </c>
      <c r="H1124" s="53">
        <v>13.791361106141769</v>
      </c>
      <c r="I1124" s="53">
        <v>11.913911153533839</v>
      </c>
      <c r="J1124" s="54">
        <v>25.70527225967561</v>
      </c>
      <c r="K1124" s="53">
        <v>3.9532170435185012</v>
      </c>
      <c r="L1124" s="53">
        <v>2.6217565849527236</v>
      </c>
      <c r="M1124" s="54">
        <v>6.5749736284712252</v>
      </c>
      <c r="N1124" s="53">
        <v>4.4878455114601294</v>
      </c>
      <c r="O1124" s="53">
        <v>21.821825405415328</v>
      </c>
      <c r="P1124" s="53">
        <v>4.9924154436405273</v>
      </c>
      <c r="Q1124" s="53">
        <v>3.4293498179637791</v>
      </c>
      <c r="R1124" s="53">
        <v>11.454710316051573</v>
      </c>
      <c r="S1124" s="53">
        <v>13.304119638264289</v>
      </c>
      <c r="T1124" s="53">
        <v>18.41008068899351</v>
      </c>
      <c r="U1124" s="53">
        <v>7.0553201993216961</v>
      </c>
      <c r="V1124" s="54">
        <v>84.955667021110841</v>
      </c>
      <c r="W1124" s="54">
        <v>128.19219837837306</v>
      </c>
      <c r="X1124" s="53">
        <v>14.200506299605012</v>
      </c>
      <c r="Y1124" s="55">
        <v>142.32304559814096</v>
      </c>
      <c r="Z1124" s="17" t="str">
        <f>SUBSTITUTE(SUBSTITUTE(SUBSTITUTE(SUBSTITUTE(IF(E1124="","",VLOOKUP(E1124,[1]Esquemas_NORM!$A$2:$H$126,8,FALSE)),"PROVINCIA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24" s="17" t="str">
        <f>IF($E1124="","",INDEX([1]Esquemas_NORM!$H$2:$K$126,MATCH($E1124,[1]Esquemas_NORM!$A$2:$A$126,0),MATCH(AA$4,[1]Esquemas_NORM!$H$1:$K$1,0)))</f>
        <v>A la fecha no ha conformado un EAT Región</v>
      </c>
      <c r="AB1124" s="17" t="str">
        <f>IF($E1124="","",INDEX([1]Esquemas_NORM!$H$2:$K$126,MATCH($E1124,[1]Esquemas_NORM!$A$2:$A$126,0),MATCH(AB$4,[1]Esquemas_NORM!$H$1:$K$1,0)))</f>
        <v>A la fecha no ha conformado un EAT Área Metropolitana</v>
      </c>
      <c r="AC1124" s="17" t="str">
        <f>IF($E1124="","",INDEX([1]Esquemas_NORM!$H$2:$K$126,MATCH($E1124,[1]Esquemas_NORM!$A$2:$A$126,0),MATCH(AC$4,[1]Esquemas_NORM!$H$1:$K$1,0)))</f>
        <v>A la fecha no ha conformado un EAT asociación - unión</v>
      </c>
      <c r="AD1124" s="23"/>
    </row>
    <row r="1125" spans="1:30" x14ac:dyDescent="0.25">
      <c r="A1125" s="51">
        <v>2023</v>
      </c>
      <c r="B1125" s="52" t="s">
        <v>36</v>
      </c>
      <c r="C1125" s="52" t="s">
        <v>252</v>
      </c>
      <c r="D1125" s="52" t="s">
        <v>264</v>
      </c>
      <c r="E1125" s="52" t="s">
        <v>298</v>
      </c>
      <c r="F1125" s="52" t="s">
        <v>255</v>
      </c>
      <c r="G1125" s="52" t="s">
        <v>299</v>
      </c>
      <c r="H1125" s="53">
        <v>290.94102554110782</v>
      </c>
      <c r="I1125" s="53">
        <v>0</v>
      </c>
      <c r="J1125" s="54">
        <v>290.94102554110782</v>
      </c>
      <c r="K1125" s="53">
        <v>28.22453468526388</v>
      </c>
      <c r="L1125" s="53">
        <v>9.2365234830710694</v>
      </c>
      <c r="M1125" s="54">
        <v>37.461058168334951</v>
      </c>
      <c r="N1125" s="53">
        <v>8.4987051403671678</v>
      </c>
      <c r="O1125" s="53">
        <v>55.589834443866735</v>
      </c>
      <c r="P1125" s="53">
        <v>11.685927146417237</v>
      </c>
      <c r="Q1125" s="53">
        <v>15.281548588426029</v>
      </c>
      <c r="R1125" s="53">
        <v>28.325957261075111</v>
      </c>
      <c r="S1125" s="53">
        <v>33.708545398041686</v>
      </c>
      <c r="T1125" s="53">
        <v>67.430752150984972</v>
      </c>
      <c r="U1125" s="53">
        <v>18.135760431653729</v>
      </c>
      <c r="V1125" s="54">
        <v>238.65703056083265</v>
      </c>
      <c r="W1125" s="54">
        <v>705.89919983543246</v>
      </c>
      <c r="X1125" s="53">
        <v>78.196069347182188</v>
      </c>
      <c r="Y1125" s="55">
        <v>783.71168664529034</v>
      </c>
      <c r="Z1125" s="17" t="str">
        <f>SUBSTITUTE(SUBSTITUTE(SUBSTITUTE(SUBSTITUTE(IF(E1125="","",VLOOKUP(E1125,[1]Esquemas_NORM!$A$2:$H$126,8,FALSE)),"PROVINCIA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25" s="17" t="str">
        <f>IF($E1125="","",INDEX([1]Esquemas_NORM!$H$2:$K$126,MATCH($E1125,[1]Esquemas_NORM!$A$2:$A$126,0),MATCH(AA$4,[1]Esquemas_NORM!$H$1:$K$1,0)))</f>
        <v>A la fecha no ha conformado un EAT Región</v>
      </c>
      <c r="AB1125" s="17" t="str">
        <f>IF($E1125="","",INDEX([1]Esquemas_NORM!$H$2:$K$126,MATCH($E1125,[1]Esquemas_NORM!$A$2:$A$126,0),MATCH(AB$4,[1]Esquemas_NORM!$H$1:$K$1,0)))</f>
        <v>A la fecha no ha conformado un EAT Área Metropolitana</v>
      </c>
      <c r="AC1125" s="17" t="str">
        <f>IF($E1125="","",INDEX([1]Esquemas_NORM!$H$2:$K$126,MATCH($E1125,[1]Esquemas_NORM!$A$2:$A$126,0),MATCH(AC$4,[1]Esquemas_NORM!$H$1:$K$1,0)))</f>
        <v>A la fecha no ha conformado un EAT asociación - unión</v>
      </c>
      <c r="AD1125" s="23"/>
    </row>
    <row r="1126" spans="1:30" x14ac:dyDescent="0.25">
      <c r="A1126" s="51">
        <v>2023</v>
      </c>
      <c r="B1126" s="52" t="s">
        <v>36</v>
      </c>
      <c r="C1126" s="52" t="s">
        <v>252</v>
      </c>
      <c r="D1126" s="52" t="s">
        <v>267</v>
      </c>
      <c r="E1126" s="52" t="s">
        <v>300</v>
      </c>
      <c r="F1126" s="52" t="s">
        <v>255</v>
      </c>
      <c r="G1126" s="52" t="s">
        <v>301</v>
      </c>
      <c r="H1126" s="53">
        <v>95.380922977516335</v>
      </c>
      <c r="I1126" s="53">
        <v>1.2230932474957403</v>
      </c>
      <c r="J1126" s="54">
        <v>96.604016225012074</v>
      </c>
      <c r="K1126" s="53">
        <v>6.0209257908208915</v>
      </c>
      <c r="L1126" s="53">
        <v>4.2151203845955774</v>
      </c>
      <c r="M1126" s="54">
        <v>10.236046175416469</v>
      </c>
      <c r="N1126" s="53">
        <v>1.9131233945985056</v>
      </c>
      <c r="O1126" s="53">
        <v>14.509096077845388</v>
      </c>
      <c r="P1126" s="53">
        <v>2.5391432865110066</v>
      </c>
      <c r="Q1126" s="53">
        <v>2.4444523368555733</v>
      </c>
      <c r="R1126" s="53">
        <v>9.5567835380950577</v>
      </c>
      <c r="S1126" s="53">
        <v>9.2790592985383089</v>
      </c>
      <c r="T1126" s="53">
        <v>16.557412249088465</v>
      </c>
      <c r="U1126" s="53">
        <v>5.3262882809302665</v>
      </c>
      <c r="V1126" s="54">
        <v>62.125358462462565</v>
      </c>
      <c r="W1126" s="54">
        <v>216.01298159694741</v>
      </c>
      <c r="X1126" s="53">
        <v>23.928864195886977</v>
      </c>
      <c r="Y1126" s="55">
        <v>239.8244652835559</v>
      </c>
      <c r="Z1126" s="17" t="str">
        <f>SUBSTITUTE(SUBSTITUTE(SUBSTITUTE(SUBSTITUTE(IF(E1126="","",VLOOKUP(E1126,[1]Esquemas_NORM!$A$2:$H$126,8,FALSE)),"PROVINCIA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26" s="17" t="str">
        <f>IF($E1126="","",INDEX([1]Esquemas_NORM!$H$2:$K$126,MATCH($E1126,[1]Esquemas_NORM!$A$2:$A$126,0),MATCH(AA$4,[1]Esquemas_NORM!$H$1:$K$1,0)))</f>
        <v>A la fecha no ha conformado un EAT Región</v>
      </c>
      <c r="AB1126" s="17" t="str">
        <f>IF($E1126="","",INDEX([1]Esquemas_NORM!$H$2:$K$126,MATCH($E1126,[1]Esquemas_NORM!$A$2:$A$126,0),MATCH(AB$4,[1]Esquemas_NORM!$H$1:$K$1,0)))</f>
        <v>A la fecha no ha conformado un EAT Área Metropolitana</v>
      </c>
      <c r="AC1126" s="17" t="str">
        <f>IF($E1126="","",INDEX([1]Esquemas_NORM!$H$2:$K$126,MATCH($E1126,[1]Esquemas_NORM!$A$2:$A$126,0),MATCH(AC$4,[1]Esquemas_NORM!$H$1:$K$1,0)))</f>
        <v>A la fecha no ha conformado un EAT asociación - unión</v>
      </c>
      <c r="AD1126" s="23"/>
    </row>
    <row r="1127" spans="1:30" x14ac:dyDescent="0.25">
      <c r="A1127" s="51">
        <v>2023</v>
      </c>
      <c r="B1127" s="52" t="s">
        <v>36</v>
      </c>
      <c r="C1127" s="52" t="s">
        <v>252</v>
      </c>
      <c r="D1127" s="52" t="s">
        <v>253</v>
      </c>
      <c r="E1127" s="52" t="s">
        <v>302</v>
      </c>
      <c r="F1127" s="52" t="s">
        <v>255</v>
      </c>
      <c r="G1127" s="52" t="s">
        <v>303</v>
      </c>
      <c r="H1127" s="53">
        <v>50.00236024100429</v>
      </c>
      <c r="I1127" s="53">
        <v>11.447631990252143</v>
      </c>
      <c r="J1127" s="54">
        <v>61.449992231256431</v>
      </c>
      <c r="K1127" s="53">
        <v>7.3775419141661507</v>
      </c>
      <c r="L1127" s="53">
        <v>4.220643978895823</v>
      </c>
      <c r="M1127" s="54">
        <v>11.598185893061974</v>
      </c>
      <c r="N1127" s="53">
        <v>10.879422933472968</v>
      </c>
      <c r="O1127" s="53">
        <v>34.737727242897797</v>
      </c>
      <c r="P1127" s="53">
        <v>6.1505916919187715</v>
      </c>
      <c r="Q1127" s="53">
        <v>5.3193639684040477</v>
      </c>
      <c r="R1127" s="53">
        <v>18.029337585674465</v>
      </c>
      <c r="S1127" s="53">
        <v>18.265114130783676</v>
      </c>
      <c r="T1127" s="53">
        <v>23.317466818924821</v>
      </c>
      <c r="U1127" s="53">
        <v>9.4681996887427697</v>
      </c>
      <c r="V1127" s="54">
        <v>126.16722406081931</v>
      </c>
      <c r="W1127" s="54">
        <v>229.42590020877165</v>
      </c>
      <c r="X1127" s="53">
        <v>25.414681879413244</v>
      </c>
      <c r="Y1127" s="55">
        <v>254.71591305760722</v>
      </c>
      <c r="Z1127" s="17" t="str">
        <f>SUBSTITUTE(SUBSTITUTE(SUBSTITUTE(SUBSTITUTE(IF(E1127="","",VLOOKUP(E1127,[1]Esquemas_NORM!$A$2:$H$126,8,FALSE)),"PROVINCIA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127" s="17" t="str">
        <f>IF($E1127="","",INDEX([1]Esquemas_NORM!$H$2:$K$126,MATCH($E1127,[1]Esquemas_NORM!$A$2:$A$126,0),MATCH(AA$4,[1]Esquemas_NORM!$H$1:$K$1,0)))</f>
        <v>A la fecha no ha conformado un EAT Región</v>
      </c>
      <c r="AB1127" s="17" t="str">
        <f>IF($E1127="","",INDEX([1]Esquemas_NORM!$H$2:$K$126,MATCH($E1127,[1]Esquemas_NORM!$A$2:$A$126,0),MATCH(AB$4,[1]Esquemas_NORM!$H$1:$K$1,0)))</f>
        <v>A la fecha no ha conformado un EAT Área Metropolitana</v>
      </c>
      <c r="AC1127" s="17" t="str">
        <f>IF($E1127="","",INDEX([1]Esquemas_NORM!$H$2:$K$126,MATCH($E1127,[1]Esquemas_NORM!$A$2:$A$126,0),MATCH(AC$4,[1]Esquemas_NORM!$H$1:$K$1,0)))</f>
        <v>A la fecha no ha conformado un EAT asociación - unión</v>
      </c>
      <c r="AD1127" s="23"/>
    </row>
    <row r="1128" spans="1:30" x14ac:dyDescent="0.25">
      <c r="A1128" s="51">
        <v>2023</v>
      </c>
      <c r="B1128" s="52" t="s">
        <v>36</v>
      </c>
      <c r="C1128" s="52" t="s">
        <v>304</v>
      </c>
      <c r="D1128" s="52" t="s">
        <v>305</v>
      </c>
      <c r="E1128" s="52" t="s">
        <v>306</v>
      </c>
      <c r="F1128" s="52" t="s">
        <v>307</v>
      </c>
      <c r="G1128" s="52" t="s">
        <v>308</v>
      </c>
      <c r="H1128" s="53">
        <v>462.93222868611093</v>
      </c>
      <c r="I1128" s="53">
        <v>1.4141992578648557</v>
      </c>
      <c r="J1128" s="54">
        <v>464.34642794397581</v>
      </c>
      <c r="K1128" s="53">
        <v>71.461841980133073</v>
      </c>
      <c r="L1128" s="53">
        <v>77.680804569617209</v>
      </c>
      <c r="M1128" s="54">
        <v>149.14264654975028</v>
      </c>
      <c r="N1128" s="53">
        <v>64.975225639301115</v>
      </c>
      <c r="O1128" s="53">
        <v>462.22020728690154</v>
      </c>
      <c r="P1128" s="53">
        <v>73.79773148842547</v>
      </c>
      <c r="Q1128" s="53">
        <v>92.333606054621995</v>
      </c>
      <c r="R1128" s="53">
        <v>100.43579652701467</v>
      </c>
      <c r="S1128" s="53">
        <v>222.96953009032973</v>
      </c>
      <c r="T1128" s="53">
        <v>383.32698604177818</v>
      </c>
      <c r="U1128" s="53">
        <v>84.913920957761135</v>
      </c>
      <c r="V1128" s="54">
        <v>1484.9730040861339</v>
      </c>
      <c r="W1128" s="54">
        <v>2301.6552576360941</v>
      </c>
      <c r="X1128" s="53">
        <v>254.96613989826417</v>
      </c>
      <c r="Y1128" s="55">
        <v>2555.3706881356661</v>
      </c>
      <c r="Z1128" s="17" t="str">
        <f>SUBSTITUTE(SUBSTITUTE(SUBSTITUTE(SUBSTITUTE(IF(E1128="","",VLOOKUP(E1128,[1]Esquemas_NORM!$A$2:$H$126,8,FALSE)),"PROVINCIA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28" s="17" t="str">
        <f>IF($E1128="","",INDEX([1]Esquemas_NORM!$H$2:$K$126,MATCH($E1128,[1]Esquemas_NORM!$A$2:$A$126,0),MATCH(AA$4,[1]Esquemas_NORM!$H$1:$K$1,0)))</f>
        <v>Región de Planeación y Gestión de Urabá - RPG (Acuerdo de Voluntades)</v>
      </c>
      <c r="AB1128" s="17" t="str">
        <f>IF($E1128="","",INDEX([1]Esquemas_NORM!$H$2:$K$126,MATCH($E1128,[1]Esquemas_NORM!$A$2:$A$126,0),MATCH(AB$4,[1]Esquemas_NORM!$H$1:$K$1,0)))</f>
        <v>A la fecha no ha conformado un EAT Área Metropolitana</v>
      </c>
      <c r="AC1128" s="17" t="str">
        <f>IF($E1128="","",INDEX([1]Esquemas_NORM!$H$2:$K$126,MATCH($E1128,[1]Esquemas_NORM!$A$2:$A$126,0),MATCH(AC$4,[1]Esquemas_NORM!$H$1:$K$1,0)))</f>
        <v>ASOCIACIÓN DE MUNICIPIOS DEL URABÁ ANTIOQUEÑO - ASOMURA</v>
      </c>
      <c r="AD1128" s="23"/>
    </row>
    <row r="1129" spans="1:30" x14ac:dyDescent="0.25">
      <c r="A1129" s="51">
        <v>2023</v>
      </c>
      <c r="B1129" s="52" t="s">
        <v>36</v>
      </c>
      <c r="C1129" s="52" t="s">
        <v>304</v>
      </c>
      <c r="D1129" s="52" t="s">
        <v>309</v>
      </c>
      <c r="E1129" s="52" t="s">
        <v>310</v>
      </c>
      <c r="F1129" s="52" t="s">
        <v>307</v>
      </c>
      <c r="G1129" s="52" t="s">
        <v>311</v>
      </c>
      <c r="H1129" s="53">
        <v>57.413408275307617</v>
      </c>
      <c r="I1129" s="53">
        <v>0</v>
      </c>
      <c r="J1129" s="54">
        <v>57.413408275307617</v>
      </c>
      <c r="K1129" s="53">
        <v>1.0433767396504765</v>
      </c>
      <c r="L1129" s="53">
        <v>15.755086415428739</v>
      </c>
      <c r="M1129" s="54">
        <v>16.798463155079215</v>
      </c>
      <c r="N1129" s="53">
        <v>6.6983958427027082</v>
      </c>
      <c r="O1129" s="53">
        <v>56.937298749973237</v>
      </c>
      <c r="P1129" s="53">
        <v>10.865963439073106</v>
      </c>
      <c r="Q1129" s="53">
        <v>11.287041694093361</v>
      </c>
      <c r="R1129" s="53">
        <v>13.181815855637598</v>
      </c>
      <c r="S1129" s="53">
        <v>30.23176293784643</v>
      </c>
      <c r="T1129" s="53">
        <v>78.075258653806415</v>
      </c>
      <c r="U1129" s="53">
        <v>11.015778316839981</v>
      </c>
      <c r="V1129" s="54">
        <v>218.29331548997285</v>
      </c>
      <c r="W1129" s="54">
        <v>314.60059844738606</v>
      </c>
      <c r="X1129" s="53">
        <v>34.849919391573174</v>
      </c>
      <c r="Y1129" s="55">
        <v>349.27956524994471</v>
      </c>
      <c r="Z1129" s="17" t="str">
        <f>SUBSTITUTE(SUBSTITUTE(SUBSTITUTE(SUBSTITUTE(IF(E1129="","",VLOOKUP(E1129,[1]Esquemas_NORM!$A$2:$H$126,8,FALSE)),"PROVINCIA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29" s="17" t="str">
        <f>IF($E1129="","",INDEX([1]Esquemas_NORM!$H$2:$K$126,MATCH($E1129,[1]Esquemas_NORM!$A$2:$A$126,0),MATCH(AA$4,[1]Esquemas_NORM!$H$1:$K$1,0)))</f>
        <v>Región de Planeación y Gestión de Urabá - RPG (Acuerdo de Voluntades)</v>
      </c>
      <c r="AB1129" s="17" t="str">
        <f>IF($E1129="","",INDEX([1]Esquemas_NORM!$H$2:$K$126,MATCH($E1129,[1]Esquemas_NORM!$A$2:$A$126,0),MATCH(AB$4,[1]Esquemas_NORM!$H$1:$K$1,0)))</f>
        <v>A la fecha no ha conformado un EAT Área Metropolitana</v>
      </c>
      <c r="AC1129" s="17" t="str">
        <f>IF($E1129="","",INDEX([1]Esquemas_NORM!$H$2:$K$126,MATCH($E1129,[1]Esquemas_NORM!$A$2:$A$126,0),MATCH(AC$4,[1]Esquemas_NORM!$H$1:$K$1,0)))</f>
        <v>ASOCIACIÓN DE MUNICIPIOS DEL URABÁ ANTIOQUEÑO - ASOMURA /ASOCIACIÓN DE MUNICIPIOS DEL URABÁ NORTE-ASOURANOR</v>
      </c>
      <c r="AD1129" s="23"/>
    </row>
    <row r="1130" spans="1:30" x14ac:dyDescent="0.25">
      <c r="A1130" s="51">
        <v>2023</v>
      </c>
      <c r="B1130" s="52" t="s">
        <v>36</v>
      </c>
      <c r="C1130" s="52" t="s">
        <v>304</v>
      </c>
      <c r="D1130" s="52" t="s">
        <v>305</v>
      </c>
      <c r="E1130" s="52" t="s">
        <v>312</v>
      </c>
      <c r="F1130" s="52" t="s">
        <v>307</v>
      </c>
      <c r="G1130" s="52" t="s">
        <v>313</v>
      </c>
      <c r="H1130" s="53">
        <v>401.0003683699548</v>
      </c>
      <c r="I1130" s="53">
        <v>1.0616866855268858</v>
      </c>
      <c r="J1130" s="54">
        <v>402.06205505548166</v>
      </c>
      <c r="K1130" s="53">
        <v>33.052236762069541</v>
      </c>
      <c r="L1130" s="53">
        <v>21.676286730405351</v>
      </c>
      <c r="M1130" s="54">
        <v>54.728523492474892</v>
      </c>
      <c r="N1130" s="53">
        <v>23.516970125901366</v>
      </c>
      <c r="O1130" s="53">
        <v>115.81142860869058</v>
      </c>
      <c r="P1130" s="53">
        <v>25.417581556098181</v>
      </c>
      <c r="Q1130" s="53">
        <v>23.506379775978051</v>
      </c>
      <c r="R1130" s="53">
        <v>35.224539372883186</v>
      </c>
      <c r="S1130" s="53">
        <v>64.384812878568653</v>
      </c>
      <c r="T1130" s="53">
        <v>118.09213116128538</v>
      </c>
      <c r="U1130" s="53">
        <v>32.933777838782611</v>
      </c>
      <c r="V1130" s="54">
        <v>438.88762131818794</v>
      </c>
      <c r="W1130" s="54">
        <v>1090.3282418720205</v>
      </c>
      <c r="X1130" s="53">
        <v>120.78124303368159</v>
      </c>
      <c r="Y1130" s="55">
        <v>1210.5170053085719</v>
      </c>
      <c r="Z1130" s="17" t="str">
        <f>SUBSTITUTE(SUBSTITUTE(SUBSTITUTE(SUBSTITUTE(IF(E1130="","",VLOOKUP(E1130,[1]Esquemas_NORM!$A$2:$H$126,8,FALSE)),"PROVINCIA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30" s="17" t="str">
        <f>IF($E1130="","",INDEX([1]Esquemas_NORM!$H$2:$K$126,MATCH($E1130,[1]Esquemas_NORM!$A$2:$A$126,0),MATCH(AA$4,[1]Esquemas_NORM!$H$1:$K$1,0)))</f>
        <v>Región de Planeación y Gestión de Urabá - RPG (Acuerdo de Voluntades)</v>
      </c>
      <c r="AB1130" s="17" t="str">
        <f>IF($E1130="","",INDEX([1]Esquemas_NORM!$H$2:$K$126,MATCH($E1130,[1]Esquemas_NORM!$A$2:$A$126,0),MATCH(AB$4,[1]Esquemas_NORM!$H$1:$K$1,0)))</f>
        <v>A la fecha no ha conformado un EAT Área Metropolitana</v>
      </c>
      <c r="AC1130" s="17" t="str">
        <f>IF($E1130="","",INDEX([1]Esquemas_NORM!$H$2:$K$126,MATCH($E1130,[1]Esquemas_NORM!$A$2:$A$126,0),MATCH(AC$4,[1]Esquemas_NORM!$H$1:$K$1,0)))</f>
        <v>ASOCIACIÓN DE MUNICIPIOS DEL URABÁ ANTIOQUEÑO - ASOMURA / ASOCIACIÓN DE MUNICIPIOS DEL CHOCÓ Y URABÁ - ASUMUCUR</v>
      </c>
      <c r="AD1130" s="23"/>
    </row>
    <row r="1131" spans="1:30" x14ac:dyDescent="0.25">
      <c r="A1131" s="51">
        <v>2023</v>
      </c>
      <c r="B1131" s="52" t="s">
        <v>36</v>
      </c>
      <c r="C1131" s="52" t="s">
        <v>304</v>
      </c>
      <c r="D1131" s="52" t="s">
        <v>305</v>
      </c>
      <c r="E1131" s="52" t="s">
        <v>314</v>
      </c>
      <c r="F1131" s="52" t="s">
        <v>307</v>
      </c>
      <c r="G1131" s="52" t="s">
        <v>315</v>
      </c>
      <c r="H1131" s="53">
        <v>339.41191499077382</v>
      </c>
      <c r="I1131" s="53">
        <v>8.21384746916209</v>
      </c>
      <c r="J1131" s="54">
        <v>347.62576245993591</v>
      </c>
      <c r="K1131" s="53">
        <v>27.459497718904451</v>
      </c>
      <c r="L1131" s="53">
        <v>28.274128365698346</v>
      </c>
      <c r="M1131" s="54">
        <v>55.733626084602797</v>
      </c>
      <c r="N1131" s="53">
        <v>27.862802963767408</v>
      </c>
      <c r="O1131" s="53">
        <v>144.5247409303536</v>
      </c>
      <c r="P1131" s="53">
        <v>36.477582974952035</v>
      </c>
      <c r="Q1131" s="53">
        <v>36.965958483687693</v>
      </c>
      <c r="R1131" s="53">
        <v>53.315865588482673</v>
      </c>
      <c r="S1131" s="53">
        <v>73.517522636537763</v>
      </c>
      <c r="T1131" s="53">
        <v>138.99640299015536</v>
      </c>
      <c r="U1131" s="53">
        <v>36.785181724737114</v>
      </c>
      <c r="V1131" s="54">
        <v>548.44605829267357</v>
      </c>
      <c r="W1131" s="54">
        <v>1112.2775730152555</v>
      </c>
      <c r="X1131" s="53">
        <v>123.21268284914274</v>
      </c>
      <c r="Y1131" s="55">
        <v>1234.8858490967411</v>
      </c>
      <c r="Z1131" s="17" t="str">
        <f>SUBSTITUTE(SUBSTITUTE(SUBSTITUTE(SUBSTITUTE(IF(E1131="","",VLOOKUP(E1131,[1]Esquemas_NORM!$A$2:$H$126,8,FALSE)),"PROVINCIA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31" s="17" t="str">
        <f>IF($E1131="","",INDEX([1]Esquemas_NORM!$H$2:$K$126,MATCH($E1131,[1]Esquemas_NORM!$A$2:$A$126,0),MATCH(AA$4,[1]Esquemas_NORM!$H$1:$K$1,0)))</f>
        <v>Región de Planeación y Gestión de Urabá - RPG (Acuerdo de Voluntades)</v>
      </c>
      <c r="AB1131" s="17" t="str">
        <f>IF($E1131="","",INDEX([1]Esquemas_NORM!$H$2:$K$126,MATCH($E1131,[1]Esquemas_NORM!$A$2:$A$126,0),MATCH(AB$4,[1]Esquemas_NORM!$H$1:$K$1,0)))</f>
        <v>A la fecha no ha conformado un EAT Área Metropolitana</v>
      </c>
      <c r="AC1131" s="17" t="str">
        <f>IF($E1131="","",INDEX([1]Esquemas_NORM!$H$2:$K$126,MATCH($E1131,[1]Esquemas_NORM!$A$2:$A$126,0),MATCH(AC$4,[1]Esquemas_NORM!$H$1:$K$1,0)))</f>
        <v>ASOCIACIÓN DE MUNICIPIOS DEL URABÁ ANTIOQUEÑO - ASOMURA</v>
      </c>
      <c r="AD1131" s="23"/>
    </row>
    <row r="1132" spans="1:30" x14ac:dyDescent="0.25">
      <c r="A1132" s="51">
        <v>2023</v>
      </c>
      <c r="B1132" s="52" t="s">
        <v>36</v>
      </c>
      <c r="C1132" s="52" t="s">
        <v>304</v>
      </c>
      <c r="D1132" s="52" t="s">
        <v>316</v>
      </c>
      <c r="E1132" s="52" t="s">
        <v>317</v>
      </c>
      <c r="F1132" s="52" t="s">
        <v>307</v>
      </c>
      <c r="G1132" s="52" t="s">
        <v>318</v>
      </c>
      <c r="H1132" s="53">
        <v>2.3588097753454944</v>
      </c>
      <c r="I1132" s="53">
        <v>0</v>
      </c>
      <c r="J1132" s="54">
        <v>2.3588097753454944</v>
      </c>
      <c r="K1132" s="53">
        <v>0.3324464438887611</v>
      </c>
      <c r="L1132" s="53">
        <v>1.6104711439773605</v>
      </c>
      <c r="M1132" s="54">
        <v>1.9429175878661216</v>
      </c>
      <c r="N1132" s="53">
        <v>0.14750490609736702</v>
      </c>
      <c r="O1132" s="53">
        <v>4.9546160642975892</v>
      </c>
      <c r="P1132" s="53">
        <v>1.6529886652145966</v>
      </c>
      <c r="Q1132" s="53">
        <v>0.88163859415134993</v>
      </c>
      <c r="R1132" s="53">
        <v>4.2130386188627789</v>
      </c>
      <c r="S1132" s="53">
        <v>5.6135032485816101</v>
      </c>
      <c r="T1132" s="53">
        <v>20.304391977110342</v>
      </c>
      <c r="U1132" s="53">
        <v>1.9812504703360891</v>
      </c>
      <c r="V1132" s="54">
        <v>39.748932544651723</v>
      </c>
      <c r="W1132" s="54">
        <v>42.580304000133609</v>
      </c>
      <c r="X1132" s="53">
        <v>4.7168383321468621</v>
      </c>
      <c r="Y1132" s="55">
        <v>47.274004381349187</v>
      </c>
      <c r="Z1132" s="17" t="str">
        <f>SUBSTITUTE(SUBSTITUTE(SUBSTITUTE(SUBSTITUTE(IF(E1132="","",VLOOKUP(E1132,[1]Esquemas_NORM!$A$2:$H$126,8,FALSE)),"PROVINCIA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32" s="17" t="str">
        <f>IF($E1132="","",INDEX([1]Esquemas_NORM!$H$2:$K$126,MATCH($E1132,[1]Esquemas_NORM!$A$2:$A$126,0),MATCH(AA$4,[1]Esquemas_NORM!$H$1:$K$1,0)))</f>
        <v>Región de Planeación y Gestión de Urabá - RPG (Acuerdo de Voluntades)</v>
      </c>
      <c r="AB1132" s="17" t="str">
        <f>IF($E1132="","",INDEX([1]Esquemas_NORM!$H$2:$K$126,MATCH($E1132,[1]Esquemas_NORM!$A$2:$A$126,0),MATCH(AB$4,[1]Esquemas_NORM!$H$1:$K$1,0)))</f>
        <v>A la fecha no ha conformado un EAT Área Metropolitana</v>
      </c>
      <c r="AC1132" s="17" t="str">
        <f>IF($E1132="","",INDEX([1]Esquemas_NORM!$H$2:$K$126,MATCH($E1132,[1]Esquemas_NORM!$A$2:$A$126,0),MATCH(AC$4,[1]Esquemas_NORM!$H$1:$K$1,0)))</f>
        <v>ASOCIACION DE MUNICIPIOS DE LA CUENCA DEL ATRATO Y DARIEN ASOATRATO / ASOCIACIÓN DE MUNICIPIOS DEL CHOCÓ Y URABÁ - ASUMUCUR</v>
      </c>
      <c r="AD1132" s="23"/>
    </row>
    <row r="1133" spans="1:30" x14ac:dyDescent="0.25">
      <c r="A1133" s="51">
        <v>2023</v>
      </c>
      <c r="B1133" s="52" t="s">
        <v>36</v>
      </c>
      <c r="C1133" s="52" t="s">
        <v>304</v>
      </c>
      <c r="D1133" s="52" t="s">
        <v>305</v>
      </c>
      <c r="E1133" s="52" t="s">
        <v>319</v>
      </c>
      <c r="F1133" s="52" t="s">
        <v>307</v>
      </c>
      <c r="G1133" s="52" t="s">
        <v>320</v>
      </c>
      <c r="H1133" s="53">
        <v>74.218869901835802</v>
      </c>
      <c r="I1133" s="53">
        <v>4.3506509812258267</v>
      </c>
      <c r="J1133" s="54">
        <v>78.569520883061628</v>
      </c>
      <c r="K1133" s="53">
        <v>3.8162125438588732</v>
      </c>
      <c r="L1133" s="53">
        <v>8.0344040230013096</v>
      </c>
      <c r="M1133" s="54">
        <v>11.850616566860182</v>
      </c>
      <c r="N1133" s="53">
        <v>3.3881805637085889</v>
      </c>
      <c r="O1133" s="53">
        <v>34.10418153384996</v>
      </c>
      <c r="P1133" s="53">
        <v>4.9860180928937217</v>
      </c>
      <c r="Q1133" s="53">
        <v>5.6813613729935799</v>
      </c>
      <c r="R1133" s="53">
        <v>8.4441238413031492</v>
      </c>
      <c r="S1133" s="53">
        <v>15.146883484515687</v>
      </c>
      <c r="T1133" s="53">
        <v>39.374496199354688</v>
      </c>
      <c r="U1133" s="53">
        <v>7.0406123135099454</v>
      </c>
      <c r="V1133" s="54">
        <v>118.16585740212932</v>
      </c>
      <c r="W1133" s="54">
        <v>245.88853704397471</v>
      </c>
      <c r="X1133" s="53">
        <v>27.238332468492011</v>
      </c>
      <c r="Y1133" s="55">
        <v>272.99325475704586</v>
      </c>
      <c r="Z1133" s="17" t="str">
        <f>SUBSTITUTE(SUBSTITUTE(SUBSTITUTE(SUBSTITUTE(IF(E1133="","",VLOOKUP(E1133,[1]Esquemas_NORM!$A$2:$H$126,8,FALSE)),"PROVINCIA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33" s="17" t="str">
        <f>IF($E1133="","",INDEX([1]Esquemas_NORM!$H$2:$K$126,MATCH($E1133,[1]Esquemas_NORM!$A$2:$A$126,0),MATCH(AA$4,[1]Esquemas_NORM!$H$1:$K$1,0)))</f>
        <v>Región de Planeación y Gestión de Urabá - RPG (Acuerdo de Voluntades)</v>
      </c>
      <c r="AB1133" s="17" t="str">
        <f>IF($E1133="","",INDEX([1]Esquemas_NORM!$H$2:$K$126,MATCH($E1133,[1]Esquemas_NORM!$A$2:$A$126,0),MATCH(AB$4,[1]Esquemas_NORM!$H$1:$K$1,0)))</f>
        <v>A la fecha no ha conformado un EAT Área Metropolitana</v>
      </c>
      <c r="AC1133" s="17" t="str">
        <f>IF($E1133="","",INDEX([1]Esquemas_NORM!$H$2:$K$126,MATCH($E1133,[1]Esquemas_NORM!$A$2:$A$126,0),MATCH(AC$4,[1]Esquemas_NORM!$H$1:$K$1,0)))</f>
        <v>ASOCIACIÓN DE MUNICIPIOS DEL URABÁ ANTIOQUEÑO - ASOMURA / ASOCIACIÓN DE MUNICIPIOS DEL CHOCÓ Y URABÁ - ASUMUCUR</v>
      </c>
      <c r="AD1133" s="23"/>
    </row>
    <row r="1134" spans="1:30" x14ac:dyDescent="0.25">
      <c r="A1134" s="51">
        <v>2023</v>
      </c>
      <c r="B1134" s="52" t="s">
        <v>36</v>
      </c>
      <c r="C1134" s="52" t="s">
        <v>304</v>
      </c>
      <c r="D1134" s="52" t="s">
        <v>309</v>
      </c>
      <c r="E1134" s="52" t="s">
        <v>321</v>
      </c>
      <c r="F1134" s="52" t="s">
        <v>307</v>
      </c>
      <c r="G1134" s="52" t="s">
        <v>322</v>
      </c>
      <c r="H1134" s="53">
        <v>163.59295730592504</v>
      </c>
      <c r="I1134" s="53">
        <v>0</v>
      </c>
      <c r="J1134" s="54">
        <v>163.59295730592504</v>
      </c>
      <c r="K1134" s="53">
        <v>14.564973850453757</v>
      </c>
      <c r="L1134" s="53">
        <v>17.401711519260257</v>
      </c>
      <c r="M1134" s="54">
        <v>31.966685369714014</v>
      </c>
      <c r="N1134" s="53">
        <v>12.313058610673824</v>
      </c>
      <c r="O1134" s="53">
        <v>95.803303882217861</v>
      </c>
      <c r="P1134" s="53">
        <v>14.720677875157348</v>
      </c>
      <c r="Q1134" s="53">
        <v>16.189642442530893</v>
      </c>
      <c r="R1134" s="53">
        <v>37.430264042738422</v>
      </c>
      <c r="S1134" s="53">
        <v>46.464134872278009</v>
      </c>
      <c r="T1134" s="53">
        <v>111.72967800891658</v>
      </c>
      <c r="U1134" s="53">
        <v>23.475001106112849</v>
      </c>
      <c r="V1134" s="54">
        <v>358.12576084062579</v>
      </c>
      <c r="W1134" s="54">
        <v>625.88310131829394</v>
      </c>
      <c r="X1134" s="53">
        <v>69.332276343852158</v>
      </c>
      <c r="Y1134" s="55">
        <v>694.87527552273775</v>
      </c>
      <c r="Z1134" s="17" t="str">
        <f>SUBSTITUTE(SUBSTITUTE(SUBSTITUTE(SUBSTITUTE(IF(E1134="","",VLOOKUP(E1134,[1]Esquemas_NORM!$A$2:$H$126,8,FALSE)),"PROVINCIA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34" s="17" t="str">
        <f>IF($E1134="","",INDEX([1]Esquemas_NORM!$H$2:$K$126,MATCH($E1134,[1]Esquemas_NORM!$A$2:$A$126,0),MATCH(AA$4,[1]Esquemas_NORM!$H$1:$K$1,0)))</f>
        <v>Región de Planeación y Gestión de Urabá - RPG (Acuerdo de Voluntades)</v>
      </c>
      <c r="AB1134" s="17" t="str">
        <f>IF($E1134="","",INDEX([1]Esquemas_NORM!$H$2:$K$126,MATCH($E1134,[1]Esquemas_NORM!$A$2:$A$126,0),MATCH(AB$4,[1]Esquemas_NORM!$H$1:$K$1,0)))</f>
        <v>A la fecha no ha conformado un EAT Área Metropolitana</v>
      </c>
      <c r="AC1134" s="17" t="str">
        <f>IF($E1134="","",INDEX([1]Esquemas_NORM!$H$2:$K$126,MATCH($E1134,[1]Esquemas_NORM!$A$2:$A$126,0),MATCH(AC$4,[1]Esquemas_NORM!$H$1:$K$1,0)))</f>
        <v>ASOCIACIÓN DE MUNICIPIOS DEL URABÁ NORTE-ASOURANOR</v>
      </c>
      <c r="AD1134" s="23"/>
    </row>
    <row r="1135" spans="1:30" x14ac:dyDescent="0.25">
      <c r="A1135" s="51">
        <v>2023</v>
      </c>
      <c r="B1135" s="52" t="s">
        <v>36</v>
      </c>
      <c r="C1135" s="52" t="s">
        <v>304</v>
      </c>
      <c r="D1135" s="52" t="s">
        <v>309</v>
      </c>
      <c r="E1135" s="52" t="s">
        <v>323</v>
      </c>
      <c r="F1135" s="52" t="s">
        <v>307</v>
      </c>
      <c r="G1135" s="52" t="s">
        <v>324</v>
      </c>
      <c r="H1135" s="53">
        <v>47.750323414677581</v>
      </c>
      <c r="I1135" s="53">
        <v>0</v>
      </c>
      <c r="J1135" s="54">
        <v>47.750323414677581</v>
      </c>
      <c r="K1135" s="53">
        <v>7.1699747686267976</v>
      </c>
      <c r="L1135" s="53">
        <v>4.5740938094861674</v>
      </c>
      <c r="M1135" s="54">
        <v>11.744068578112966</v>
      </c>
      <c r="N1135" s="53">
        <v>4.5409628299041369</v>
      </c>
      <c r="O1135" s="53">
        <v>24.64359886632203</v>
      </c>
      <c r="P1135" s="53">
        <v>6.6846525557054726</v>
      </c>
      <c r="Q1135" s="53">
        <v>7.622052629301999</v>
      </c>
      <c r="R1135" s="53">
        <v>14.768609383919113</v>
      </c>
      <c r="S1135" s="53">
        <v>17.752422610537632</v>
      </c>
      <c r="T1135" s="53">
        <v>55.726432323167991</v>
      </c>
      <c r="U1135" s="53">
        <v>14.273804585207877</v>
      </c>
      <c r="V1135" s="54">
        <v>146.01253578406624</v>
      </c>
      <c r="W1135" s="54">
        <v>221.95308463605443</v>
      </c>
      <c r="X1135" s="53">
        <v>24.586879829384539</v>
      </c>
      <c r="Y1135" s="55">
        <v>246.41935613015411</v>
      </c>
      <c r="Z1135" s="17" t="str">
        <f>SUBSTITUTE(SUBSTITUTE(SUBSTITUTE(SUBSTITUTE(IF(E1135="","",VLOOKUP(E1135,[1]Esquemas_NORM!$A$2:$H$126,8,FALSE)),"PROVINCIA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35" s="17" t="str">
        <f>IF($E1135="","",INDEX([1]Esquemas_NORM!$H$2:$K$126,MATCH($E1135,[1]Esquemas_NORM!$A$2:$A$126,0),MATCH(AA$4,[1]Esquemas_NORM!$H$1:$K$1,0)))</f>
        <v>Región de Planeación y Gestión de Urabá - RPG (Acuerdo de Voluntades)</v>
      </c>
      <c r="AB1135" s="17" t="str">
        <f>IF($E1135="","",INDEX([1]Esquemas_NORM!$H$2:$K$126,MATCH($E1135,[1]Esquemas_NORM!$A$2:$A$126,0),MATCH(AB$4,[1]Esquemas_NORM!$H$1:$K$1,0)))</f>
        <v>A la fecha no ha conformado un EAT Área Metropolitana</v>
      </c>
      <c r="AC1135" s="17" t="str">
        <f>IF($E1135="","",INDEX([1]Esquemas_NORM!$H$2:$K$126,MATCH($E1135,[1]Esquemas_NORM!$A$2:$A$126,0),MATCH(AC$4,[1]Esquemas_NORM!$H$1:$K$1,0)))</f>
        <v>ASOCIACIÓN DE MUNICIPIOS DEL URABÁ ANTIOQUEÑO - ASOMURA / ASOCIACIÓN DE MUNICIPIOS DEL CHOCÓ Y URABÁ - ASUMUCUR</v>
      </c>
      <c r="AD1135" s="23"/>
    </row>
    <row r="1136" spans="1:30" x14ac:dyDescent="0.25">
      <c r="A1136" s="51">
        <v>2023</v>
      </c>
      <c r="B1136" s="52" t="s">
        <v>36</v>
      </c>
      <c r="C1136" s="52" t="s">
        <v>304</v>
      </c>
      <c r="D1136" s="52" t="s">
        <v>309</v>
      </c>
      <c r="E1136" s="52" t="s">
        <v>325</v>
      </c>
      <c r="F1136" s="52" t="s">
        <v>307</v>
      </c>
      <c r="G1136" s="52" t="s">
        <v>326</v>
      </c>
      <c r="H1136" s="53">
        <v>84.976892870711026</v>
      </c>
      <c r="I1136" s="53">
        <v>0</v>
      </c>
      <c r="J1136" s="54">
        <v>84.976892870711026</v>
      </c>
      <c r="K1136" s="53">
        <v>7.9383073332402097</v>
      </c>
      <c r="L1136" s="53">
        <v>10.775294512985221</v>
      </c>
      <c r="M1136" s="54">
        <v>18.71360184622543</v>
      </c>
      <c r="N1136" s="53">
        <v>4.8513740372684744</v>
      </c>
      <c r="O1136" s="53">
        <v>35.217472594208971</v>
      </c>
      <c r="P1136" s="53">
        <v>17.791841922991427</v>
      </c>
      <c r="Q1136" s="53">
        <v>11.421215223529874</v>
      </c>
      <c r="R1136" s="53">
        <v>14.391035984170211</v>
      </c>
      <c r="S1136" s="53">
        <v>32.231391036202119</v>
      </c>
      <c r="T1136" s="53">
        <v>90.369693636713691</v>
      </c>
      <c r="U1136" s="53">
        <v>12.910822235089247</v>
      </c>
      <c r="V1136" s="54">
        <v>219.18484667017401</v>
      </c>
      <c r="W1136" s="54">
        <v>353.03367579819468</v>
      </c>
      <c r="X1136" s="53">
        <v>39.107348189413649</v>
      </c>
      <c r="Y1136" s="55">
        <v>391.94918703248175</v>
      </c>
      <c r="Z1136" s="17" t="str">
        <f>SUBSTITUTE(SUBSTITUTE(SUBSTITUTE(SUBSTITUTE(IF(E1136="","",VLOOKUP(E1136,[1]Esquemas_NORM!$A$2:$H$126,8,FALSE)),"PROVINCIA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36" s="17" t="str">
        <f>IF($E1136="","",INDEX([1]Esquemas_NORM!$H$2:$K$126,MATCH($E1136,[1]Esquemas_NORM!$A$2:$A$126,0),MATCH(AA$4,[1]Esquemas_NORM!$H$1:$K$1,0)))</f>
        <v>Región de Planeación y Gestión de Urabá - RPG (Acuerdo de Voluntades)</v>
      </c>
      <c r="AB1136" s="17" t="str">
        <f>IF($E1136="","",INDEX([1]Esquemas_NORM!$H$2:$K$126,MATCH($E1136,[1]Esquemas_NORM!$A$2:$A$126,0),MATCH(AB$4,[1]Esquemas_NORM!$H$1:$K$1,0)))</f>
        <v>A la fecha no ha conformado un EAT Área Metropolitana</v>
      </c>
      <c r="AC1136" s="17" t="str">
        <f>IF($E1136="","",INDEX([1]Esquemas_NORM!$H$2:$K$126,MATCH($E1136,[1]Esquemas_NORM!$A$2:$A$126,0),MATCH(AC$4,[1]Esquemas_NORM!$H$1:$K$1,0)))</f>
        <v>ASOCIACIÓN DE MUNICIPIOS DEL URABÁ NORTE-ASOURANOR</v>
      </c>
      <c r="AD1136" s="23"/>
    </row>
    <row r="1137" spans="1:30" x14ac:dyDescent="0.25">
      <c r="A1137" s="51">
        <v>2023</v>
      </c>
      <c r="B1137" s="52" t="s">
        <v>36</v>
      </c>
      <c r="C1137" s="52" t="s">
        <v>304</v>
      </c>
      <c r="D1137" s="52" t="s">
        <v>305</v>
      </c>
      <c r="E1137" s="52" t="s">
        <v>327</v>
      </c>
      <c r="F1137" s="52" t="s">
        <v>307</v>
      </c>
      <c r="G1137" s="52" t="s">
        <v>328</v>
      </c>
      <c r="H1137" s="53">
        <v>589.02346907270794</v>
      </c>
      <c r="I1137" s="53">
        <v>2.529931517838834</v>
      </c>
      <c r="J1137" s="54">
        <v>591.55340059054674</v>
      </c>
      <c r="K1137" s="53">
        <v>54.799781111470821</v>
      </c>
      <c r="L1137" s="53">
        <v>64.723059094157051</v>
      </c>
      <c r="M1137" s="54">
        <v>119.52284020562787</v>
      </c>
      <c r="N1137" s="53">
        <v>56.537895142078597</v>
      </c>
      <c r="O1137" s="53">
        <v>297.50695234798707</v>
      </c>
      <c r="P1137" s="53">
        <v>77.257457055023693</v>
      </c>
      <c r="Q1137" s="53">
        <v>77.79466775441955</v>
      </c>
      <c r="R1137" s="53">
        <v>125.2020854437793</v>
      </c>
      <c r="S1137" s="53">
        <v>201.68727122584943</v>
      </c>
      <c r="T1137" s="53">
        <v>472.44859755907197</v>
      </c>
      <c r="U1137" s="53">
        <v>94.492868671515225</v>
      </c>
      <c r="V1137" s="54">
        <v>1402.9277951997246</v>
      </c>
      <c r="W1137" s="54">
        <v>2357.3362910365149</v>
      </c>
      <c r="X1137" s="53">
        <v>261.13421311628133</v>
      </c>
      <c r="Y1137" s="55">
        <v>2617.1895379241228</v>
      </c>
      <c r="Z1137" s="17" t="str">
        <f>SUBSTITUTE(SUBSTITUTE(SUBSTITUTE(SUBSTITUTE(IF(E1137="","",VLOOKUP(E1137,[1]Esquemas_NORM!$A$2:$H$126,8,FALSE)),"PROVINCIA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37" s="17" t="str">
        <f>IF($E1137="","",INDEX([1]Esquemas_NORM!$H$2:$K$126,MATCH($E1137,[1]Esquemas_NORM!$A$2:$A$126,0),MATCH(AA$4,[1]Esquemas_NORM!$H$1:$K$1,0)))</f>
        <v>Región de Planeación y Gestión de Urabá - RPG (Acuerdo de Voluntades)</v>
      </c>
      <c r="AB1137" s="17" t="str">
        <f>IF($E1137="","",INDEX([1]Esquemas_NORM!$H$2:$K$126,MATCH($E1137,[1]Esquemas_NORM!$A$2:$A$126,0),MATCH(AB$4,[1]Esquemas_NORM!$H$1:$K$1,0)))</f>
        <v>A la fecha no ha conformado un EAT Área Metropolitana</v>
      </c>
      <c r="AC1137" s="17" t="str">
        <f>IF($E1137="","",INDEX([1]Esquemas_NORM!$H$2:$K$126,MATCH($E1137,[1]Esquemas_NORM!$A$2:$A$126,0),MATCH(AC$4,[1]Esquemas_NORM!$H$1:$K$1,0)))</f>
        <v>ASOCIACIÓN DE MUNICIPIOS DEL URABÁ ANTIOQUEÑO - ASOMURA</v>
      </c>
      <c r="AD1137" s="23"/>
    </row>
    <row r="1138" spans="1:30" ht="15.75" thickBot="1" x14ac:dyDescent="0.3">
      <c r="A1138" s="61">
        <v>2023</v>
      </c>
      <c r="B1138" s="62" t="s">
        <v>36</v>
      </c>
      <c r="C1138" s="62" t="s">
        <v>304</v>
      </c>
      <c r="D1138" s="62" t="s">
        <v>316</v>
      </c>
      <c r="E1138" s="62" t="s">
        <v>329</v>
      </c>
      <c r="F1138" s="62" t="s">
        <v>307</v>
      </c>
      <c r="G1138" s="62" t="s">
        <v>330</v>
      </c>
      <c r="H1138" s="63">
        <v>13.051051487713512</v>
      </c>
      <c r="I1138" s="63">
        <v>0</v>
      </c>
      <c r="J1138" s="64">
        <v>13.051051487713512</v>
      </c>
      <c r="K1138" s="63">
        <v>0.78481975211515509</v>
      </c>
      <c r="L1138" s="63">
        <v>3.0679195506716055</v>
      </c>
      <c r="M1138" s="64">
        <v>3.8527393027867607</v>
      </c>
      <c r="N1138" s="63">
        <v>2.2253759859955902</v>
      </c>
      <c r="O1138" s="63">
        <v>10.162272556665531</v>
      </c>
      <c r="P1138" s="63">
        <v>3.1204811402756665</v>
      </c>
      <c r="Q1138" s="63">
        <v>2.5414065968305617</v>
      </c>
      <c r="R1138" s="63">
        <v>8.176137210653275</v>
      </c>
      <c r="S1138" s="63">
        <v>8.8767012577635853</v>
      </c>
      <c r="T1138" s="63">
        <v>24.460252998849288</v>
      </c>
      <c r="U1138" s="63">
        <v>4.8103125601918588</v>
      </c>
      <c r="V1138" s="64">
        <v>64.372940307225363</v>
      </c>
      <c r="W1138" s="64">
        <v>84.418249715312726</v>
      </c>
      <c r="X1138" s="63">
        <v>9.3514418353792639</v>
      </c>
      <c r="Y1138" s="65">
        <v>93.723819043073988</v>
      </c>
      <c r="Z1138" s="17" t="str">
        <f>SUBSTITUTE(SUBSTITUTE(SUBSTITUTE(SUBSTITUTE(IF(E1138="","",VLOOKUP(E1138,[1]Esquemas_NORM!$A$2:$H$126,8,FALSE)),"PROVINCIA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38" s="17" t="str">
        <f>IF($E1138="","",INDEX([1]Esquemas_NORM!$H$2:$K$126,MATCH($E1138,[1]Esquemas_NORM!$A$2:$A$126,0),MATCH(AA$4,[1]Esquemas_NORM!$H$1:$K$1,0)))</f>
        <v>Región de Planeación y Gestión de Urabá - RPG (Acuerdo de Voluntades)</v>
      </c>
      <c r="AB1138" s="17" t="str">
        <f>IF($E1138="","",INDEX([1]Esquemas_NORM!$H$2:$K$126,MATCH($E1138,[1]Esquemas_NORM!$A$2:$A$126,0),MATCH(AB$4,[1]Esquemas_NORM!$H$1:$K$1,0)))</f>
        <v>A la fecha no ha conformado un EAT Área Metropolitana</v>
      </c>
      <c r="AC1138" s="17" t="str">
        <f>IF($E1138="","",INDEX([1]Esquemas_NORM!$H$2:$K$126,MATCH($E1138,[1]Esquemas_NORM!$A$2:$A$126,0),MATCH(AC$4,[1]Esquemas_NORM!$H$1:$K$1,0)))</f>
        <v>ASOCIACION DE MUNICIPIOS DE LA CUENCA DEL ATRATO Y DARIEN ASOATRATO</v>
      </c>
      <c r="AD1138" s="23"/>
    </row>
    <row r="1139" spans="1:30" ht="15.75" thickBot="1" x14ac:dyDescent="0.3">
      <c r="A1139" s="42">
        <v>2024</v>
      </c>
      <c r="B1139" s="43" t="s">
        <v>36</v>
      </c>
      <c r="C1139" s="43"/>
      <c r="D1139" s="43"/>
      <c r="E1139" s="43"/>
      <c r="F1139" s="43"/>
      <c r="G1139" s="43" t="s">
        <v>37</v>
      </c>
      <c r="H1139" s="44">
        <v>8176.5462069164678</v>
      </c>
      <c r="I1139" s="44">
        <v>3095.4296983366198</v>
      </c>
      <c r="J1139" s="44">
        <v>11271.975905253088</v>
      </c>
      <c r="K1139" s="44">
        <v>21114.815141043015</v>
      </c>
      <c r="L1139" s="44">
        <v>6580.7446529688405</v>
      </c>
      <c r="M1139" s="44">
        <v>27695.559794011853</v>
      </c>
      <c r="N1139" s="44">
        <v>6323.2833482530086</v>
      </c>
      <c r="O1139" s="44">
        <v>24872.330307491262</v>
      </c>
      <c r="P1139" s="44">
        <v>4414.7537051050231</v>
      </c>
      <c r="Q1139" s="44">
        <v>8362.7120060186317</v>
      </c>
      <c r="R1139" s="44">
        <v>13216.198551721183</v>
      </c>
      <c r="S1139" s="44">
        <v>13105.211956270603</v>
      </c>
      <c r="T1139" s="44">
        <v>18148.316770012305</v>
      </c>
      <c r="U1139" s="44">
        <v>6130.0870550287445</v>
      </c>
      <c r="V1139" s="44">
        <v>94572.893699900771</v>
      </c>
      <c r="W1139" s="44">
        <v>134481.13763983094</v>
      </c>
      <c r="X1139" s="44">
        <v>14744.883189139495</v>
      </c>
      <c r="Y1139" s="45">
        <v>149162.56286814398</v>
      </c>
      <c r="Z1139" s="17" t="str">
        <f>SUBSTITUTE(SUBSTITUTE(SUBSTITUTE(SUBSTITUTE(IF(E1139="","",VLOOKUP(E1139,[1]Esquemas_NORM!$A$2:$H$126,8,FALSE)),"PROVINCIA ADMINISTRATIVA Y DE PLANIFICACIÓN","PAT"),"PROVINCIA ADMINISTRATIVA Y DE PLANIFICACION","PAT"),"PROVINCIA ADMINISTRATIVA DE PLANIFICACION","PAT"),"PROVINCIA ADMINISTRATIVA Y PLANIFICACION","PAT")</f>
        <v/>
      </c>
      <c r="AA1139" s="17" t="str">
        <f>IF($E1139="","",INDEX([1]Esquemas_NORM!$H$2:$K$126,MATCH($E1139,[1]Esquemas_NORM!$A$2:$A$126,0),MATCH(AA$4,[1]Esquemas_NORM!$H$1:$K$1,0)))</f>
        <v/>
      </c>
      <c r="AB1139" s="17" t="str">
        <f>IF($E1139="","",INDEX([1]Esquemas_NORM!$H$2:$K$126,MATCH($E1139,[1]Esquemas_NORM!$A$2:$A$126,0),MATCH(AB$4,[1]Esquemas_NORM!$H$1:$K$1,0)))</f>
        <v/>
      </c>
      <c r="AC1139" s="17" t="str">
        <f>IF($E1139="","",INDEX([1]Esquemas_NORM!$H$2:$K$126,MATCH($E1139,[1]Esquemas_NORM!$A$2:$A$126,0),MATCH(AC$4,[1]Esquemas_NORM!$H$1:$K$1,0)))</f>
        <v/>
      </c>
      <c r="AD1139" s="23"/>
    </row>
    <row r="1140" spans="1:30" x14ac:dyDescent="0.25">
      <c r="A1140" s="46">
        <v>2024</v>
      </c>
      <c r="B1140" s="47" t="s">
        <v>36</v>
      </c>
      <c r="C1140" s="47" t="s">
        <v>38</v>
      </c>
      <c r="D1140" s="47" t="s">
        <v>39</v>
      </c>
      <c r="E1140" s="47" t="s">
        <v>40</v>
      </c>
      <c r="F1140" s="47" t="s">
        <v>41</v>
      </c>
      <c r="G1140" s="47" t="s">
        <v>42</v>
      </c>
      <c r="H1140" s="48">
        <v>106.91942001792128</v>
      </c>
      <c r="I1140" s="48">
        <v>4.5856458466019232</v>
      </c>
      <c r="J1140" s="49">
        <v>111.5050658645232</v>
      </c>
      <c r="K1140" s="48">
        <v>7338.6252310031823</v>
      </c>
      <c r="L1140" s="48">
        <v>2916.9129158223768</v>
      </c>
      <c r="M1140" s="49">
        <v>10255.538146825558</v>
      </c>
      <c r="N1140" s="48">
        <v>2170.9621226758791</v>
      </c>
      <c r="O1140" s="48">
        <v>12295.976834877922</v>
      </c>
      <c r="P1140" s="48">
        <v>2043.6848271672243</v>
      </c>
      <c r="Q1140" s="48">
        <v>5970.5120591330478</v>
      </c>
      <c r="R1140" s="48">
        <v>6227.9842631199426</v>
      </c>
      <c r="S1140" s="48">
        <v>6353.0936112918725</v>
      </c>
      <c r="T1140" s="48">
        <v>8742.4686722553688</v>
      </c>
      <c r="U1140" s="48">
        <v>2633.1290404254496</v>
      </c>
      <c r="V1140" s="49">
        <v>46437.811430946706</v>
      </c>
      <c r="W1140" s="49">
        <v>54247.687794544698</v>
      </c>
      <c r="X1140" s="48">
        <v>5947.8662498654949</v>
      </c>
      <c r="Y1140" s="50">
        <v>60169.956048234584</v>
      </c>
      <c r="Z1140" s="17" t="str">
        <f>SUBSTITUTE(SUBSTITUTE(SUBSTITUTE(SUBSTITUTE(IF(E1140="","",VLOOKUP(E1140,[1]Esquemas_NORM!$A$2:$H$126,8,FALSE)),"PROVINCIA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0" s="17" t="str">
        <f>IF($E1140="","",INDEX([1]Esquemas_NORM!$H$2:$K$126,MATCH($E1140,[1]Esquemas_NORM!$A$2:$A$126,0),MATCH(AA$4,[1]Esquemas_NORM!$H$1:$K$1,0)))</f>
        <v>A la fecha no ha conformado un EAT Región</v>
      </c>
      <c r="AB1140" s="17" t="str">
        <f>IF($E1140="","",INDEX([1]Esquemas_NORM!$H$2:$K$126,MATCH($E1140,[1]Esquemas_NORM!$A$2:$A$126,0),MATCH(AB$4,[1]Esquemas_NORM!$H$1:$K$1,0)))</f>
        <v>Área Metropolitana del Valle de Aburrá</v>
      </c>
      <c r="AC1140" s="17" t="str">
        <f>IF($E1140="","",INDEX([1]Esquemas_NORM!$H$2:$K$126,MATCH($E1140,[1]Esquemas_NORM!$A$2:$A$126,0),MATCH(AC$4,[1]Esquemas_NORM!$H$1:$K$1,0)))</f>
        <v>A la fecha no ha conformado un EAT asociación - unión</v>
      </c>
      <c r="AD1140" s="23"/>
    </row>
    <row r="1141" spans="1:30" x14ac:dyDescent="0.25">
      <c r="A1141" s="51">
        <v>2024</v>
      </c>
      <c r="B1141" s="52" t="s">
        <v>36</v>
      </c>
      <c r="C1141" s="52" t="s">
        <v>38</v>
      </c>
      <c r="D1141" s="52" t="s">
        <v>43</v>
      </c>
      <c r="E1141" s="52" t="s">
        <v>44</v>
      </c>
      <c r="F1141" s="52" t="s">
        <v>41</v>
      </c>
      <c r="G1141" s="52" t="s">
        <v>45</v>
      </c>
      <c r="H1141" s="53">
        <v>97.487901136396786</v>
      </c>
      <c r="I1141" s="53">
        <v>1.0287341730234061</v>
      </c>
      <c r="J1141" s="54">
        <v>98.516635309420195</v>
      </c>
      <c r="K1141" s="53">
        <v>384.7666446405126</v>
      </c>
      <c r="L1141" s="53">
        <v>68.203600609558976</v>
      </c>
      <c r="M1141" s="54">
        <v>452.97024525007157</v>
      </c>
      <c r="N1141" s="53">
        <v>146.67013181196145</v>
      </c>
      <c r="O1141" s="53">
        <v>115.74061286786778</v>
      </c>
      <c r="P1141" s="53">
        <v>17.084396286756284</v>
      </c>
      <c r="Q1141" s="53">
        <v>11.587231111600865</v>
      </c>
      <c r="R1141" s="53">
        <v>51.190944560491978</v>
      </c>
      <c r="S1141" s="53">
        <v>67.088444342147383</v>
      </c>
      <c r="T1141" s="53">
        <v>54.976614536569734</v>
      </c>
      <c r="U1141" s="53">
        <v>28.041758944205522</v>
      </c>
      <c r="V1141" s="54">
        <v>492.38013446160102</v>
      </c>
      <c r="W1141" s="54">
        <v>1079.6345201928821</v>
      </c>
      <c r="X1141" s="53">
        <v>118.37410931069162</v>
      </c>
      <c r="Y1141" s="55">
        <v>1197.4991795815142</v>
      </c>
      <c r="Z1141" s="17" t="str">
        <f>SUBSTITUTE(SUBSTITUTE(SUBSTITUTE(SUBSTITUTE(IF(E1141="","",VLOOKUP(E1141,[1]Esquemas_NORM!$A$2:$H$126,8,FALSE)),"PROVINCIA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1" s="17" t="str">
        <f>IF($E1141="","",INDEX([1]Esquemas_NORM!$H$2:$K$126,MATCH($E1141,[1]Esquemas_NORM!$A$2:$A$126,0),MATCH(AA$4,[1]Esquemas_NORM!$H$1:$K$1,0)))</f>
        <v>A la fecha no ha conformado un EAT Región</v>
      </c>
      <c r="AB1141" s="17" t="str">
        <f>IF($E1141="","",INDEX([1]Esquemas_NORM!$H$2:$K$126,MATCH($E1141,[1]Esquemas_NORM!$A$2:$A$126,0),MATCH(AB$4,[1]Esquemas_NORM!$H$1:$K$1,0)))</f>
        <v>Área Metropolitana del Valle de Aburrá</v>
      </c>
      <c r="AC1141" s="17" t="str">
        <f>IF($E1141="","",INDEX([1]Esquemas_NORM!$H$2:$K$126,MATCH($E1141,[1]Esquemas_NORM!$A$2:$A$126,0),MATCH(AC$4,[1]Esquemas_NORM!$H$1:$K$1,0)))</f>
        <v>A la fecha no ha conformado un EAT asociación - unión</v>
      </c>
      <c r="AD1141" s="23"/>
    </row>
    <row r="1142" spans="1:30" x14ac:dyDescent="0.25">
      <c r="A1142" s="51">
        <v>2024</v>
      </c>
      <c r="B1142" s="52" t="s">
        <v>36</v>
      </c>
      <c r="C1142" s="52" t="s">
        <v>38</v>
      </c>
      <c r="D1142" s="52" t="s">
        <v>43</v>
      </c>
      <c r="E1142" s="52" t="s">
        <v>46</v>
      </c>
      <c r="F1142" s="52" t="s">
        <v>41</v>
      </c>
      <c r="G1142" s="52" t="s">
        <v>47</v>
      </c>
      <c r="H1142" s="53">
        <v>37.370898502515431</v>
      </c>
      <c r="I1142" s="53">
        <v>1.2182088348638824</v>
      </c>
      <c r="J1142" s="54">
        <v>38.589107337379311</v>
      </c>
      <c r="K1142" s="53">
        <v>662.61356326580346</v>
      </c>
      <c r="L1142" s="53">
        <v>291.34124964485312</v>
      </c>
      <c r="M1142" s="54">
        <v>953.95481291065653</v>
      </c>
      <c r="N1142" s="53">
        <v>237.23088034822734</v>
      </c>
      <c r="O1142" s="53">
        <v>1419.5379701596119</v>
      </c>
      <c r="P1142" s="53">
        <v>319.63387770668731</v>
      </c>
      <c r="Q1142" s="53">
        <v>243.81667243104528</v>
      </c>
      <c r="R1142" s="53">
        <v>778.07993578993239</v>
      </c>
      <c r="S1142" s="53">
        <v>661.17920308648434</v>
      </c>
      <c r="T1142" s="53">
        <v>915.39475494342923</v>
      </c>
      <c r="U1142" s="53">
        <v>373.60234280841934</v>
      </c>
      <c r="V1142" s="54">
        <v>4948.4756372738375</v>
      </c>
      <c r="W1142" s="54">
        <v>5735.3842682319419</v>
      </c>
      <c r="X1142" s="53">
        <v>628.84336468358129</v>
      </c>
      <c r="Y1142" s="55">
        <v>6361.5212623671632</v>
      </c>
      <c r="Z1142" s="17" t="str">
        <f>SUBSTITUTE(SUBSTITUTE(SUBSTITUTE(SUBSTITUTE(IF(E1142="","",VLOOKUP(E1142,[1]Esquemas_NORM!$A$2:$H$126,8,FALSE)),"PROVINCIA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2" s="17" t="str">
        <f>IF($E1142="","",INDEX([1]Esquemas_NORM!$H$2:$K$126,MATCH($E1142,[1]Esquemas_NORM!$A$2:$A$126,0),MATCH(AA$4,[1]Esquemas_NORM!$H$1:$K$1,0)))</f>
        <v>A la fecha no ha conformado un EAT Región</v>
      </c>
      <c r="AB1142" s="17" t="str">
        <f>IF($E1142="","",INDEX([1]Esquemas_NORM!$H$2:$K$126,MATCH($E1142,[1]Esquemas_NORM!$A$2:$A$126,0),MATCH(AB$4,[1]Esquemas_NORM!$H$1:$K$1,0)))</f>
        <v>Área Metropolitana del Valle de Aburrá</v>
      </c>
      <c r="AC1142" s="17" t="str">
        <f>IF($E1142="","",INDEX([1]Esquemas_NORM!$H$2:$K$126,MATCH($E1142,[1]Esquemas_NORM!$A$2:$A$126,0),MATCH(AC$4,[1]Esquemas_NORM!$H$1:$K$1,0)))</f>
        <v>A la fecha no ha conformado un EAT asociación - unión</v>
      </c>
      <c r="AD1142" s="23"/>
    </row>
    <row r="1143" spans="1:30" x14ac:dyDescent="0.25">
      <c r="A1143" s="51">
        <v>2024</v>
      </c>
      <c r="B1143" s="52" t="s">
        <v>36</v>
      </c>
      <c r="C1143" s="52" t="s">
        <v>38</v>
      </c>
      <c r="D1143" s="52" t="s">
        <v>48</v>
      </c>
      <c r="E1143" s="52" t="s">
        <v>49</v>
      </c>
      <c r="F1143" s="52" t="s">
        <v>41</v>
      </c>
      <c r="G1143" s="52" t="s">
        <v>50</v>
      </c>
      <c r="H1143" s="53">
        <v>52.645075092246607</v>
      </c>
      <c r="I1143" s="53">
        <v>5.6313417791568815E-2</v>
      </c>
      <c r="J1143" s="54">
        <v>52.701388510038178</v>
      </c>
      <c r="K1143" s="53">
        <v>237.50658085299617</v>
      </c>
      <c r="L1143" s="53">
        <v>61.447149734789647</v>
      </c>
      <c r="M1143" s="54">
        <v>298.9537305877858</v>
      </c>
      <c r="N1143" s="53">
        <v>41.53395436846963</v>
      </c>
      <c r="O1143" s="53">
        <v>253.95471894413819</v>
      </c>
      <c r="P1143" s="53">
        <v>54.112674066263736</v>
      </c>
      <c r="Q1143" s="53">
        <v>44.549042807603328</v>
      </c>
      <c r="R1143" s="53">
        <v>121.4958345719099</v>
      </c>
      <c r="S1143" s="53">
        <v>119.22839925770973</v>
      </c>
      <c r="T1143" s="53">
        <v>124.1676996250723</v>
      </c>
      <c r="U1143" s="53">
        <v>67.869687876890993</v>
      </c>
      <c r="V1143" s="54">
        <v>826.91201151805774</v>
      </c>
      <c r="W1143" s="54">
        <v>1152.0635587804575</v>
      </c>
      <c r="X1143" s="53">
        <v>126.31542905426129</v>
      </c>
      <c r="Y1143" s="55">
        <v>1277.8353606356509</v>
      </c>
      <c r="Z1143" s="17" t="str">
        <f>SUBSTITUTE(SUBSTITUTE(SUBSTITUTE(SUBSTITUTE(IF(E1143="","",VLOOKUP(E1143,[1]Esquemas_NORM!$A$2:$H$126,8,FALSE)),"PROVINCIA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3" s="17" t="str">
        <f>IF($E1143="","",INDEX([1]Esquemas_NORM!$H$2:$K$126,MATCH($E1143,[1]Esquemas_NORM!$A$2:$A$126,0),MATCH(AA$4,[1]Esquemas_NORM!$H$1:$K$1,0)))</f>
        <v>A la fecha no ha conformado un EAT Región</v>
      </c>
      <c r="AB1143" s="17" t="str">
        <f>IF($E1143="","",INDEX([1]Esquemas_NORM!$H$2:$K$126,MATCH($E1143,[1]Esquemas_NORM!$A$2:$A$126,0),MATCH(AB$4,[1]Esquemas_NORM!$H$1:$K$1,0)))</f>
        <v>Área Metropolitana del Valle de Aburrá</v>
      </c>
      <c r="AC1143" s="17" t="str">
        <f>IF($E1143="","",INDEX([1]Esquemas_NORM!$H$2:$K$126,MATCH($E1143,[1]Esquemas_NORM!$A$2:$A$126,0),MATCH(AC$4,[1]Esquemas_NORM!$H$1:$K$1,0)))</f>
        <v>A la fecha no ha conformado un EAT asociación - unión</v>
      </c>
      <c r="AD1143" s="23"/>
    </row>
    <row r="1144" spans="1:30" x14ac:dyDescent="0.25">
      <c r="A1144" s="51">
        <v>2024</v>
      </c>
      <c r="B1144" s="52" t="s">
        <v>36</v>
      </c>
      <c r="C1144" s="52" t="s">
        <v>38</v>
      </c>
      <c r="D1144" s="52" t="s">
        <v>43</v>
      </c>
      <c r="E1144" s="52" t="s">
        <v>51</v>
      </c>
      <c r="F1144" s="52" t="s">
        <v>41</v>
      </c>
      <c r="G1144" s="52" t="s">
        <v>52</v>
      </c>
      <c r="H1144" s="53">
        <v>11.951944219071988</v>
      </c>
      <c r="I1144" s="53">
        <v>0</v>
      </c>
      <c r="J1144" s="54">
        <v>11.951944219071988</v>
      </c>
      <c r="K1144" s="53">
        <v>577.92640467400474</v>
      </c>
      <c r="L1144" s="53">
        <v>95.520747418699415</v>
      </c>
      <c r="M1144" s="54">
        <v>673.44715209270419</v>
      </c>
      <c r="N1144" s="53">
        <v>46.961219771584673</v>
      </c>
      <c r="O1144" s="53">
        <v>264.12558912985685</v>
      </c>
      <c r="P1144" s="53">
        <v>55.294415156066869</v>
      </c>
      <c r="Q1144" s="53">
        <v>39.00407863159333</v>
      </c>
      <c r="R1144" s="53">
        <v>116.47963267305094</v>
      </c>
      <c r="S1144" s="53">
        <v>114.00156073880905</v>
      </c>
      <c r="T1144" s="53">
        <v>95.476810000311715</v>
      </c>
      <c r="U1144" s="53">
        <v>53.814311997617608</v>
      </c>
      <c r="V1144" s="54">
        <v>785.15761809889113</v>
      </c>
      <c r="W1144" s="54">
        <v>1383.954355599401</v>
      </c>
      <c r="X1144" s="53">
        <v>151.74057619192595</v>
      </c>
      <c r="Y1144" s="55">
        <v>1535.0418816846382</v>
      </c>
      <c r="Z1144" s="17" t="str">
        <f>SUBSTITUTE(SUBSTITUTE(SUBSTITUTE(SUBSTITUTE(IF(E1144="","",VLOOKUP(E1144,[1]Esquemas_NORM!$A$2:$H$126,8,FALSE)),"PROVINCIA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4" s="17" t="str">
        <f>IF($E1144="","",INDEX([1]Esquemas_NORM!$H$2:$K$126,MATCH($E1144,[1]Esquemas_NORM!$A$2:$A$126,0),MATCH(AA$4,[1]Esquemas_NORM!$H$1:$K$1,0)))</f>
        <v>A la fecha no ha conformado un EAT Región</v>
      </c>
      <c r="AB1144" s="17" t="str">
        <f>IF($E1144="","",INDEX([1]Esquemas_NORM!$H$2:$K$126,MATCH($E1144,[1]Esquemas_NORM!$A$2:$A$126,0),MATCH(AB$4,[1]Esquemas_NORM!$H$1:$K$1,0)))</f>
        <v>Área Metropolitana del Valle de Aburrá</v>
      </c>
      <c r="AC1144" s="17" t="str">
        <f>IF($E1144="","",INDEX([1]Esquemas_NORM!$H$2:$K$126,MATCH($E1144,[1]Esquemas_NORM!$A$2:$A$126,0),MATCH(AC$4,[1]Esquemas_NORM!$H$1:$K$1,0)))</f>
        <v>A la fecha no ha conformado un EAT asociación - unión</v>
      </c>
      <c r="AD1144" s="23"/>
    </row>
    <row r="1145" spans="1:30" x14ac:dyDescent="0.25">
      <c r="A1145" s="51">
        <v>2024</v>
      </c>
      <c r="B1145" s="52" t="s">
        <v>36</v>
      </c>
      <c r="C1145" s="52" t="s">
        <v>38</v>
      </c>
      <c r="D1145" s="52" t="s">
        <v>48</v>
      </c>
      <c r="E1145" s="52" t="s">
        <v>53</v>
      </c>
      <c r="F1145" s="52" t="s">
        <v>41</v>
      </c>
      <c r="G1145" s="52" t="s">
        <v>54</v>
      </c>
      <c r="H1145" s="53">
        <v>12.656584263913164</v>
      </c>
      <c r="I1145" s="53">
        <v>4.0326407408906682E-4</v>
      </c>
      <c r="J1145" s="54">
        <v>12.656987527987253</v>
      </c>
      <c r="K1145" s="53">
        <v>1373.8212347148606</v>
      </c>
      <c r="L1145" s="53">
        <v>602.88465090606326</v>
      </c>
      <c r="M1145" s="54">
        <v>1976.7058856209237</v>
      </c>
      <c r="N1145" s="53">
        <v>310.16499677019965</v>
      </c>
      <c r="O1145" s="53">
        <v>1327.3731250477981</v>
      </c>
      <c r="P1145" s="53">
        <v>256.80682321062096</v>
      </c>
      <c r="Q1145" s="53">
        <v>401.92315576175611</v>
      </c>
      <c r="R1145" s="53">
        <v>1570.4409270701094</v>
      </c>
      <c r="S1145" s="53">
        <v>757.22298222726022</v>
      </c>
      <c r="T1145" s="53">
        <v>961.40065969476916</v>
      </c>
      <c r="U1145" s="53">
        <v>633.77618576046882</v>
      </c>
      <c r="V1145" s="54">
        <v>6219.1088555429833</v>
      </c>
      <c r="W1145" s="54">
        <v>7722.2064113921533</v>
      </c>
      <c r="X1145" s="53">
        <v>846.684029423889</v>
      </c>
      <c r="Y1145" s="55">
        <v>8565.2465433851576</v>
      </c>
      <c r="Z1145" s="17" t="str">
        <f>SUBSTITUTE(SUBSTITUTE(SUBSTITUTE(SUBSTITUTE(IF(E1145="","",VLOOKUP(E1145,[1]Esquemas_NORM!$A$2:$H$126,8,FALSE)),"PROVINCIA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5" s="17" t="str">
        <f>IF($E1145="","",INDEX([1]Esquemas_NORM!$H$2:$K$126,MATCH($E1145,[1]Esquemas_NORM!$A$2:$A$126,0),MATCH(AA$4,[1]Esquemas_NORM!$H$1:$K$1,0)))</f>
        <v>A la fecha no ha conformado un EAT Región</v>
      </c>
      <c r="AB1145" s="17" t="str">
        <f>IF($E1145="","",INDEX([1]Esquemas_NORM!$H$2:$K$126,MATCH($E1145,[1]Esquemas_NORM!$A$2:$A$126,0),MATCH(AB$4,[1]Esquemas_NORM!$H$1:$K$1,0)))</f>
        <v>Área Metropolitana del Valle de Aburrá</v>
      </c>
      <c r="AC1145" s="17" t="str">
        <f>IF($E1145="","",INDEX([1]Esquemas_NORM!$H$2:$K$126,MATCH($E1145,[1]Esquemas_NORM!$A$2:$A$126,0),MATCH(AC$4,[1]Esquemas_NORM!$H$1:$K$1,0)))</f>
        <v>A la fecha no ha conformado un EAT asociación - unión</v>
      </c>
      <c r="AD1145" s="23"/>
    </row>
    <row r="1146" spans="1:30" x14ac:dyDescent="0.25">
      <c r="A1146" s="51">
        <v>2024</v>
      </c>
      <c r="B1146" s="52" t="s">
        <v>36</v>
      </c>
      <c r="C1146" s="52" t="s">
        <v>38</v>
      </c>
      <c r="D1146" s="52" t="s">
        <v>43</v>
      </c>
      <c r="E1146" s="52" t="s">
        <v>55</v>
      </c>
      <c r="F1146" s="52" t="s">
        <v>41</v>
      </c>
      <c r="G1146" s="52" t="s">
        <v>56</v>
      </c>
      <c r="H1146" s="53">
        <v>71.585876253768134</v>
      </c>
      <c r="I1146" s="53">
        <v>3.5850843854785124</v>
      </c>
      <c r="J1146" s="54">
        <v>75.170960639246644</v>
      </c>
      <c r="K1146" s="53">
        <v>1519.8428674130612</v>
      </c>
      <c r="L1146" s="53">
        <v>73.712768229751518</v>
      </c>
      <c r="M1146" s="54">
        <v>1593.5556356428126</v>
      </c>
      <c r="N1146" s="53">
        <v>111.82660384113403</v>
      </c>
      <c r="O1146" s="53">
        <v>253.6842670586058</v>
      </c>
      <c r="P1146" s="53">
        <v>33.068745883457055</v>
      </c>
      <c r="Q1146" s="53">
        <v>26.826520800828924</v>
      </c>
      <c r="R1146" s="53">
        <v>83.324475427346073</v>
      </c>
      <c r="S1146" s="53">
        <v>119.42478400537469</v>
      </c>
      <c r="T1146" s="53">
        <v>88.81887694118754</v>
      </c>
      <c r="U1146" s="53">
        <v>39.338665522150656</v>
      </c>
      <c r="V1146" s="54">
        <v>756.31293948008476</v>
      </c>
      <c r="W1146" s="54">
        <v>2281.2480180155617</v>
      </c>
      <c r="X1146" s="53">
        <v>250.12233047269478</v>
      </c>
      <c r="Y1146" s="55">
        <v>2530.2938901097559</v>
      </c>
      <c r="Z1146" s="17" t="str">
        <f>SUBSTITUTE(SUBSTITUTE(SUBSTITUTE(SUBSTITUTE(IF(E1146="","",VLOOKUP(E1146,[1]Esquemas_NORM!$A$2:$H$126,8,FALSE)),"PROVINCIA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6" s="17" t="str">
        <f>IF($E1146="","",INDEX([1]Esquemas_NORM!$H$2:$K$126,MATCH($E1146,[1]Esquemas_NORM!$A$2:$A$126,0),MATCH(AA$4,[1]Esquemas_NORM!$H$1:$K$1,0)))</f>
        <v>A la fecha no ha conformado un EAT Región</v>
      </c>
      <c r="AB1146" s="17" t="str">
        <f>IF($E1146="","",INDEX([1]Esquemas_NORM!$H$2:$K$126,MATCH($E1146,[1]Esquemas_NORM!$A$2:$A$126,0),MATCH(AB$4,[1]Esquemas_NORM!$H$1:$K$1,0)))</f>
        <v>Área Metropolitana del Valle de Aburrá</v>
      </c>
      <c r="AC1146" s="17" t="str">
        <f>IF($E1146="","",INDEX([1]Esquemas_NORM!$H$2:$K$126,MATCH($E1146,[1]Esquemas_NORM!$A$2:$A$126,0),MATCH(AC$4,[1]Esquemas_NORM!$H$1:$K$1,0)))</f>
        <v>A la fecha no ha conformado un EAT asociación - unión</v>
      </c>
      <c r="AD1146" s="23"/>
    </row>
    <row r="1147" spans="1:30" x14ac:dyDescent="0.25">
      <c r="A1147" s="51">
        <v>2024</v>
      </c>
      <c r="B1147" s="52" t="s">
        <v>36</v>
      </c>
      <c r="C1147" s="52" t="s">
        <v>38</v>
      </c>
      <c r="D1147" s="52" t="s">
        <v>48</v>
      </c>
      <c r="E1147" s="52" t="s">
        <v>57</v>
      </c>
      <c r="F1147" s="52" t="s">
        <v>41</v>
      </c>
      <c r="G1147" s="52" t="s">
        <v>58</v>
      </c>
      <c r="H1147" s="53">
        <v>0.7075649274890784</v>
      </c>
      <c r="I1147" s="53">
        <v>0.4301105473732581</v>
      </c>
      <c r="J1147" s="54">
        <v>1.1376754748623366</v>
      </c>
      <c r="K1147" s="53">
        <v>2475.4810011453187</v>
      </c>
      <c r="L1147" s="53">
        <v>584.13173809794159</v>
      </c>
      <c r="M1147" s="54">
        <v>3059.6127392432604</v>
      </c>
      <c r="N1147" s="53">
        <v>305.04281620694115</v>
      </c>
      <c r="O1147" s="53">
        <v>1412.6172369370852</v>
      </c>
      <c r="P1147" s="53">
        <v>260.27056272379292</v>
      </c>
      <c r="Q1147" s="53">
        <v>280.68214472088954</v>
      </c>
      <c r="R1147" s="53">
        <v>772.87406200937971</v>
      </c>
      <c r="S1147" s="53">
        <v>690.27990474198259</v>
      </c>
      <c r="T1147" s="53">
        <v>677.23169141354174</v>
      </c>
      <c r="U1147" s="53">
        <v>370.93378385428281</v>
      </c>
      <c r="V1147" s="54">
        <v>4769.9322026078944</v>
      </c>
      <c r="W1147" s="54">
        <v>7387.1893053658841</v>
      </c>
      <c r="X1147" s="53">
        <v>809.95182904683759</v>
      </c>
      <c r="Y1147" s="55">
        <v>8193.6553223666215</v>
      </c>
      <c r="Z1147" s="17" t="str">
        <f>SUBSTITUTE(SUBSTITUTE(SUBSTITUTE(SUBSTITUTE(IF(E1147="","",VLOOKUP(E1147,[1]Esquemas_NORM!$A$2:$H$126,8,FALSE)),"PROVINCIA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7" s="17" t="str">
        <f>IF($E1147="","",INDEX([1]Esquemas_NORM!$H$2:$K$126,MATCH($E1147,[1]Esquemas_NORM!$A$2:$A$126,0),MATCH(AA$4,[1]Esquemas_NORM!$H$1:$K$1,0)))</f>
        <v>A la fecha no ha conformado un EAT Región</v>
      </c>
      <c r="AB1147" s="17" t="str">
        <f>IF($E1147="","",INDEX([1]Esquemas_NORM!$H$2:$K$126,MATCH($E1147,[1]Esquemas_NORM!$A$2:$A$126,0),MATCH(AB$4,[1]Esquemas_NORM!$H$1:$K$1,0)))</f>
        <v>Área Metropolitana del Valle de Aburrá</v>
      </c>
      <c r="AC1147" s="17" t="str">
        <f>IF($E1147="","",INDEX([1]Esquemas_NORM!$H$2:$K$126,MATCH($E1147,[1]Esquemas_NORM!$A$2:$A$126,0),MATCH(AC$4,[1]Esquemas_NORM!$H$1:$K$1,0)))</f>
        <v>A la fecha no ha conformado un EAT asociación - unión</v>
      </c>
      <c r="AD1147" s="23"/>
    </row>
    <row r="1148" spans="1:30" x14ac:dyDescent="0.25">
      <c r="A1148" s="51">
        <v>2024</v>
      </c>
      <c r="B1148" s="52" t="s">
        <v>36</v>
      </c>
      <c r="C1148" s="52" t="s">
        <v>38</v>
      </c>
      <c r="D1148" s="52" t="s">
        <v>48</v>
      </c>
      <c r="E1148" s="52" t="s">
        <v>59</v>
      </c>
      <c r="F1148" s="52" t="s">
        <v>41</v>
      </c>
      <c r="G1148" s="52" t="s">
        <v>60</v>
      </c>
      <c r="H1148" s="53">
        <v>6.2917515387867926</v>
      </c>
      <c r="I1148" s="53">
        <v>0</v>
      </c>
      <c r="J1148" s="54">
        <v>6.2917515387867926</v>
      </c>
      <c r="K1148" s="53">
        <v>879.90043740640829</v>
      </c>
      <c r="L1148" s="53">
        <v>110.12588639884333</v>
      </c>
      <c r="M1148" s="54">
        <v>990.02632380525165</v>
      </c>
      <c r="N1148" s="53">
        <v>83.55979158172407</v>
      </c>
      <c r="O1148" s="53">
        <v>334.24962386321732</v>
      </c>
      <c r="P1148" s="53">
        <v>68.564489234017756</v>
      </c>
      <c r="Q1148" s="53">
        <v>41.455470178624509</v>
      </c>
      <c r="R1148" s="53">
        <v>167.71597199348537</v>
      </c>
      <c r="S1148" s="53">
        <v>188.13355079277653</v>
      </c>
      <c r="T1148" s="53">
        <v>198.09512808398554</v>
      </c>
      <c r="U1148" s="53">
        <v>81.839672773545786</v>
      </c>
      <c r="V1148" s="54">
        <v>1163.6136985013768</v>
      </c>
      <c r="W1148" s="54">
        <v>2026.1628454024869</v>
      </c>
      <c r="X1148" s="53">
        <v>222.15408794092122</v>
      </c>
      <c r="Y1148" s="55">
        <v>2247.3608426623787</v>
      </c>
      <c r="Z1148" s="17" t="str">
        <f>SUBSTITUTE(SUBSTITUTE(SUBSTITUTE(SUBSTITUTE(IF(E1148="","",VLOOKUP(E1148,[1]Esquemas_NORM!$A$2:$H$126,8,FALSE)),"PROVINCIA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8" s="17" t="str">
        <f>IF($E1148="","",INDEX([1]Esquemas_NORM!$H$2:$K$126,MATCH($E1148,[1]Esquemas_NORM!$A$2:$A$126,0),MATCH(AA$4,[1]Esquemas_NORM!$H$1:$K$1,0)))</f>
        <v>A la fecha no ha conformado un EAT Región</v>
      </c>
      <c r="AB1148" s="17" t="str">
        <f>IF($E1148="","",INDEX([1]Esquemas_NORM!$H$2:$K$126,MATCH($E1148,[1]Esquemas_NORM!$A$2:$A$126,0),MATCH(AB$4,[1]Esquemas_NORM!$H$1:$K$1,0)))</f>
        <v>Área Metropolitana del Valle de Aburrá</v>
      </c>
      <c r="AC1148" s="17" t="str">
        <f>IF($E1148="","",INDEX([1]Esquemas_NORM!$H$2:$K$126,MATCH($E1148,[1]Esquemas_NORM!$A$2:$A$126,0),MATCH(AC$4,[1]Esquemas_NORM!$H$1:$K$1,0)))</f>
        <v>A la fecha no ha conformado un EAT asociación - unión</v>
      </c>
      <c r="AD1148" s="23"/>
    </row>
    <row r="1149" spans="1:30" x14ac:dyDescent="0.25">
      <c r="A1149" s="51">
        <v>2024</v>
      </c>
      <c r="B1149" s="52" t="s">
        <v>36</v>
      </c>
      <c r="C1149" s="52" t="s">
        <v>38</v>
      </c>
      <c r="D1149" s="52" t="s">
        <v>48</v>
      </c>
      <c r="E1149" s="52" t="s">
        <v>61</v>
      </c>
      <c r="F1149" s="52" t="s">
        <v>41</v>
      </c>
      <c r="G1149" s="52" t="s">
        <v>62</v>
      </c>
      <c r="H1149" s="53">
        <v>5.0199690297802997</v>
      </c>
      <c r="I1149" s="53">
        <v>0</v>
      </c>
      <c r="J1149" s="54">
        <v>5.0199690297802997</v>
      </c>
      <c r="K1149" s="53">
        <v>931.74933191956131</v>
      </c>
      <c r="L1149" s="53">
        <v>43.244932885047675</v>
      </c>
      <c r="M1149" s="54">
        <v>974.99426480460897</v>
      </c>
      <c r="N1149" s="53">
        <v>120.52305392522932</v>
      </c>
      <c r="O1149" s="53">
        <v>514.29978705749852</v>
      </c>
      <c r="P1149" s="53">
        <v>102.44457616182203</v>
      </c>
      <c r="Q1149" s="53">
        <v>97.259814525337163</v>
      </c>
      <c r="R1149" s="53">
        <v>367.36740758402863</v>
      </c>
      <c r="S1149" s="53">
        <v>277.7149962603749</v>
      </c>
      <c r="T1149" s="53">
        <v>369.403051873903</v>
      </c>
      <c r="U1149" s="53">
        <v>197.82942480767412</v>
      </c>
      <c r="V1149" s="54">
        <v>2046.8421121958675</v>
      </c>
      <c r="W1149" s="54">
        <v>2849.4161254811174</v>
      </c>
      <c r="X1149" s="53">
        <v>312.41785030100499</v>
      </c>
      <c r="Y1149" s="55">
        <v>3160.4894144552127</v>
      </c>
      <c r="Z1149" s="17" t="str">
        <f>SUBSTITUTE(SUBSTITUTE(SUBSTITUTE(SUBSTITUTE(IF(E1149="","",VLOOKUP(E1149,[1]Esquemas_NORM!$A$2:$H$126,8,FALSE)),"PROVINCIA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49" s="17" t="str">
        <f>IF($E1149="","",INDEX([1]Esquemas_NORM!$H$2:$K$126,MATCH($E1149,[1]Esquemas_NORM!$A$2:$A$126,0),MATCH(AA$4,[1]Esquemas_NORM!$H$1:$K$1,0)))</f>
        <v>A la fecha no ha conformado un EAT Región</v>
      </c>
      <c r="AB1149" s="17" t="str">
        <f>IF($E1149="","",INDEX([1]Esquemas_NORM!$H$2:$K$126,MATCH($E1149,[1]Esquemas_NORM!$A$2:$A$126,0),MATCH(AB$4,[1]Esquemas_NORM!$H$1:$K$1,0)))</f>
        <v>Área Metropolitana del Valle de Aburrá</v>
      </c>
      <c r="AC1149" s="17" t="str">
        <f>IF($E1149="","",INDEX([1]Esquemas_NORM!$H$2:$K$126,MATCH($E1149,[1]Esquemas_NORM!$A$2:$A$126,0),MATCH(AC$4,[1]Esquemas_NORM!$H$1:$K$1,0)))</f>
        <v>A la fecha no ha conformado un EAT asociación - unión</v>
      </c>
      <c r="AD1149" s="23"/>
    </row>
    <row r="1150" spans="1:30" x14ac:dyDescent="0.25">
      <c r="A1150" s="51">
        <v>2024</v>
      </c>
      <c r="B1150" s="52" t="s">
        <v>36</v>
      </c>
      <c r="C1150" s="52" t="s">
        <v>63</v>
      </c>
      <c r="D1150" s="52" t="s">
        <v>64</v>
      </c>
      <c r="E1150" s="52" t="s">
        <v>65</v>
      </c>
      <c r="F1150" s="52" t="s">
        <v>66</v>
      </c>
      <c r="G1150" s="52" t="s">
        <v>67</v>
      </c>
      <c r="H1150" s="53">
        <v>39.700963658092682</v>
      </c>
      <c r="I1150" s="53">
        <v>18.104598366843589</v>
      </c>
      <c r="J1150" s="54">
        <v>57.805562024936272</v>
      </c>
      <c r="K1150" s="53">
        <v>10.679581388371959</v>
      </c>
      <c r="L1150" s="53">
        <v>6.3520924473840799</v>
      </c>
      <c r="M1150" s="54">
        <v>17.031673835756038</v>
      </c>
      <c r="N1150" s="53">
        <v>6.0537826715968794</v>
      </c>
      <c r="O1150" s="53">
        <v>92.420744178218271</v>
      </c>
      <c r="P1150" s="53">
        <v>10.028596038370077</v>
      </c>
      <c r="Q1150" s="53">
        <v>8.2305354216171747</v>
      </c>
      <c r="R1150" s="53">
        <v>16.034611634863406</v>
      </c>
      <c r="S1150" s="53">
        <v>30.298319939843935</v>
      </c>
      <c r="T1150" s="53">
        <v>62.466975890388063</v>
      </c>
      <c r="U1150" s="53">
        <v>14.15287796819149</v>
      </c>
      <c r="V1150" s="54">
        <v>239.68644374308928</v>
      </c>
      <c r="W1150" s="54">
        <v>344.0629137806477</v>
      </c>
      <c r="X1150" s="53">
        <v>37.724007711757032</v>
      </c>
      <c r="Y1150" s="55">
        <v>381.6245676390111</v>
      </c>
      <c r="Z1150" s="17" t="str">
        <f>SUBSTITUTE(SUBSTITUTE(SUBSTITUTE(SUBSTITUTE(IF(E1150="","",VLOOKUP(E1150,[1]Esquemas_NORM!$A$2:$H$126,8,FALSE)),"PROVINCIA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0" s="17" t="str">
        <f>IF($E1150="","",INDEX([1]Esquemas_NORM!$H$2:$K$126,MATCH($E1150,[1]Esquemas_NORM!$A$2:$A$126,0),MATCH(AA$4,[1]Esquemas_NORM!$H$1:$K$1,0)))</f>
        <v>Región de Planeación y Gestión del Bajo Cauca</v>
      </c>
      <c r="AB1150" s="17" t="str">
        <f>IF($E1150="","",INDEX([1]Esquemas_NORM!$H$2:$K$126,MATCH($E1150,[1]Esquemas_NORM!$A$2:$A$126,0),MATCH(AB$4,[1]Esquemas_NORM!$H$1:$K$1,0)))</f>
        <v>A la fecha no ha conformado un EAT Área Metropolitana</v>
      </c>
      <c r="AC1150" s="17" t="str">
        <f>IF($E1150="","",INDEX([1]Esquemas_NORM!$H$2:$K$126,MATCH($E1150,[1]Esquemas_NORM!$A$2:$A$126,0),MATCH(AC$4,[1]Esquemas_NORM!$H$1:$K$1,0)))</f>
        <v>A la fecha no ha conformado un EAT asociación - unión</v>
      </c>
      <c r="AD1150" s="23"/>
    </row>
    <row r="1151" spans="1:30" x14ac:dyDescent="0.25">
      <c r="A1151" s="51">
        <v>2024</v>
      </c>
      <c r="B1151" s="52" t="s">
        <v>36</v>
      </c>
      <c r="C1151" s="52" t="s">
        <v>63</v>
      </c>
      <c r="D1151" s="52" t="s">
        <v>64</v>
      </c>
      <c r="E1151" s="52" t="s">
        <v>68</v>
      </c>
      <c r="F1151" s="52" t="s">
        <v>66</v>
      </c>
      <c r="G1151" s="52" t="s">
        <v>69</v>
      </c>
      <c r="H1151" s="53">
        <v>16.478903253974241</v>
      </c>
      <c r="I1151" s="53">
        <v>598.51284947984834</v>
      </c>
      <c r="J1151" s="54">
        <v>614.99175273382264</v>
      </c>
      <c r="K1151" s="53">
        <v>26.889587260749444</v>
      </c>
      <c r="L1151" s="53">
        <v>22.532766230404107</v>
      </c>
      <c r="M1151" s="54">
        <v>49.422353491153551</v>
      </c>
      <c r="N1151" s="53">
        <v>46.286235495859309</v>
      </c>
      <c r="O1151" s="53">
        <v>247.82269193100794</v>
      </c>
      <c r="P1151" s="53">
        <v>34.871814534648806</v>
      </c>
      <c r="Q1151" s="53">
        <v>35.789091734315704</v>
      </c>
      <c r="R1151" s="53">
        <v>56.132824652828951</v>
      </c>
      <c r="S1151" s="53">
        <v>179.76611807059359</v>
      </c>
      <c r="T1151" s="53">
        <v>201.03206943811045</v>
      </c>
      <c r="U1151" s="53">
        <v>43.926816155237802</v>
      </c>
      <c r="V1151" s="54">
        <v>845.62766201260263</v>
      </c>
      <c r="W1151" s="54">
        <v>1901.4847012572291</v>
      </c>
      <c r="X1151" s="53">
        <v>208.48403202174526</v>
      </c>
      <c r="Y1151" s="55">
        <v>2109.0714747949451</v>
      </c>
      <c r="Z1151" s="17" t="str">
        <f>SUBSTITUTE(SUBSTITUTE(SUBSTITUTE(SUBSTITUTE(IF(E1151="","",VLOOKUP(E1151,[1]Esquemas_NORM!$A$2:$H$126,8,FALSE)),"PROVINCIA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1" s="17" t="str">
        <f>IF($E1151="","",INDEX([1]Esquemas_NORM!$H$2:$K$126,MATCH($E1151,[1]Esquemas_NORM!$A$2:$A$126,0),MATCH(AA$4,[1]Esquemas_NORM!$H$1:$K$1,0)))</f>
        <v>Región de Planeación y Gestión del Bajo Cauca</v>
      </c>
      <c r="AB1151" s="17" t="str">
        <f>IF($E1151="","",INDEX([1]Esquemas_NORM!$H$2:$K$126,MATCH($E1151,[1]Esquemas_NORM!$A$2:$A$126,0),MATCH(AB$4,[1]Esquemas_NORM!$H$1:$K$1,0)))</f>
        <v>A la fecha no ha conformado un EAT Área Metropolitana</v>
      </c>
      <c r="AC1151" s="17" t="str">
        <f>IF($E1151="","",INDEX([1]Esquemas_NORM!$H$2:$K$126,MATCH($E1151,[1]Esquemas_NORM!$A$2:$A$126,0),MATCH(AC$4,[1]Esquemas_NORM!$H$1:$K$1,0)))</f>
        <v>A la fecha no ha conformado un EAT asociación - unión</v>
      </c>
      <c r="AD1151" s="23"/>
    </row>
    <row r="1152" spans="1:30" x14ac:dyDescent="0.25">
      <c r="A1152" s="51">
        <v>2024</v>
      </c>
      <c r="B1152" s="52" t="s">
        <v>36</v>
      </c>
      <c r="C1152" s="52" t="s">
        <v>63</v>
      </c>
      <c r="D1152" s="52" t="s">
        <v>64</v>
      </c>
      <c r="E1152" s="52" t="s">
        <v>70</v>
      </c>
      <c r="F1152" s="52" t="s">
        <v>66</v>
      </c>
      <c r="G1152" s="52" t="s">
        <v>71</v>
      </c>
      <c r="H1152" s="53">
        <v>19.187889983932916</v>
      </c>
      <c r="I1152" s="53">
        <v>260.92513678569674</v>
      </c>
      <c r="J1152" s="54">
        <v>280.11302676962964</v>
      </c>
      <c r="K1152" s="53">
        <v>4.3469129010245657</v>
      </c>
      <c r="L1152" s="53">
        <v>19.730905419319562</v>
      </c>
      <c r="M1152" s="54">
        <v>24.077818320344129</v>
      </c>
      <c r="N1152" s="53">
        <v>25.576499579372452</v>
      </c>
      <c r="O1152" s="53">
        <v>125.43407302378948</v>
      </c>
      <c r="P1152" s="53">
        <v>18.897967518319515</v>
      </c>
      <c r="Q1152" s="53">
        <v>16.150228325283575</v>
      </c>
      <c r="R1152" s="53">
        <v>32.116037771765647</v>
      </c>
      <c r="S1152" s="53">
        <v>71.610515044073821</v>
      </c>
      <c r="T1152" s="53">
        <v>101.60425692575717</v>
      </c>
      <c r="U1152" s="53">
        <v>25.699491496707449</v>
      </c>
      <c r="V1152" s="54">
        <v>417.08906968506909</v>
      </c>
      <c r="W1152" s="54">
        <v>899.11577405859418</v>
      </c>
      <c r="X1152" s="53">
        <v>98.581535631666696</v>
      </c>
      <c r="Y1152" s="55">
        <v>997.27304161391919</v>
      </c>
      <c r="Z1152" s="17" t="str">
        <f>SUBSTITUTE(SUBSTITUTE(SUBSTITUTE(SUBSTITUTE(IF(E1152="","",VLOOKUP(E1152,[1]Esquemas_NORM!$A$2:$H$126,8,FALSE)),"PROVINCIA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2" s="17" t="str">
        <f>IF($E1152="","",INDEX([1]Esquemas_NORM!$H$2:$K$126,MATCH($E1152,[1]Esquemas_NORM!$A$2:$A$126,0),MATCH(AA$4,[1]Esquemas_NORM!$H$1:$K$1,0)))</f>
        <v>Región de Planeación y Gestión del Bajo Cauca</v>
      </c>
      <c r="AB1152" s="17" t="str">
        <f>IF($E1152="","",INDEX([1]Esquemas_NORM!$H$2:$K$126,MATCH($E1152,[1]Esquemas_NORM!$A$2:$A$126,0),MATCH(AB$4,[1]Esquemas_NORM!$H$1:$K$1,0)))</f>
        <v>A la fecha no ha conformado un EAT Área Metropolitana</v>
      </c>
      <c r="AC1152" s="17" t="str">
        <f>IF($E1152="","",INDEX([1]Esquemas_NORM!$H$2:$K$126,MATCH($E1152,[1]Esquemas_NORM!$A$2:$A$126,0),MATCH(AC$4,[1]Esquemas_NORM!$H$1:$K$1,0)))</f>
        <v>A la fecha no ha conformado un EAT asociación - unión</v>
      </c>
      <c r="AD1152" s="23"/>
    </row>
    <row r="1153" spans="1:30" x14ac:dyDescent="0.25">
      <c r="A1153" s="51">
        <v>2024</v>
      </c>
      <c r="B1153" s="52" t="s">
        <v>36</v>
      </c>
      <c r="C1153" s="52" t="s">
        <v>63</v>
      </c>
      <c r="D1153" s="52" t="s">
        <v>64</v>
      </c>
      <c r="E1153" s="52" t="s">
        <v>72</v>
      </c>
      <c r="F1153" s="52" t="s">
        <v>66</v>
      </c>
      <c r="G1153" s="52" t="s">
        <v>73</v>
      </c>
      <c r="H1153" s="53">
        <v>18.725335909375186</v>
      </c>
      <c r="I1153" s="53">
        <v>2.8846966342017035</v>
      </c>
      <c r="J1153" s="54">
        <v>21.610032543576889</v>
      </c>
      <c r="K1153" s="53">
        <v>10.948192017493158</v>
      </c>
      <c r="L1153" s="53">
        <v>1.935699959567013</v>
      </c>
      <c r="M1153" s="54">
        <v>12.88389197706017</v>
      </c>
      <c r="N1153" s="53">
        <v>10.998368148936764</v>
      </c>
      <c r="O1153" s="53">
        <v>57.194683468503733</v>
      </c>
      <c r="P1153" s="53">
        <v>8.0860150006601454</v>
      </c>
      <c r="Q1153" s="53">
        <v>7.8128224857110631</v>
      </c>
      <c r="R1153" s="53">
        <v>14.875515975526673</v>
      </c>
      <c r="S1153" s="53">
        <v>29.656147008395834</v>
      </c>
      <c r="T1153" s="53">
        <v>58.154055084490253</v>
      </c>
      <c r="U1153" s="53">
        <v>12.459291299681395</v>
      </c>
      <c r="V1153" s="54">
        <v>199.23689847190585</v>
      </c>
      <c r="W1153" s="54">
        <v>242.11193936474331</v>
      </c>
      <c r="X1153" s="53">
        <v>26.545821423595502</v>
      </c>
      <c r="Y1153" s="55">
        <v>268.54351480385753</v>
      </c>
      <c r="Z1153" s="17" t="str">
        <f>SUBSTITUTE(SUBSTITUTE(SUBSTITUTE(SUBSTITUTE(IF(E1153="","",VLOOKUP(E1153,[1]Esquemas_NORM!$A$2:$H$126,8,FALSE)),"PROVINCIA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3" s="17" t="str">
        <f>IF($E1153="","",INDEX([1]Esquemas_NORM!$H$2:$K$126,MATCH($E1153,[1]Esquemas_NORM!$A$2:$A$126,0),MATCH(AA$4,[1]Esquemas_NORM!$H$1:$K$1,0)))</f>
        <v>Región de Planeación y Gestión del Bajo Cauca</v>
      </c>
      <c r="AB1153" s="17" t="str">
        <f>IF($E1153="","",INDEX([1]Esquemas_NORM!$H$2:$K$126,MATCH($E1153,[1]Esquemas_NORM!$A$2:$A$126,0),MATCH(AB$4,[1]Esquemas_NORM!$H$1:$K$1,0)))</f>
        <v>A la fecha no ha conformado un EAT Área Metropolitana</v>
      </c>
      <c r="AC1153" s="17" t="str">
        <f>IF($E1153="","",INDEX([1]Esquemas_NORM!$H$2:$K$126,MATCH($E1153,[1]Esquemas_NORM!$A$2:$A$126,0),MATCH(AC$4,[1]Esquemas_NORM!$H$1:$K$1,0)))</f>
        <v>A la fecha no ha conformado un EAT asociación - unión</v>
      </c>
      <c r="AD1153" s="23"/>
    </row>
    <row r="1154" spans="1:30" x14ac:dyDescent="0.25">
      <c r="A1154" s="51">
        <v>2024</v>
      </c>
      <c r="B1154" s="52" t="s">
        <v>36</v>
      </c>
      <c r="C1154" s="52" t="s">
        <v>63</v>
      </c>
      <c r="D1154" s="52" t="s">
        <v>64</v>
      </c>
      <c r="E1154" s="52" t="s">
        <v>74</v>
      </c>
      <c r="F1154" s="52" t="s">
        <v>66</v>
      </c>
      <c r="G1154" s="52" t="s">
        <v>75</v>
      </c>
      <c r="H1154" s="53">
        <v>26.269417261522907</v>
      </c>
      <c r="I1154" s="53">
        <v>10.758815782118583</v>
      </c>
      <c r="J1154" s="54">
        <v>37.028233043641492</v>
      </c>
      <c r="K1154" s="53">
        <v>12.603479116327309</v>
      </c>
      <c r="L1154" s="53">
        <v>2.9472881209571842</v>
      </c>
      <c r="M1154" s="54">
        <v>15.550767237284493</v>
      </c>
      <c r="N1154" s="53">
        <v>8.9413949099021863</v>
      </c>
      <c r="O1154" s="53">
        <v>70.637171561531432</v>
      </c>
      <c r="P1154" s="53">
        <v>12.103977718524845</v>
      </c>
      <c r="Q1154" s="53">
        <v>11.68217727932932</v>
      </c>
      <c r="R1154" s="53">
        <v>22.835957182327039</v>
      </c>
      <c r="S1154" s="53">
        <v>35.6341258499247</v>
      </c>
      <c r="T1154" s="53">
        <v>68.959321292340462</v>
      </c>
      <c r="U1154" s="53">
        <v>19.142643806641548</v>
      </c>
      <c r="V1154" s="54">
        <v>249.93676960052153</v>
      </c>
      <c r="W1154" s="54">
        <v>315.66625590167058</v>
      </c>
      <c r="X1154" s="53">
        <v>34.610519748047622</v>
      </c>
      <c r="Y1154" s="55">
        <v>350.12782140042464</v>
      </c>
      <c r="Z1154" s="17" t="str">
        <f>SUBSTITUTE(SUBSTITUTE(SUBSTITUTE(SUBSTITUTE(IF(E1154="","",VLOOKUP(E1154,[1]Esquemas_NORM!$A$2:$H$126,8,FALSE)),"PROVINCIA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4" s="17" t="str">
        <f>IF($E1154="","",INDEX([1]Esquemas_NORM!$H$2:$K$126,MATCH($E1154,[1]Esquemas_NORM!$A$2:$A$126,0),MATCH(AA$4,[1]Esquemas_NORM!$H$1:$K$1,0)))</f>
        <v>Región de Planeación y Gestión del Bajo Cauca</v>
      </c>
      <c r="AB1154" s="17" t="str">
        <f>IF($E1154="","",INDEX([1]Esquemas_NORM!$H$2:$K$126,MATCH($E1154,[1]Esquemas_NORM!$A$2:$A$126,0),MATCH(AB$4,[1]Esquemas_NORM!$H$1:$K$1,0)))</f>
        <v>A la fecha no ha conformado un EAT Área Metropolitana</v>
      </c>
      <c r="AC1154" s="17" t="str">
        <f>IF($E1154="","",INDEX([1]Esquemas_NORM!$H$2:$K$126,MATCH($E1154,[1]Esquemas_NORM!$A$2:$A$126,0),MATCH(AC$4,[1]Esquemas_NORM!$H$1:$K$1,0)))</f>
        <v>A la fecha no ha conformado un EAT asociación - unión</v>
      </c>
      <c r="AD1154" s="23"/>
    </row>
    <row r="1155" spans="1:30" x14ac:dyDescent="0.25">
      <c r="A1155" s="51">
        <v>2024</v>
      </c>
      <c r="B1155" s="52" t="s">
        <v>36</v>
      </c>
      <c r="C1155" s="52" t="s">
        <v>63</v>
      </c>
      <c r="D1155" s="52" t="s">
        <v>64</v>
      </c>
      <c r="E1155" s="52" t="s">
        <v>76</v>
      </c>
      <c r="F1155" s="52" t="s">
        <v>66</v>
      </c>
      <c r="G1155" s="52" t="s">
        <v>77</v>
      </c>
      <c r="H1155" s="53">
        <v>28.139317477890017</v>
      </c>
      <c r="I1155" s="53">
        <v>46.382860907222302</v>
      </c>
      <c r="J1155" s="54">
        <v>74.522178385112312</v>
      </c>
      <c r="K1155" s="53">
        <v>4.2495035982231535</v>
      </c>
      <c r="L1155" s="53">
        <v>8.1228942235994577</v>
      </c>
      <c r="M1155" s="54">
        <v>12.372397821822611</v>
      </c>
      <c r="N1155" s="53">
        <v>3.9959784662593569</v>
      </c>
      <c r="O1155" s="53">
        <v>64.483190829723384</v>
      </c>
      <c r="P1155" s="53">
        <v>7.1560605484674342</v>
      </c>
      <c r="Q1155" s="53">
        <v>6.2102523176219053</v>
      </c>
      <c r="R1155" s="53">
        <v>14.408572856883621</v>
      </c>
      <c r="S1155" s="53">
        <v>23.803834109629911</v>
      </c>
      <c r="T1155" s="53">
        <v>58.505643394913328</v>
      </c>
      <c r="U1155" s="53">
        <v>10.161287942492203</v>
      </c>
      <c r="V1155" s="54">
        <v>188.72482046599117</v>
      </c>
      <c r="W1155" s="54">
        <v>317.10091724964627</v>
      </c>
      <c r="X1155" s="53">
        <v>34.767819978890067</v>
      </c>
      <c r="Y1155" s="55">
        <v>351.71910600189506</v>
      </c>
      <c r="Z1155" s="17" t="str">
        <f>SUBSTITUTE(SUBSTITUTE(SUBSTITUTE(SUBSTITUTE(IF(E1155="","",VLOOKUP(E1155,[1]Esquemas_NORM!$A$2:$H$126,8,FALSE)),"PROVINCIA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5" s="17" t="str">
        <f>IF($E1155="","",INDEX([1]Esquemas_NORM!$H$2:$K$126,MATCH($E1155,[1]Esquemas_NORM!$A$2:$A$126,0),MATCH(AA$4,[1]Esquemas_NORM!$H$1:$K$1,0)))</f>
        <v>Región de Planeación y Gestión del Bajo Cauca</v>
      </c>
      <c r="AB1155" s="17" t="str">
        <f>IF($E1155="","",INDEX([1]Esquemas_NORM!$H$2:$K$126,MATCH($E1155,[1]Esquemas_NORM!$A$2:$A$126,0),MATCH(AB$4,[1]Esquemas_NORM!$H$1:$K$1,0)))</f>
        <v>A la fecha no ha conformado un EAT Área Metropolitana</v>
      </c>
      <c r="AC1155" s="17" t="str">
        <f>IF($E1155="","",INDEX([1]Esquemas_NORM!$H$2:$K$126,MATCH($E1155,[1]Esquemas_NORM!$A$2:$A$126,0),MATCH(AC$4,[1]Esquemas_NORM!$H$1:$K$1,0)))</f>
        <v>A la fecha no ha conformado un EAT asociación - unión</v>
      </c>
      <c r="AD1155" s="23"/>
    </row>
    <row r="1156" spans="1:30" x14ac:dyDescent="0.25">
      <c r="A1156" s="51">
        <v>2024</v>
      </c>
      <c r="B1156" s="52" t="s">
        <v>36</v>
      </c>
      <c r="C1156" s="52" t="s">
        <v>78</v>
      </c>
      <c r="D1156" s="52" t="s">
        <v>79</v>
      </c>
      <c r="E1156" s="52" t="s">
        <v>80</v>
      </c>
      <c r="F1156" s="52" t="s">
        <v>81</v>
      </c>
      <c r="G1156" s="52" t="s">
        <v>82</v>
      </c>
      <c r="H1156" s="53">
        <v>7.156899459882589</v>
      </c>
      <c r="I1156" s="53">
        <v>0</v>
      </c>
      <c r="J1156" s="54">
        <v>7.156899459882589</v>
      </c>
      <c r="K1156" s="53">
        <v>1.6412087609005612</v>
      </c>
      <c r="L1156" s="53">
        <v>1.1873790125706349</v>
      </c>
      <c r="M1156" s="54">
        <v>2.8285877734711962</v>
      </c>
      <c r="N1156" s="53">
        <v>4.8240046176653388</v>
      </c>
      <c r="O1156" s="53">
        <v>7.7257857988222893</v>
      </c>
      <c r="P1156" s="53">
        <v>1.794742493709035</v>
      </c>
      <c r="Q1156" s="53">
        <v>1.7880201075335198</v>
      </c>
      <c r="R1156" s="53">
        <v>4.6947696763416431</v>
      </c>
      <c r="S1156" s="53">
        <v>5.6317739380507224</v>
      </c>
      <c r="T1156" s="53">
        <v>11.57202646375953</v>
      </c>
      <c r="U1156" s="53">
        <v>3.0498949489264779</v>
      </c>
      <c r="V1156" s="54">
        <v>41.081018044808559</v>
      </c>
      <c r="W1156" s="54">
        <v>54.184856681487624</v>
      </c>
      <c r="X1156" s="53">
        <v>5.9409772731721677</v>
      </c>
      <c r="Y1156" s="55">
        <v>60.100265606763507</v>
      </c>
      <c r="Z1156" s="17" t="str">
        <f>SUBSTITUTE(SUBSTITUTE(SUBSTITUTE(SUBSTITUTE(IF(E1156="","",VLOOKUP(E1156,[1]Esquemas_NORM!$A$2:$H$126,8,FALSE)),"PROVINCIA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6" s="17" t="str">
        <f>IF($E1156="","",INDEX([1]Esquemas_NORM!$H$2:$K$126,MATCH($E1156,[1]Esquemas_NORM!$A$2:$A$126,0),MATCH(AA$4,[1]Esquemas_NORM!$H$1:$K$1,0)))</f>
        <v>A la fecha no ha conformado un EAT Región</v>
      </c>
      <c r="AB1156" s="17" t="str">
        <f>IF($E1156="","",INDEX([1]Esquemas_NORM!$H$2:$K$126,MATCH($E1156,[1]Esquemas_NORM!$A$2:$A$126,0),MATCH(AB$4,[1]Esquemas_NORM!$H$1:$K$1,0)))</f>
        <v>A la fecha no ha conformado un EAT Área Metropolitana</v>
      </c>
      <c r="AC1156" s="17" t="str">
        <f>IF($E1156="","",INDEX([1]Esquemas_NORM!$H$2:$K$126,MATCH($E1156,[1]Esquemas_NORM!$A$2:$A$126,0),MATCH(AC$4,[1]Esquemas_NORM!$H$1:$K$1,0)))</f>
        <v>ASOCIACIÓN DE MUNICIPIOS DEL MAGDALENA MEDIO ANTIOQUEÑO - AMMA</v>
      </c>
      <c r="AD1156" s="23"/>
    </row>
    <row r="1157" spans="1:30" x14ac:dyDescent="0.25">
      <c r="A1157" s="51">
        <v>2024</v>
      </c>
      <c r="B1157" s="52" t="s">
        <v>36</v>
      </c>
      <c r="C1157" s="52" t="s">
        <v>78</v>
      </c>
      <c r="D1157" s="52" t="s">
        <v>79</v>
      </c>
      <c r="E1157" s="52" t="s">
        <v>83</v>
      </c>
      <c r="F1157" s="52" t="s">
        <v>81</v>
      </c>
      <c r="G1157" s="52" t="s">
        <v>84</v>
      </c>
      <c r="H1157" s="53">
        <v>28.80117799266279</v>
      </c>
      <c r="I1157" s="53">
        <v>0.6683148784369185</v>
      </c>
      <c r="J1157" s="54">
        <v>29.46949287109971</v>
      </c>
      <c r="K1157" s="53">
        <v>2.6202941840637717</v>
      </c>
      <c r="L1157" s="53">
        <v>3.1355130271025367</v>
      </c>
      <c r="M1157" s="54">
        <v>5.7558072111663083</v>
      </c>
      <c r="N1157" s="53">
        <v>2.6399265522121333</v>
      </c>
      <c r="O1157" s="53">
        <v>19.856691693620999</v>
      </c>
      <c r="P1157" s="53">
        <v>3.0325599034519213</v>
      </c>
      <c r="Q1157" s="53">
        <v>2.5460896349190372</v>
      </c>
      <c r="R1157" s="53">
        <v>10.495894007667507</v>
      </c>
      <c r="S1157" s="53">
        <v>9.8884768658095332</v>
      </c>
      <c r="T1157" s="53">
        <v>19.74915654385174</v>
      </c>
      <c r="U1157" s="53">
        <v>4.6589814619679766</v>
      </c>
      <c r="V1157" s="54">
        <v>72.867776663500862</v>
      </c>
      <c r="W1157" s="54">
        <v>120.3348594013536</v>
      </c>
      <c r="X1157" s="53">
        <v>13.193846189833625</v>
      </c>
      <c r="Y1157" s="55">
        <v>133.47192287111281</v>
      </c>
      <c r="Z1157" s="17" t="str">
        <f>SUBSTITUTE(SUBSTITUTE(SUBSTITUTE(SUBSTITUTE(IF(E1157="","",VLOOKUP(E1157,[1]Esquemas_NORM!$A$2:$H$126,8,FALSE)),"PROVINCIA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7" s="17" t="str">
        <f>IF($E1157="","",INDEX([1]Esquemas_NORM!$H$2:$K$126,MATCH($E1157,[1]Esquemas_NORM!$A$2:$A$126,0),MATCH(AA$4,[1]Esquemas_NORM!$H$1:$K$1,0)))</f>
        <v>A la fecha no ha conformado un EAT Región</v>
      </c>
      <c r="AB1157" s="17" t="str">
        <f>IF($E1157="","",INDEX([1]Esquemas_NORM!$H$2:$K$126,MATCH($E1157,[1]Esquemas_NORM!$A$2:$A$126,0),MATCH(AB$4,[1]Esquemas_NORM!$H$1:$K$1,0)))</f>
        <v>A la fecha no ha conformado un EAT Área Metropolitana</v>
      </c>
      <c r="AC1157" s="17" t="str">
        <f>IF($E1157="","",INDEX([1]Esquemas_NORM!$H$2:$K$126,MATCH($E1157,[1]Esquemas_NORM!$A$2:$A$126,0),MATCH(AC$4,[1]Esquemas_NORM!$H$1:$K$1,0)))</f>
        <v>ASOCIACIÓN DE MUNICIPIOS DEL MAGDALENA MEDIO ANTIOQUEÑO - AMMA</v>
      </c>
      <c r="AD1157" s="23"/>
    </row>
    <row r="1158" spans="1:30" x14ac:dyDescent="0.25">
      <c r="A1158" s="51">
        <v>2024</v>
      </c>
      <c r="B1158" s="52" t="s">
        <v>36</v>
      </c>
      <c r="C1158" s="52" t="s">
        <v>78</v>
      </c>
      <c r="D1158" s="52" t="s">
        <v>85</v>
      </c>
      <c r="E1158" s="52" t="s">
        <v>86</v>
      </c>
      <c r="F1158" s="52" t="s">
        <v>81</v>
      </c>
      <c r="G1158" s="52" t="s">
        <v>87</v>
      </c>
      <c r="H1158" s="53">
        <v>36.563829154010726</v>
      </c>
      <c r="I1158" s="53">
        <v>12.088200498700788</v>
      </c>
      <c r="J1158" s="54">
        <v>48.652029652711512</v>
      </c>
      <c r="K1158" s="53">
        <v>44.273197038453738</v>
      </c>
      <c r="L1158" s="53">
        <v>5.3915787064960972</v>
      </c>
      <c r="M1158" s="54">
        <v>49.664775744949836</v>
      </c>
      <c r="N1158" s="53">
        <v>34.387228560935306</v>
      </c>
      <c r="O1158" s="53">
        <v>148.29456666347784</v>
      </c>
      <c r="P1158" s="53">
        <v>17.597224087522228</v>
      </c>
      <c r="Q1158" s="53">
        <v>26.947995206466214</v>
      </c>
      <c r="R1158" s="53">
        <v>55.227746669171061</v>
      </c>
      <c r="S1158" s="53">
        <v>91.246349044747603</v>
      </c>
      <c r="T1158" s="53">
        <v>118.47527626231661</v>
      </c>
      <c r="U1158" s="53">
        <v>34.483715208733337</v>
      </c>
      <c r="V1158" s="54">
        <v>526.66010170337017</v>
      </c>
      <c r="W1158" s="54">
        <v>641.48547391968657</v>
      </c>
      <c r="X1158" s="53">
        <v>70.334238291527058</v>
      </c>
      <c r="Y1158" s="55">
        <v>711.51701280824</v>
      </c>
      <c r="Z1158" s="17" t="str">
        <f>SUBSTITUTE(SUBSTITUTE(SUBSTITUTE(SUBSTITUTE(IF(E1158="","",VLOOKUP(E1158,[1]Esquemas_NORM!$A$2:$H$126,8,FALSE)),"PROVINCIA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8" s="17" t="str">
        <f>IF($E1158="","",INDEX([1]Esquemas_NORM!$H$2:$K$126,MATCH($E1158,[1]Esquemas_NORM!$A$2:$A$126,0),MATCH(AA$4,[1]Esquemas_NORM!$H$1:$K$1,0)))</f>
        <v>A la fecha no ha conformado un EAT Región</v>
      </c>
      <c r="AB1158" s="17" t="str">
        <f>IF($E1158="","",INDEX([1]Esquemas_NORM!$H$2:$K$126,MATCH($E1158,[1]Esquemas_NORM!$A$2:$A$126,0),MATCH(AB$4,[1]Esquemas_NORM!$H$1:$K$1,0)))</f>
        <v>A la fecha no ha conformado un EAT Área Metropolitana</v>
      </c>
      <c r="AC1158" s="17" t="str">
        <f>IF($E1158="","",INDEX([1]Esquemas_NORM!$H$2:$K$126,MATCH($E1158,[1]Esquemas_NORM!$A$2:$A$126,0),MATCH(AC$4,[1]Esquemas_NORM!$H$1:$K$1,0)))</f>
        <v>ASOCIACIÓN DE MUNICIPIOS DEL MAGDALENA MEDIO ANTIOQUEÑO - AMMA</v>
      </c>
      <c r="AD1158" s="23"/>
    </row>
    <row r="1159" spans="1:30" x14ac:dyDescent="0.25">
      <c r="A1159" s="51">
        <v>2024</v>
      </c>
      <c r="B1159" s="52" t="s">
        <v>36</v>
      </c>
      <c r="C1159" s="52" t="s">
        <v>78</v>
      </c>
      <c r="D1159" s="52" t="s">
        <v>85</v>
      </c>
      <c r="E1159" s="52" t="s">
        <v>88</v>
      </c>
      <c r="F1159" s="52" t="s">
        <v>81</v>
      </c>
      <c r="G1159" s="52" t="s">
        <v>89</v>
      </c>
      <c r="H1159" s="53">
        <v>5.9920282902836952</v>
      </c>
      <c r="I1159" s="53">
        <v>64.316976468763187</v>
      </c>
      <c r="J1159" s="54">
        <v>70.309004759046886</v>
      </c>
      <c r="K1159" s="53">
        <v>41.416612832141787</v>
      </c>
      <c r="L1159" s="53">
        <v>2.3624078754022766</v>
      </c>
      <c r="M1159" s="54">
        <v>43.779020707544063</v>
      </c>
      <c r="N1159" s="53">
        <v>41.156794634231282</v>
      </c>
      <c r="O1159" s="53">
        <v>126.89454130262844</v>
      </c>
      <c r="P1159" s="53">
        <v>4.8293447044524571</v>
      </c>
      <c r="Q1159" s="53">
        <v>3.8800729080936684</v>
      </c>
      <c r="R1159" s="53">
        <v>9.5152197364216011</v>
      </c>
      <c r="S1159" s="53">
        <v>41.452023925098381</v>
      </c>
      <c r="T1159" s="53">
        <v>34.561410966462567</v>
      </c>
      <c r="U1159" s="53">
        <v>8.8329551252300771</v>
      </c>
      <c r="V1159" s="54">
        <v>271.12236330261845</v>
      </c>
      <c r="W1159" s="54">
        <v>446.51730030893788</v>
      </c>
      <c r="X1159" s="53">
        <v>48.957389493710942</v>
      </c>
      <c r="Y1159" s="55">
        <v>495.26399053396955</v>
      </c>
      <c r="Z1159" s="17" t="str">
        <f>SUBSTITUTE(SUBSTITUTE(SUBSTITUTE(SUBSTITUTE(IF(E1159="","",VLOOKUP(E1159,[1]Esquemas_NORM!$A$2:$H$126,8,FALSE)),"PROVINCIA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59" s="17" t="str">
        <f>IF($E1159="","",INDEX([1]Esquemas_NORM!$H$2:$K$126,MATCH($E1159,[1]Esquemas_NORM!$A$2:$A$126,0),MATCH(AA$4,[1]Esquemas_NORM!$H$1:$K$1,0)))</f>
        <v>A la fecha no ha conformado un EAT Región</v>
      </c>
      <c r="AB1159" s="17" t="str">
        <f>IF($E1159="","",INDEX([1]Esquemas_NORM!$H$2:$K$126,MATCH($E1159,[1]Esquemas_NORM!$A$2:$A$126,0),MATCH(AB$4,[1]Esquemas_NORM!$H$1:$K$1,0)))</f>
        <v>A la fecha no ha conformado un EAT Área Metropolitana</v>
      </c>
      <c r="AC1159" s="17" t="str">
        <f>IF($E1159="","",INDEX([1]Esquemas_NORM!$H$2:$K$126,MATCH($E1159,[1]Esquemas_NORM!$A$2:$A$126,0),MATCH(AC$4,[1]Esquemas_NORM!$H$1:$K$1,0)))</f>
        <v>ASOCIACIÓN DE MUNICIPIOS DEL MAGDALENA MEDIO ANTIOQUEÑO - AMMA</v>
      </c>
      <c r="AD1159" s="23"/>
    </row>
    <row r="1160" spans="1:30" x14ac:dyDescent="0.25">
      <c r="A1160" s="51">
        <v>2024</v>
      </c>
      <c r="B1160" s="52" t="s">
        <v>36</v>
      </c>
      <c r="C1160" s="52" t="s">
        <v>78</v>
      </c>
      <c r="D1160" s="52" t="s">
        <v>85</v>
      </c>
      <c r="E1160" s="52" t="s">
        <v>90</v>
      </c>
      <c r="F1160" s="52" t="s">
        <v>81</v>
      </c>
      <c r="G1160" s="52" t="s">
        <v>91</v>
      </c>
      <c r="H1160" s="53">
        <v>9.9143736601973185</v>
      </c>
      <c r="I1160" s="53">
        <v>4.9523361876376288</v>
      </c>
      <c r="J1160" s="54">
        <v>14.866709847834947</v>
      </c>
      <c r="K1160" s="53">
        <v>17.309421713945486</v>
      </c>
      <c r="L1160" s="53">
        <v>7.6146747820035836</v>
      </c>
      <c r="M1160" s="54">
        <v>24.924096495949069</v>
      </c>
      <c r="N1160" s="53">
        <v>9.7317390966892141</v>
      </c>
      <c r="O1160" s="53">
        <v>67.745172515099526</v>
      </c>
      <c r="P1160" s="53">
        <v>4.4061333943751144</v>
      </c>
      <c r="Q1160" s="53">
        <v>3.8839193097489941</v>
      </c>
      <c r="R1160" s="53">
        <v>15.320088861632289</v>
      </c>
      <c r="S1160" s="53">
        <v>24.200510594192696</v>
      </c>
      <c r="T1160" s="53">
        <v>25.932419296424928</v>
      </c>
      <c r="U1160" s="53">
        <v>7.5320363819139704</v>
      </c>
      <c r="V1160" s="54">
        <v>158.75201945007672</v>
      </c>
      <c r="W1160" s="54">
        <v>207.74545649184839</v>
      </c>
      <c r="X1160" s="53">
        <v>22.777785366827466</v>
      </c>
      <c r="Y1160" s="55">
        <v>230.42521247499184</v>
      </c>
      <c r="Z1160" s="17" t="str">
        <f>SUBSTITUTE(SUBSTITUTE(SUBSTITUTE(SUBSTITUTE(IF(E1160="","",VLOOKUP(E1160,[1]Esquemas_NORM!$A$2:$H$126,8,FALSE)),"PROVINCIA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60" s="17" t="str">
        <f>IF($E1160="","",INDEX([1]Esquemas_NORM!$H$2:$K$126,MATCH($E1160,[1]Esquemas_NORM!$A$2:$A$126,0),MATCH(AA$4,[1]Esquemas_NORM!$H$1:$K$1,0)))</f>
        <v>A la fecha no ha conformado un EAT Región</v>
      </c>
      <c r="AB1160" s="17" t="str">
        <f>IF($E1160="","",INDEX([1]Esquemas_NORM!$H$2:$K$126,MATCH($E1160,[1]Esquemas_NORM!$A$2:$A$126,0),MATCH(AB$4,[1]Esquemas_NORM!$H$1:$K$1,0)))</f>
        <v>A la fecha no ha conformado un EAT Área Metropolitana</v>
      </c>
      <c r="AC1160" s="17" t="str">
        <f>IF($E1160="","",INDEX([1]Esquemas_NORM!$H$2:$K$126,MATCH($E1160,[1]Esquemas_NORM!$A$2:$A$126,0),MATCH(AC$4,[1]Esquemas_NORM!$H$1:$K$1,0)))</f>
        <v>ASOCIACIÓN DE MUNICIPIOS DEL MAGDALENA MEDIO ANTIOQUEÑO - AMMA</v>
      </c>
      <c r="AD1160" s="23"/>
    </row>
    <row r="1161" spans="1:30" x14ac:dyDescent="0.25">
      <c r="A1161" s="51">
        <v>2024</v>
      </c>
      <c r="B1161" s="52" t="s">
        <v>36</v>
      </c>
      <c r="C1161" s="52" t="s">
        <v>78</v>
      </c>
      <c r="D1161" s="52" t="s">
        <v>85</v>
      </c>
      <c r="E1161" s="52" t="s">
        <v>92</v>
      </c>
      <c r="F1161" s="52" t="s">
        <v>81</v>
      </c>
      <c r="G1161" s="52" t="s">
        <v>93</v>
      </c>
      <c r="H1161" s="53">
        <v>45.506389175359359</v>
      </c>
      <c r="I1161" s="53">
        <v>343.97770557023148</v>
      </c>
      <c r="J1161" s="54">
        <v>389.48409474559082</v>
      </c>
      <c r="K1161" s="53">
        <v>5.1597279507188398</v>
      </c>
      <c r="L1161" s="53">
        <v>6.5507522685870336</v>
      </c>
      <c r="M1161" s="54">
        <v>11.710480219305873</v>
      </c>
      <c r="N1161" s="53">
        <v>6.8454353848730349</v>
      </c>
      <c r="O1161" s="53">
        <v>27.684333764913191</v>
      </c>
      <c r="P1161" s="53">
        <v>6.4795427242026804</v>
      </c>
      <c r="Q1161" s="53">
        <v>4.5589228752381965</v>
      </c>
      <c r="R1161" s="53">
        <v>15.87587718923662</v>
      </c>
      <c r="S1161" s="53">
        <v>52.911691043328126</v>
      </c>
      <c r="T1161" s="53">
        <v>36.57217082145366</v>
      </c>
      <c r="U1161" s="53">
        <v>10.568987925492813</v>
      </c>
      <c r="V1161" s="54">
        <v>161.49696172873831</v>
      </c>
      <c r="W1161" s="54">
        <v>803.52301715135604</v>
      </c>
      <c r="X1161" s="53">
        <v>88.100481864157175</v>
      </c>
      <c r="Y1161" s="55">
        <v>891.24433853960522</v>
      </c>
      <c r="Z1161" s="17" t="str">
        <f>SUBSTITUTE(SUBSTITUTE(SUBSTITUTE(SUBSTITUTE(IF(E1161="","",VLOOKUP(E1161,[1]Esquemas_NORM!$A$2:$H$126,8,FALSE)),"PROVINCIA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61" s="17" t="str">
        <f>IF($E1161="","",INDEX([1]Esquemas_NORM!$H$2:$K$126,MATCH($E1161,[1]Esquemas_NORM!$A$2:$A$126,0),MATCH(AA$4,[1]Esquemas_NORM!$H$1:$K$1,0)))</f>
        <v>A la fecha no ha conformado un EAT Región</v>
      </c>
      <c r="AB1161" s="17" t="str">
        <f>IF($E1161="","",INDEX([1]Esquemas_NORM!$H$2:$K$126,MATCH($E1161,[1]Esquemas_NORM!$A$2:$A$126,0),MATCH(AB$4,[1]Esquemas_NORM!$H$1:$K$1,0)))</f>
        <v>A la fecha no ha conformado un EAT Área Metropolitana</v>
      </c>
      <c r="AC1161" s="17" t="str">
        <f>IF($E1161="","",INDEX([1]Esquemas_NORM!$H$2:$K$126,MATCH($E1161,[1]Esquemas_NORM!$A$2:$A$126,0),MATCH(AC$4,[1]Esquemas_NORM!$H$1:$K$1,0)))</f>
        <v>ASOCIACIÓN DE MUNICIPIOS DEL MAGDALENA MEDIO ANTIOQUEÑO - AMMA</v>
      </c>
      <c r="AD1161" s="23"/>
    </row>
    <row r="1162" spans="1:30" x14ac:dyDescent="0.25">
      <c r="A1162" s="51">
        <v>2024</v>
      </c>
      <c r="B1162" s="52" t="s">
        <v>36</v>
      </c>
      <c r="C1162" s="52" t="s">
        <v>94</v>
      </c>
      <c r="D1162" s="52" t="s">
        <v>95</v>
      </c>
      <c r="E1162" s="52" t="s">
        <v>96</v>
      </c>
      <c r="F1162" s="52" t="s">
        <v>97</v>
      </c>
      <c r="G1162" s="52" t="s">
        <v>98</v>
      </c>
      <c r="H1162" s="53">
        <v>37.456900158155328</v>
      </c>
      <c r="I1162" s="53">
        <v>2.267158405071672</v>
      </c>
      <c r="J1162" s="54">
        <v>39.724058563226997</v>
      </c>
      <c r="K1162" s="53">
        <v>17.061650180354317</v>
      </c>
      <c r="L1162" s="53">
        <v>23.545562016702132</v>
      </c>
      <c r="M1162" s="54">
        <v>40.607212197056448</v>
      </c>
      <c r="N1162" s="53">
        <v>471.22199702319966</v>
      </c>
      <c r="O1162" s="53">
        <v>37.81089359412119</v>
      </c>
      <c r="P1162" s="53">
        <v>9.4299761522741736</v>
      </c>
      <c r="Q1162" s="53">
        <v>8.2200599459979422</v>
      </c>
      <c r="R1162" s="53">
        <v>20.276949810781677</v>
      </c>
      <c r="S1162" s="53">
        <v>36.518120871231574</v>
      </c>
      <c r="T1162" s="53">
        <v>33.235263105938103</v>
      </c>
      <c r="U1162" s="53">
        <v>13.346647252812724</v>
      </c>
      <c r="V1162" s="54">
        <v>630.05990775635712</v>
      </c>
      <c r="W1162" s="54">
        <v>894.42554424497052</v>
      </c>
      <c r="X1162" s="53">
        <v>98.067285886545605</v>
      </c>
      <c r="Y1162" s="55">
        <v>992.07077524601357</v>
      </c>
      <c r="Z1162" s="17" t="str">
        <f>SUBSTITUTE(SUBSTITUTE(SUBSTITUTE(SUBSTITUTE(IF(E1162="","",VLOOKUP(E1162,[1]Esquemas_NORM!$A$2:$H$126,8,FALSE)),"PROVINCIA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162" s="17" t="str">
        <f>IF($E1162="","",INDEX([1]Esquemas_NORM!$H$2:$K$126,MATCH($E1162,[1]Esquemas_NORM!$A$2:$A$126,0),MATCH(AA$4,[1]Esquemas_NORM!$H$1:$K$1,0)))</f>
        <v>A la fecha no ha conformado un EAT Región</v>
      </c>
      <c r="AB1162" s="17" t="str">
        <f>IF($E1162="","",INDEX([1]Esquemas_NORM!$H$2:$K$126,MATCH($E1162,[1]Esquemas_NORM!$A$2:$A$126,0),MATCH(AB$4,[1]Esquemas_NORM!$H$1:$K$1,0)))</f>
        <v>A la fecha no ha conformado un EAT Área Metropolitana</v>
      </c>
      <c r="AC1162" s="17" t="str">
        <f>IF($E1162="","",INDEX([1]Esquemas_NORM!$H$2:$K$126,MATCH($E1162,[1]Esquemas_NORM!$A$2:$A$126,0),MATCH(AC$4,[1]Esquemas_NORM!$H$1:$K$1,0)))</f>
        <v>A la fecha no ha conformado un EAT asociación - unión</v>
      </c>
      <c r="AD1162" s="23"/>
    </row>
    <row r="1163" spans="1:30" x14ac:dyDescent="0.25">
      <c r="A1163" s="51">
        <v>2024</v>
      </c>
      <c r="B1163" s="52" t="s">
        <v>36</v>
      </c>
      <c r="C1163" s="52" t="s">
        <v>94</v>
      </c>
      <c r="D1163" s="52" t="s">
        <v>99</v>
      </c>
      <c r="E1163" s="52" t="s">
        <v>100</v>
      </c>
      <c r="F1163" s="52" t="s">
        <v>97</v>
      </c>
      <c r="G1163" s="52" t="s">
        <v>101</v>
      </c>
      <c r="H1163" s="53">
        <v>78.27396375239141</v>
      </c>
      <c r="I1163" s="53">
        <v>11.977354482385625</v>
      </c>
      <c r="J1163" s="54">
        <v>90.251318234777031</v>
      </c>
      <c r="K1163" s="53">
        <v>2.5705157310558429</v>
      </c>
      <c r="L1163" s="53">
        <v>6.1297289250805793</v>
      </c>
      <c r="M1163" s="54">
        <v>8.7002446561364231</v>
      </c>
      <c r="N1163" s="53">
        <v>82.042408400030922</v>
      </c>
      <c r="O1163" s="53">
        <v>5.930592785163018</v>
      </c>
      <c r="P1163" s="53">
        <v>1.2888734359908964</v>
      </c>
      <c r="Q1163" s="53">
        <v>0.94599979344353857</v>
      </c>
      <c r="R1163" s="53">
        <v>2.6043170844394821</v>
      </c>
      <c r="S1163" s="53">
        <v>6.0341054584464677</v>
      </c>
      <c r="T1163" s="53">
        <v>6.0139076868041625</v>
      </c>
      <c r="U1163" s="53">
        <v>1.7343497585756835</v>
      </c>
      <c r="V1163" s="54">
        <v>106.59455440289416</v>
      </c>
      <c r="W1163" s="54">
        <v>280.2064986218499</v>
      </c>
      <c r="X1163" s="53">
        <v>30.722614067118005</v>
      </c>
      <c r="Y1163" s="55">
        <v>310.79689092668349</v>
      </c>
      <c r="Z1163" s="17" t="str">
        <f>SUBSTITUTE(SUBSTITUTE(SUBSTITUTE(SUBSTITUTE(IF(E1163="","",VLOOKUP(E1163,[1]Esquemas_NORM!$A$2:$H$126,8,FALSE)),"PROVINCIA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63" s="17" t="str">
        <f>IF($E1163="","",INDEX([1]Esquemas_NORM!$H$2:$K$126,MATCH($E1163,[1]Esquemas_NORM!$A$2:$A$126,0),MATCH(AA$4,[1]Esquemas_NORM!$H$1:$K$1,0)))</f>
        <v>A la fecha no ha conformado un EAT Región</v>
      </c>
      <c r="AB1163" s="17" t="str">
        <f>IF($E1163="","",INDEX([1]Esquemas_NORM!$H$2:$K$126,MATCH($E1163,[1]Esquemas_NORM!$A$2:$A$126,0),MATCH(AB$4,[1]Esquemas_NORM!$H$1:$K$1,0)))</f>
        <v>A la fecha no ha conformado un EAT Área Metropolitana</v>
      </c>
      <c r="AC1163" s="17" t="str">
        <f>IF($E1163="","",INDEX([1]Esquemas_NORM!$H$2:$K$126,MATCH($E1163,[1]Esquemas_NORM!$A$2:$A$126,0),MATCH(AC$4,[1]Esquemas_NORM!$H$1:$K$1,0)))</f>
        <v>A la fecha no ha conformado un EAT asociación - unión</v>
      </c>
      <c r="AD1163" s="23"/>
    </row>
    <row r="1164" spans="1:30" x14ac:dyDescent="0.25">
      <c r="A1164" s="51">
        <v>2024</v>
      </c>
      <c r="B1164" s="52" t="s">
        <v>36</v>
      </c>
      <c r="C1164" s="52" t="s">
        <v>94</v>
      </c>
      <c r="D1164" s="52" t="s">
        <v>79</v>
      </c>
      <c r="E1164" s="52" t="s">
        <v>102</v>
      </c>
      <c r="F1164" s="52" t="s">
        <v>97</v>
      </c>
      <c r="G1164" s="52" t="s">
        <v>103</v>
      </c>
      <c r="H1164" s="53">
        <v>7.0013009264318571</v>
      </c>
      <c r="I1164" s="53">
        <v>0.11352556511996131</v>
      </c>
      <c r="J1164" s="54">
        <v>7.1148264915518187</v>
      </c>
      <c r="K1164" s="53">
        <v>4.1645589378405141</v>
      </c>
      <c r="L1164" s="53">
        <v>2.3256309683274399</v>
      </c>
      <c r="M1164" s="54">
        <v>6.490189906167954</v>
      </c>
      <c r="N1164" s="53">
        <v>5.510925389317431</v>
      </c>
      <c r="O1164" s="53">
        <v>32.733175909536484</v>
      </c>
      <c r="P1164" s="53">
        <v>6.5208503006718956</v>
      </c>
      <c r="Q1164" s="53">
        <v>4.8145670908520222</v>
      </c>
      <c r="R1164" s="53">
        <v>12.364602904348624</v>
      </c>
      <c r="S1164" s="53">
        <v>17.694783941169508</v>
      </c>
      <c r="T1164" s="53">
        <v>26.365184721759832</v>
      </c>
      <c r="U1164" s="53">
        <v>7.7468110876699212</v>
      </c>
      <c r="V1164" s="54">
        <v>113.75090134532572</v>
      </c>
      <c r="W1164" s="54">
        <v>128.33017217598936</v>
      </c>
      <c r="X1164" s="53">
        <v>14.070474354884475</v>
      </c>
      <c r="Y1164" s="55">
        <v>142.34009104196508</v>
      </c>
      <c r="Z1164" s="17" t="str">
        <f>SUBSTITUTE(SUBSTITUTE(SUBSTITUTE(SUBSTITUTE(IF(E1164="","",VLOOKUP(E1164,[1]Esquemas_NORM!$A$2:$H$126,8,FALSE)),"PROVINCIA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64" s="17" t="str">
        <f>IF($E1164="","",INDEX([1]Esquemas_NORM!$H$2:$K$126,MATCH($E1164,[1]Esquemas_NORM!$A$2:$A$126,0),MATCH(AA$4,[1]Esquemas_NORM!$H$1:$K$1,0)))</f>
        <v>A la fecha no ha conformado un EAT Región</v>
      </c>
      <c r="AB1164" s="17" t="str">
        <f>IF($E1164="","",INDEX([1]Esquemas_NORM!$H$2:$K$126,MATCH($E1164,[1]Esquemas_NORM!$A$2:$A$126,0),MATCH(AB$4,[1]Esquemas_NORM!$H$1:$K$1,0)))</f>
        <v>A la fecha no ha conformado un EAT Área Metropolitana</v>
      </c>
      <c r="AC1164" s="17" t="str">
        <f>IF($E1164="","",INDEX([1]Esquemas_NORM!$H$2:$K$126,MATCH($E1164,[1]Esquemas_NORM!$A$2:$A$126,0),MATCH(AC$4,[1]Esquemas_NORM!$H$1:$K$1,0)))</f>
        <v>A la fecha no ha conformado un EAT asociación - unión</v>
      </c>
      <c r="AD1164" s="23"/>
    </row>
    <row r="1165" spans="1:30" x14ac:dyDescent="0.25">
      <c r="A1165" s="51">
        <v>2024</v>
      </c>
      <c r="B1165" s="52" t="s">
        <v>36</v>
      </c>
      <c r="C1165" s="52" t="s">
        <v>94</v>
      </c>
      <c r="D1165" s="52" t="s">
        <v>104</v>
      </c>
      <c r="E1165" s="52" t="s">
        <v>105</v>
      </c>
      <c r="F1165" s="52" t="s">
        <v>97</v>
      </c>
      <c r="G1165" s="52" t="s">
        <v>106</v>
      </c>
      <c r="H1165" s="53">
        <v>157.74136906166422</v>
      </c>
      <c r="I1165" s="53">
        <v>223.44753216613361</v>
      </c>
      <c r="J1165" s="54">
        <v>381.18890122779783</v>
      </c>
      <c r="K1165" s="53">
        <v>15.246834986936149</v>
      </c>
      <c r="L1165" s="53">
        <v>1.7054046630724873</v>
      </c>
      <c r="M1165" s="54">
        <v>16.952239650008636</v>
      </c>
      <c r="N1165" s="53">
        <v>20.830455357762037</v>
      </c>
      <c r="O1165" s="53">
        <v>50.102123476279132</v>
      </c>
      <c r="P1165" s="53">
        <v>10.989112893159698</v>
      </c>
      <c r="Q1165" s="53">
        <v>9.1391360085382622</v>
      </c>
      <c r="R1165" s="53">
        <v>24.166447772680058</v>
      </c>
      <c r="S1165" s="53">
        <v>56.880042823769713</v>
      </c>
      <c r="T1165" s="53">
        <v>60.745801555708084</v>
      </c>
      <c r="U1165" s="53">
        <v>18.236870362076179</v>
      </c>
      <c r="V1165" s="54">
        <v>251.08999024997317</v>
      </c>
      <c r="W1165" s="54">
        <v>866.80363077020502</v>
      </c>
      <c r="X1165" s="53">
        <v>95.038743038242544</v>
      </c>
      <c r="Y1165" s="55">
        <v>961.43335294639678</v>
      </c>
      <c r="Z1165" s="17" t="str">
        <f>SUBSTITUTE(SUBSTITUTE(SUBSTITUTE(SUBSTITUTE(IF(E1165="","",VLOOKUP(E1165,[1]Esquemas_NORM!$A$2:$H$126,8,FALSE)),"PROVINCIA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165" s="17" t="str">
        <f>IF($E1165="","",INDEX([1]Esquemas_NORM!$H$2:$K$126,MATCH($E1165,[1]Esquemas_NORM!$A$2:$A$126,0),MATCH(AA$4,[1]Esquemas_NORM!$H$1:$K$1,0)))</f>
        <v>A la fecha no ha conformado un EAT Región</v>
      </c>
      <c r="AB1165" s="17" t="str">
        <f>IF($E1165="","",INDEX([1]Esquemas_NORM!$H$2:$K$126,MATCH($E1165,[1]Esquemas_NORM!$A$2:$A$126,0),MATCH(AB$4,[1]Esquemas_NORM!$H$1:$K$1,0)))</f>
        <v>A la fecha no ha conformado un EAT Área Metropolitana</v>
      </c>
      <c r="AC1165" s="17" t="str">
        <f>IF($E1165="","",INDEX([1]Esquemas_NORM!$H$2:$K$126,MATCH($E1165,[1]Esquemas_NORM!$A$2:$A$126,0),MATCH(AC$4,[1]Esquemas_NORM!$H$1:$K$1,0)))</f>
        <v>A la fecha no ha conformado un EAT asociación - unión</v>
      </c>
      <c r="AD1165" s="23"/>
    </row>
    <row r="1166" spans="1:30" x14ac:dyDescent="0.25">
      <c r="A1166" s="51">
        <v>2024</v>
      </c>
      <c r="B1166" s="52" t="s">
        <v>36</v>
      </c>
      <c r="C1166" s="52" t="s">
        <v>94</v>
      </c>
      <c r="D1166" s="52" t="s">
        <v>79</v>
      </c>
      <c r="E1166" s="52" t="s">
        <v>107</v>
      </c>
      <c r="F1166" s="52" t="s">
        <v>97</v>
      </c>
      <c r="G1166" s="52" t="s">
        <v>108</v>
      </c>
      <c r="H1166" s="53">
        <v>37.110956520978661</v>
      </c>
      <c r="I1166" s="53">
        <v>1.0999913224467717</v>
      </c>
      <c r="J1166" s="54">
        <v>38.21094784342543</v>
      </c>
      <c r="K1166" s="53">
        <v>5.9594595655770908</v>
      </c>
      <c r="L1166" s="53">
        <v>5.4777848312670585</v>
      </c>
      <c r="M1166" s="54">
        <v>11.43724439684415</v>
      </c>
      <c r="N1166" s="53">
        <v>23.651690588136368</v>
      </c>
      <c r="O1166" s="53">
        <v>33.033399267801251</v>
      </c>
      <c r="P1166" s="53">
        <v>7.246142212728186</v>
      </c>
      <c r="Q1166" s="53">
        <v>5.4424883344161028</v>
      </c>
      <c r="R1166" s="53">
        <v>19.140074529777728</v>
      </c>
      <c r="S1166" s="53">
        <v>18.614732928520631</v>
      </c>
      <c r="T1166" s="53">
        <v>31.495307927600013</v>
      </c>
      <c r="U1166" s="53">
        <v>10.339814019402148</v>
      </c>
      <c r="V1166" s="54">
        <v>148.96364980838243</v>
      </c>
      <c r="W1166" s="54">
        <v>219.28628241265147</v>
      </c>
      <c r="X1166" s="53">
        <v>24.043153381210804</v>
      </c>
      <c r="Y1166" s="55">
        <v>243.22596061092386</v>
      </c>
      <c r="Z1166" s="17" t="str">
        <f>SUBSTITUTE(SUBSTITUTE(SUBSTITUTE(SUBSTITUTE(IF(E1166="","",VLOOKUP(E1166,[1]Esquemas_NORM!$A$2:$H$126,8,FALSE)),"PROVINCIA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66" s="17" t="str">
        <f>IF($E1166="","",INDEX([1]Esquemas_NORM!$H$2:$K$126,MATCH($E1166,[1]Esquemas_NORM!$A$2:$A$126,0),MATCH(AA$4,[1]Esquemas_NORM!$H$1:$K$1,0)))</f>
        <v>A la fecha no ha conformado un EAT Región</v>
      </c>
      <c r="AB1166" s="17" t="str">
        <f>IF($E1166="","",INDEX([1]Esquemas_NORM!$H$2:$K$126,MATCH($E1166,[1]Esquemas_NORM!$A$2:$A$126,0),MATCH(AB$4,[1]Esquemas_NORM!$H$1:$K$1,0)))</f>
        <v>A la fecha no ha conformado un EAT Área Metropolitana</v>
      </c>
      <c r="AC1166" s="17" t="str">
        <f>IF($E1166="","",INDEX([1]Esquemas_NORM!$H$2:$K$126,MATCH($E1166,[1]Esquemas_NORM!$A$2:$A$126,0),MATCH(AC$4,[1]Esquemas_NORM!$H$1:$K$1,0)))</f>
        <v>A la fecha no ha conformado un EAT asociación - unión</v>
      </c>
      <c r="AD1166" s="23"/>
    </row>
    <row r="1167" spans="1:30" x14ac:dyDescent="0.25">
      <c r="A1167" s="51">
        <v>2024</v>
      </c>
      <c r="B1167" s="52" t="s">
        <v>36</v>
      </c>
      <c r="C1167" s="52" t="s">
        <v>94</v>
      </c>
      <c r="D1167" s="52" t="s">
        <v>79</v>
      </c>
      <c r="E1167" s="52" t="s">
        <v>109</v>
      </c>
      <c r="F1167" s="52" t="s">
        <v>97</v>
      </c>
      <c r="G1167" s="52" t="s">
        <v>110</v>
      </c>
      <c r="H1167" s="53">
        <v>51.634738685972238</v>
      </c>
      <c r="I1167" s="53">
        <v>82.475728262484651</v>
      </c>
      <c r="J1167" s="54">
        <v>134.11046694845689</v>
      </c>
      <c r="K1167" s="53">
        <v>10.693101466906217</v>
      </c>
      <c r="L1167" s="53">
        <v>0.83381379910873776</v>
      </c>
      <c r="M1167" s="54">
        <v>11.526915266014955</v>
      </c>
      <c r="N1167" s="53">
        <v>19.522873042421764</v>
      </c>
      <c r="O1167" s="53">
        <v>18.457122838919005</v>
      </c>
      <c r="P1167" s="53">
        <v>2.8456494680352247</v>
      </c>
      <c r="Q1167" s="53">
        <v>2.1920259437076193</v>
      </c>
      <c r="R1167" s="53">
        <v>10.459742422850759</v>
      </c>
      <c r="S1167" s="53">
        <v>19.16698765808567</v>
      </c>
      <c r="T1167" s="53">
        <v>18.005765216114522</v>
      </c>
      <c r="U1167" s="53">
        <v>5.6279643835937234</v>
      </c>
      <c r="V1167" s="54">
        <v>96.278130973728295</v>
      </c>
      <c r="W1167" s="54">
        <v>323.52371686766958</v>
      </c>
      <c r="X1167" s="53">
        <v>35.472033460269849</v>
      </c>
      <c r="Y1167" s="55">
        <v>358.84308835829648</v>
      </c>
      <c r="Z1167" s="17" t="str">
        <f>SUBSTITUTE(SUBSTITUTE(SUBSTITUTE(SUBSTITUTE(IF(E1167="","",VLOOKUP(E1167,[1]Esquemas_NORM!$A$2:$H$126,8,FALSE)),"PROVINCIA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67" s="17" t="str">
        <f>IF($E1167="","",INDEX([1]Esquemas_NORM!$H$2:$K$126,MATCH($E1167,[1]Esquemas_NORM!$A$2:$A$126,0),MATCH(AA$4,[1]Esquemas_NORM!$H$1:$K$1,0)))</f>
        <v>A la fecha no ha conformado un EAT Región</v>
      </c>
      <c r="AB1167" s="17" t="str">
        <f>IF($E1167="","",INDEX([1]Esquemas_NORM!$H$2:$K$126,MATCH($E1167,[1]Esquemas_NORM!$A$2:$A$126,0),MATCH(AB$4,[1]Esquemas_NORM!$H$1:$K$1,0)))</f>
        <v>A la fecha no ha conformado un EAT Área Metropolitana</v>
      </c>
      <c r="AC1167" s="17" t="str">
        <f>IF($E1167="","",INDEX([1]Esquemas_NORM!$H$2:$K$126,MATCH($E1167,[1]Esquemas_NORM!$A$2:$A$126,0),MATCH(AC$4,[1]Esquemas_NORM!$H$1:$K$1,0)))</f>
        <v>A la fecha no ha conformado un EAT asociación - unión</v>
      </c>
      <c r="AD1167" s="23"/>
    </row>
    <row r="1168" spans="1:30" x14ac:dyDescent="0.25">
      <c r="A1168" s="51">
        <v>2024</v>
      </c>
      <c r="B1168" s="52" t="s">
        <v>36</v>
      </c>
      <c r="C1168" s="52" t="s">
        <v>94</v>
      </c>
      <c r="D1168" s="52" t="s">
        <v>104</v>
      </c>
      <c r="E1168" s="52" t="s">
        <v>111</v>
      </c>
      <c r="F1168" s="52" t="s">
        <v>97</v>
      </c>
      <c r="G1168" s="52" t="s">
        <v>112</v>
      </c>
      <c r="H1168" s="53">
        <v>34.043545262912865</v>
      </c>
      <c r="I1168" s="53">
        <v>471.14069611983552</v>
      </c>
      <c r="J1168" s="54">
        <v>505.18424138274838</v>
      </c>
      <c r="K1168" s="53">
        <v>19.664510496812092</v>
      </c>
      <c r="L1168" s="53">
        <v>1.7456926855190824</v>
      </c>
      <c r="M1168" s="54">
        <v>21.410203182331173</v>
      </c>
      <c r="N1168" s="53">
        <v>22.646268154419705</v>
      </c>
      <c r="O1168" s="53">
        <v>99.358330133158518</v>
      </c>
      <c r="P1168" s="53">
        <v>15.412097922886471</v>
      </c>
      <c r="Q1168" s="53">
        <v>13.58820090684004</v>
      </c>
      <c r="R1168" s="53">
        <v>34.208641257288036</v>
      </c>
      <c r="S1168" s="53">
        <v>78.146939274276576</v>
      </c>
      <c r="T1168" s="53">
        <v>71.090995460762826</v>
      </c>
      <c r="U1168" s="53">
        <v>26.312406130361158</v>
      </c>
      <c r="V1168" s="54">
        <v>360.76387923999334</v>
      </c>
      <c r="W1168" s="54">
        <v>1207.1031540980653</v>
      </c>
      <c r="X1168" s="53">
        <v>132.35012223145128</v>
      </c>
      <c r="Y1168" s="55">
        <v>1338.8836774548024</v>
      </c>
      <c r="Z1168" s="17" t="str">
        <f>SUBSTITUTE(SUBSTITUTE(SUBSTITUTE(SUBSTITUTE(IF(E1168="","",VLOOKUP(E1168,[1]Esquemas_NORM!$A$2:$H$126,8,FALSE)),"PROVINCIA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168" s="17" t="str">
        <f>IF($E1168="","",INDEX([1]Esquemas_NORM!$H$2:$K$126,MATCH($E1168,[1]Esquemas_NORM!$A$2:$A$126,0),MATCH(AA$4,[1]Esquemas_NORM!$H$1:$K$1,0)))</f>
        <v>A la fecha no ha conformado un EAT Región</v>
      </c>
      <c r="AB1168" s="17" t="str">
        <f>IF($E1168="","",INDEX([1]Esquemas_NORM!$H$2:$K$126,MATCH($E1168,[1]Esquemas_NORM!$A$2:$A$126,0),MATCH(AB$4,[1]Esquemas_NORM!$H$1:$K$1,0)))</f>
        <v>A la fecha no ha conformado un EAT Área Metropolitana</v>
      </c>
      <c r="AC1168" s="17" t="str">
        <f>IF($E1168="","",INDEX([1]Esquemas_NORM!$H$2:$K$126,MATCH($E1168,[1]Esquemas_NORM!$A$2:$A$126,0),MATCH(AC$4,[1]Esquemas_NORM!$H$1:$K$1,0)))</f>
        <v>A la fecha no ha conformado un EAT asociación - unión</v>
      </c>
      <c r="AD1168" s="23"/>
    </row>
    <row r="1169" spans="1:30" x14ac:dyDescent="0.25">
      <c r="A1169" s="51">
        <v>2024</v>
      </c>
      <c r="B1169" s="52" t="s">
        <v>36</v>
      </c>
      <c r="C1169" s="52" t="s">
        <v>94</v>
      </c>
      <c r="D1169" s="52" t="s">
        <v>95</v>
      </c>
      <c r="E1169" s="52" t="s">
        <v>113</v>
      </c>
      <c r="F1169" s="52" t="s">
        <v>97</v>
      </c>
      <c r="G1169" s="52" t="s">
        <v>114</v>
      </c>
      <c r="H1169" s="53">
        <v>43.194488865835623</v>
      </c>
      <c r="I1169" s="53">
        <v>45.648382942961291</v>
      </c>
      <c r="J1169" s="54">
        <v>88.842871808796914</v>
      </c>
      <c r="K1169" s="53">
        <v>1.0324369075974822</v>
      </c>
      <c r="L1169" s="53">
        <v>5.2900481168623896</v>
      </c>
      <c r="M1169" s="54">
        <v>6.3224850244598718</v>
      </c>
      <c r="N1169" s="53">
        <v>3.5680453102507603</v>
      </c>
      <c r="O1169" s="53">
        <v>27.704778185368717</v>
      </c>
      <c r="P1169" s="53">
        <v>4.5252996927015383</v>
      </c>
      <c r="Q1169" s="53">
        <v>4.0430067181426734</v>
      </c>
      <c r="R1169" s="53">
        <v>9.577874325727997</v>
      </c>
      <c r="S1169" s="53">
        <v>21.769491067832039</v>
      </c>
      <c r="T1169" s="53">
        <v>24.068885264321111</v>
      </c>
      <c r="U1169" s="53">
        <v>6.1077000536880428</v>
      </c>
      <c r="V1169" s="54">
        <v>101.36508061803288</v>
      </c>
      <c r="W1169" s="54">
        <v>244.89670595329815</v>
      </c>
      <c r="X1169" s="53">
        <v>26.851150920211932</v>
      </c>
      <c r="Y1169" s="55">
        <v>271.63229683404359</v>
      </c>
      <c r="Z1169" s="17" t="str">
        <f>SUBSTITUTE(SUBSTITUTE(SUBSTITUTE(SUBSTITUTE(IF(E1169="","",VLOOKUP(E1169,[1]Esquemas_NORM!$A$2:$H$126,8,FALSE)),"PROVINCIA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169" s="17" t="str">
        <f>IF($E1169="","",INDEX([1]Esquemas_NORM!$H$2:$K$126,MATCH($E1169,[1]Esquemas_NORM!$A$2:$A$126,0),MATCH(AA$4,[1]Esquemas_NORM!$H$1:$K$1,0)))</f>
        <v>A la fecha no ha conformado un EAT Región</v>
      </c>
      <c r="AB1169" s="17" t="str">
        <f>IF($E1169="","",INDEX([1]Esquemas_NORM!$H$2:$K$126,MATCH($E1169,[1]Esquemas_NORM!$A$2:$A$126,0),MATCH(AB$4,[1]Esquemas_NORM!$H$1:$K$1,0)))</f>
        <v>A la fecha no ha conformado un EAT Área Metropolitana</v>
      </c>
      <c r="AC1169" s="17" t="str">
        <f>IF($E1169="","",INDEX([1]Esquemas_NORM!$H$2:$K$126,MATCH($E1169,[1]Esquemas_NORM!$A$2:$A$126,0),MATCH(AC$4,[1]Esquemas_NORM!$H$1:$K$1,0)))</f>
        <v>A la fecha no ha conformado un EAT asociación - unión</v>
      </c>
      <c r="AD1169" s="23"/>
    </row>
    <row r="1170" spans="1:30" x14ac:dyDescent="0.25">
      <c r="A1170" s="51">
        <v>2024</v>
      </c>
      <c r="B1170" s="52" t="s">
        <v>36</v>
      </c>
      <c r="C1170" s="52" t="s">
        <v>94</v>
      </c>
      <c r="D1170" s="52" t="s">
        <v>95</v>
      </c>
      <c r="E1170" s="52" t="s">
        <v>115</v>
      </c>
      <c r="F1170" s="52" t="s">
        <v>97</v>
      </c>
      <c r="G1170" s="52" t="s">
        <v>116</v>
      </c>
      <c r="H1170" s="53">
        <v>4.8926536536871792</v>
      </c>
      <c r="I1170" s="53">
        <v>4.964533745463366</v>
      </c>
      <c r="J1170" s="54">
        <v>9.8571873991505452</v>
      </c>
      <c r="K1170" s="53">
        <v>2.4961220567663078</v>
      </c>
      <c r="L1170" s="53">
        <v>1.4838028567252772</v>
      </c>
      <c r="M1170" s="54">
        <v>3.9799249134915851</v>
      </c>
      <c r="N1170" s="53">
        <v>1.8425353678620076</v>
      </c>
      <c r="O1170" s="53">
        <v>15.182775210873137</v>
      </c>
      <c r="P1170" s="53">
        <v>2.5745315421179904</v>
      </c>
      <c r="Q1170" s="53">
        <v>1.8586548489455648</v>
      </c>
      <c r="R1170" s="53">
        <v>5.6368828055250804</v>
      </c>
      <c r="S1170" s="53">
        <v>13.35985584820933</v>
      </c>
      <c r="T1170" s="53">
        <v>12.639431145547441</v>
      </c>
      <c r="U1170" s="53">
        <v>4.5780804873581751</v>
      </c>
      <c r="V1170" s="54">
        <v>57.672747256438726</v>
      </c>
      <c r="W1170" s="54">
        <v>75.342209076659088</v>
      </c>
      <c r="X1170" s="53">
        <v>8.2607277982926757</v>
      </c>
      <c r="Y1170" s="55">
        <v>83.567384952681408</v>
      </c>
      <c r="Z1170" s="17" t="str">
        <f>SUBSTITUTE(SUBSTITUTE(SUBSTITUTE(SUBSTITUTE(IF(E1170="","",VLOOKUP(E1170,[1]Esquemas_NORM!$A$2:$H$126,8,FALSE)),"PROVINCIA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170" s="17" t="str">
        <f>IF($E1170="","",INDEX([1]Esquemas_NORM!$H$2:$K$126,MATCH($E1170,[1]Esquemas_NORM!$A$2:$A$126,0),MATCH(AA$4,[1]Esquemas_NORM!$H$1:$K$1,0)))</f>
        <v>A la fecha no ha conformado un EAT Región</v>
      </c>
      <c r="AB1170" s="17" t="str">
        <f>IF($E1170="","",INDEX([1]Esquemas_NORM!$H$2:$K$126,MATCH($E1170,[1]Esquemas_NORM!$A$2:$A$126,0),MATCH(AB$4,[1]Esquemas_NORM!$H$1:$K$1,0)))</f>
        <v>A la fecha no ha conformado un EAT Área Metropolitana</v>
      </c>
      <c r="AC1170" s="17" t="str">
        <f>IF($E1170="","",INDEX([1]Esquemas_NORM!$H$2:$K$126,MATCH($E1170,[1]Esquemas_NORM!$A$2:$A$126,0),MATCH(AC$4,[1]Esquemas_NORM!$H$1:$K$1,0)))</f>
        <v>A la fecha no ha conformado un EAT asociación - unión</v>
      </c>
      <c r="AD1170" s="23"/>
    </row>
    <row r="1171" spans="1:30" x14ac:dyDescent="0.25">
      <c r="A1171" s="51">
        <v>2024</v>
      </c>
      <c r="B1171" s="52" t="s">
        <v>36</v>
      </c>
      <c r="C1171" s="52" t="s">
        <v>94</v>
      </c>
      <c r="D1171" s="52" t="s">
        <v>95</v>
      </c>
      <c r="E1171" s="52" t="s">
        <v>117</v>
      </c>
      <c r="F1171" s="52" t="s">
        <v>97</v>
      </c>
      <c r="G1171" s="52" t="s">
        <v>118</v>
      </c>
      <c r="H1171" s="53">
        <v>95.846888777064791</v>
      </c>
      <c r="I1171" s="53">
        <v>0.18742491884571841</v>
      </c>
      <c r="J1171" s="54">
        <v>96.034313695910512</v>
      </c>
      <c r="K1171" s="53">
        <v>9.0661301103262542</v>
      </c>
      <c r="L1171" s="53">
        <v>6.3423721795130179</v>
      </c>
      <c r="M1171" s="54">
        <v>15.408502289839273</v>
      </c>
      <c r="N1171" s="53">
        <v>4.1969801028182196</v>
      </c>
      <c r="O1171" s="53">
        <v>29.471797514154716</v>
      </c>
      <c r="P1171" s="53">
        <v>6.2101888122772007</v>
      </c>
      <c r="Q1171" s="53">
        <v>6.0386749359223506</v>
      </c>
      <c r="R1171" s="53">
        <v>16.760705063943686</v>
      </c>
      <c r="S1171" s="53">
        <v>21.892358979009675</v>
      </c>
      <c r="T1171" s="53">
        <v>71.450826457475031</v>
      </c>
      <c r="U1171" s="53">
        <v>10.732262912076642</v>
      </c>
      <c r="V1171" s="54">
        <v>166.75379477767751</v>
      </c>
      <c r="W1171" s="54">
        <v>316.82479534274478</v>
      </c>
      <c r="X1171" s="53">
        <v>34.737545210690868</v>
      </c>
      <c r="Y1171" s="55">
        <v>351.41283962115398</v>
      </c>
      <c r="Z1171" s="17" t="str">
        <f>SUBSTITUTE(SUBSTITUTE(SUBSTITUTE(SUBSTITUTE(IF(E1171="","",VLOOKUP(E1171,[1]Esquemas_NORM!$A$2:$H$126,8,FALSE)),"PROVINCIA ADMINISTRATIVA Y DE PLANIFICACIÓN","PAT"),"PROVINCIA ADMINISTRATIVA Y DE PLANIFICACION","PAT"),"PROVINCIA ADMINISTRATIVA DE PLANIFICACION","PAT"),"PROVINCIA ADMINISTRATIVA Y PLANIFICACION","PAT")</f>
        <v>PAT MINERO AGROECOLOGICA</v>
      </c>
      <c r="AA1171" s="17" t="str">
        <f>IF($E1171="","",INDEX([1]Esquemas_NORM!$H$2:$K$126,MATCH($E1171,[1]Esquemas_NORM!$A$2:$A$126,0),MATCH(AA$4,[1]Esquemas_NORM!$H$1:$K$1,0)))</f>
        <v>A la fecha no ha conformado un EAT Región</v>
      </c>
      <c r="AB1171" s="17" t="str">
        <f>IF($E1171="","",INDEX([1]Esquemas_NORM!$H$2:$K$126,MATCH($E1171,[1]Esquemas_NORM!$A$2:$A$126,0),MATCH(AB$4,[1]Esquemas_NORM!$H$1:$K$1,0)))</f>
        <v>A la fecha no ha conformado un EAT Área Metropolitana</v>
      </c>
      <c r="AC1171" s="17" t="str">
        <f>IF($E1171="","",INDEX([1]Esquemas_NORM!$H$2:$K$126,MATCH($E1171,[1]Esquemas_NORM!$A$2:$A$126,0),MATCH(AC$4,[1]Esquemas_NORM!$H$1:$K$1,0)))</f>
        <v>A la fecha no ha conformado un EAT asociación - unión</v>
      </c>
      <c r="AD1171" s="23"/>
    </row>
    <row r="1172" spans="1:30" x14ac:dyDescent="0.25">
      <c r="A1172" s="51">
        <v>2024</v>
      </c>
      <c r="B1172" s="52" t="s">
        <v>36</v>
      </c>
      <c r="C1172" s="52" t="s">
        <v>119</v>
      </c>
      <c r="D1172" s="52" t="s">
        <v>120</v>
      </c>
      <c r="E1172" s="52" t="s">
        <v>121</v>
      </c>
      <c r="F1172" s="52" t="s">
        <v>122</v>
      </c>
      <c r="G1172" s="52" t="s">
        <v>123</v>
      </c>
      <c r="H1172" s="53">
        <v>19.402127029467941</v>
      </c>
      <c r="I1172" s="53">
        <v>0</v>
      </c>
      <c r="J1172" s="54">
        <v>19.402127029467941</v>
      </c>
      <c r="K1172" s="53">
        <v>1.7051965746992792</v>
      </c>
      <c r="L1172" s="53">
        <v>4.324157563554337</v>
      </c>
      <c r="M1172" s="54">
        <v>6.0293541382536162</v>
      </c>
      <c r="N1172" s="53">
        <v>1.6066964785535538</v>
      </c>
      <c r="O1172" s="53">
        <v>19.355992951806076</v>
      </c>
      <c r="P1172" s="53">
        <v>3.9580421899815557</v>
      </c>
      <c r="Q1172" s="53">
        <v>3.8799970735218743</v>
      </c>
      <c r="R1172" s="53">
        <v>8.4756385337719742</v>
      </c>
      <c r="S1172" s="53">
        <v>11.61334185019604</v>
      </c>
      <c r="T1172" s="53">
        <v>26.756245970972927</v>
      </c>
      <c r="U1172" s="53">
        <v>9.0851203615720717</v>
      </c>
      <c r="V1172" s="54">
        <v>84.731075410376064</v>
      </c>
      <c r="W1172" s="54">
        <v>115.90442817798768</v>
      </c>
      <c r="X1172" s="53">
        <v>12.708081479536398</v>
      </c>
      <c r="Y1172" s="55">
        <v>128.55781753644331</v>
      </c>
      <c r="Z1172" s="17" t="str">
        <f>SUBSTITUTE(SUBSTITUTE(SUBSTITUTE(SUBSTITUTE(IF(E1172="","",VLOOKUP(E1172,[1]Esquemas_NORM!$A$2:$H$126,8,FALSE)),"PROVINCIA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72" s="17" t="str">
        <f>IF($E1172="","",INDEX([1]Esquemas_NORM!$H$2:$K$126,MATCH($E1172,[1]Esquemas_NORM!$A$2:$A$126,0),MATCH(AA$4,[1]Esquemas_NORM!$H$1:$K$1,0)))</f>
        <v>A la fecha no ha conformado un EAT Región</v>
      </c>
      <c r="AB1172" s="17" t="str">
        <f>IF($E1172="","",INDEX([1]Esquemas_NORM!$H$2:$K$126,MATCH($E1172,[1]Esquemas_NORM!$A$2:$A$126,0),MATCH(AB$4,[1]Esquemas_NORM!$H$1:$K$1,0)))</f>
        <v>A la fecha no ha conformado un EAT Área Metropolitana</v>
      </c>
      <c r="AC1172" s="17" t="str">
        <f>IF($E1172="","",INDEX([1]Esquemas_NORM!$H$2:$K$126,MATCH($E1172,[1]Esquemas_NORM!$A$2:$A$126,0),MATCH(AC$4,[1]Esquemas_NORM!$H$1:$K$1,0)))</f>
        <v>ASOCIACION DE MUNICIPIOS DEL NORTE ANTIOQUEÑO - AMUNORTE</v>
      </c>
      <c r="AD1172" s="23"/>
    </row>
    <row r="1173" spans="1:30" x14ac:dyDescent="0.25">
      <c r="A1173" s="51">
        <v>2024</v>
      </c>
      <c r="B1173" s="52" t="s">
        <v>36</v>
      </c>
      <c r="C1173" s="52" t="s">
        <v>119</v>
      </c>
      <c r="D1173" s="52" t="s">
        <v>124</v>
      </c>
      <c r="E1173" s="52" t="s">
        <v>125</v>
      </c>
      <c r="F1173" s="52" t="s">
        <v>122</v>
      </c>
      <c r="G1173" s="52" t="s">
        <v>126</v>
      </c>
      <c r="H1173" s="53">
        <v>19.464363316705438</v>
      </c>
      <c r="I1173" s="53">
        <v>0</v>
      </c>
      <c r="J1173" s="54">
        <v>19.464363316705438</v>
      </c>
      <c r="K1173" s="53">
        <v>2.5788922505433844</v>
      </c>
      <c r="L1173" s="53">
        <v>1.7347964259187725</v>
      </c>
      <c r="M1173" s="54">
        <v>4.3136886764621565</v>
      </c>
      <c r="N1173" s="53">
        <v>2.1603135807456662</v>
      </c>
      <c r="O1173" s="53">
        <v>12.676495094328853</v>
      </c>
      <c r="P1173" s="53">
        <v>2.290029940234505</v>
      </c>
      <c r="Q1173" s="53">
        <v>1.6616592557579475</v>
      </c>
      <c r="R1173" s="53">
        <v>6.0454260996058915</v>
      </c>
      <c r="S1173" s="53">
        <v>9.4153617948545545</v>
      </c>
      <c r="T1173" s="53">
        <v>15.79153988989394</v>
      </c>
      <c r="U1173" s="53">
        <v>3.3282156914301919</v>
      </c>
      <c r="V1173" s="54">
        <v>53.369041346851553</v>
      </c>
      <c r="W1173" s="54">
        <v>84.865014852776653</v>
      </c>
      <c r="X1173" s="53">
        <v>9.3048345129235948</v>
      </c>
      <c r="Y1173" s="55">
        <v>94.129803892539158</v>
      </c>
      <c r="Z1173" s="17" t="str">
        <f>SUBSTITUTE(SUBSTITUTE(SUBSTITUTE(SUBSTITUTE(IF(E1173="","",VLOOKUP(E1173,[1]Esquemas_NORM!$A$2:$H$126,8,FALSE)),"PROVINCIA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173" s="17" t="str">
        <f>IF($E1173="","",INDEX([1]Esquemas_NORM!$H$2:$K$126,MATCH($E1173,[1]Esquemas_NORM!$A$2:$A$126,0),MATCH(AA$4,[1]Esquemas_NORM!$H$1:$K$1,0)))</f>
        <v>A la fecha no ha conformado un EAT Región</v>
      </c>
      <c r="AB1173" s="17" t="str">
        <f>IF($E1173="","",INDEX([1]Esquemas_NORM!$H$2:$K$126,MATCH($E1173,[1]Esquemas_NORM!$A$2:$A$126,0),MATCH(AB$4,[1]Esquemas_NORM!$H$1:$K$1,0)))</f>
        <v>A la fecha no ha conformado un EAT Área Metropolitana</v>
      </c>
      <c r="AC1173" s="17" t="str">
        <f>IF($E1173="","",INDEX([1]Esquemas_NORM!$H$2:$K$126,MATCH($E1173,[1]Esquemas_NORM!$A$2:$A$126,0),MATCH(AC$4,[1]Esquemas_NORM!$H$1:$K$1,0)))</f>
        <v>A la fecha no ha conformado un EAT asociación - unión</v>
      </c>
      <c r="AD1173" s="23"/>
    </row>
    <row r="1174" spans="1:30" x14ac:dyDescent="0.25">
      <c r="A1174" s="51">
        <v>2024</v>
      </c>
      <c r="B1174" s="52" t="s">
        <v>36</v>
      </c>
      <c r="C1174" s="52" t="s">
        <v>119</v>
      </c>
      <c r="D1174" s="52" t="s">
        <v>120</v>
      </c>
      <c r="E1174" s="52" t="s">
        <v>127</v>
      </c>
      <c r="F1174" s="52" t="s">
        <v>122</v>
      </c>
      <c r="G1174" s="52" t="s">
        <v>128</v>
      </c>
      <c r="H1174" s="53">
        <v>19.083813473571372</v>
      </c>
      <c r="I1174" s="53">
        <v>3.7992640005614524E-2</v>
      </c>
      <c r="J1174" s="54">
        <v>19.121806113576987</v>
      </c>
      <c r="K1174" s="53">
        <v>1.1356293116767173</v>
      </c>
      <c r="L1174" s="53">
        <v>2.954006268502575</v>
      </c>
      <c r="M1174" s="54">
        <v>4.0896355801792925</v>
      </c>
      <c r="N1174" s="53">
        <v>41.481954044308665</v>
      </c>
      <c r="O1174" s="53">
        <v>0.42804555749450163</v>
      </c>
      <c r="P1174" s="53">
        <v>0.1786777639521126</v>
      </c>
      <c r="Q1174" s="53">
        <v>0.1335533779127987</v>
      </c>
      <c r="R1174" s="53">
        <v>0.27710999498063588</v>
      </c>
      <c r="S1174" s="53">
        <v>2.0667794812996996</v>
      </c>
      <c r="T1174" s="53">
        <v>1.2710628164392366</v>
      </c>
      <c r="U1174" s="53">
        <v>0.23907149917681467</v>
      </c>
      <c r="V1174" s="54">
        <v>46.076254535564452</v>
      </c>
      <c r="W1174" s="54">
        <v>93.44417642655786</v>
      </c>
      <c r="X1174" s="53">
        <v>10.245477472123161</v>
      </c>
      <c r="Y1174" s="55">
        <v>103.64556015444921</v>
      </c>
      <c r="Z1174" s="17" t="str">
        <f>SUBSTITUTE(SUBSTITUTE(SUBSTITUTE(SUBSTITUTE(IF(E1174="","",VLOOKUP(E1174,[1]Esquemas_NORM!$A$2:$H$126,8,FALSE)),"PROVINCIA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74" s="17" t="str">
        <f>IF($E1174="","",INDEX([1]Esquemas_NORM!$H$2:$K$126,MATCH($E1174,[1]Esquemas_NORM!$A$2:$A$126,0),MATCH(AA$4,[1]Esquemas_NORM!$H$1:$K$1,0)))</f>
        <v>A la fecha no ha conformado un EAT Región</v>
      </c>
      <c r="AB1174" s="17" t="str">
        <f>IF($E1174="","",INDEX([1]Esquemas_NORM!$H$2:$K$126,MATCH($E1174,[1]Esquemas_NORM!$A$2:$A$126,0),MATCH(AB$4,[1]Esquemas_NORM!$H$1:$K$1,0)))</f>
        <v>A la fecha no ha conformado un EAT Área Metropolitana</v>
      </c>
      <c r="AC1174" s="17" t="str">
        <f>IF($E1174="","",INDEX([1]Esquemas_NORM!$H$2:$K$126,MATCH($E1174,[1]Esquemas_NORM!$A$2:$A$126,0),MATCH(AC$4,[1]Esquemas_NORM!$H$1:$K$1,0)))</f>
        <v>ASOCIACION DE MUNICIPIOS DEL NORTE ANTIOQUEÑO - AMUNORTE</v>
      </c>
      <c r="AD1174" s="23"/>
    </row>
    <row r="1175" spans="1:30" x14ac:dyDescent="0.25">
      <c r="A1175" s="51">
        <v>2024</v>
      </c>
      <c r="B1175" s="52" t="s">
        <v>36</v>
      </c>
      <c r="C1175" s="52" t="s">
        <v>119</v>
      </c>
      <c r="D1175" s="52" t="s">
        <v>120</v>
      </c>
      <c r="E1175" s="52" t="s">
        <v>129</v>
      </c>
      <c r="F1175" s="52" t="s">
        <v>122</v>
      </c>
      <c r="G1175" s="52" t="s">
        <v>130</v>
      </c>
      <c r="H1175" s="53">
        <v>9.2133283507807242</v>
      </c>
      <c r="I1175" s="53">
        <v>0</v>
      </c>
      <c r="J1175" s="54">
        <v>9.2133283507807242</v>
      </c>
      <c r="K1175" s="53">
        <v>1.0866220090087229</v>
      </c>
      <c r="L1175" s="53">
        <v>3.0223812048793639</v>
      </c>
      <c r="M1175" s="54">
        <v>4.1090032138880872</v>
      </c>
      <c r="N1175" s="53">
        <v>1.374030504796649</v>
      </c>
      <c r="O1175" s="53">
        <v>11.47330251892744</v>
      </c>
      <c r="P1175" s="53">
        <v>3.6889109584153248</v>
      </c>
      <c r="Q1175" s="53">
        <v>3.4019422018796974</v>
      </c>
      <c r="R1175" s="53">
        <v>6.1579148986490937</v>
      </c>
      <c r="S1175" s="53">
        <v>10.714499904870857</v>
      </c>
      <c r="T1175" s="53">
        <v>20.630700108502626</v>
      </c>
      <c r="U1175" s="53">
        <v>4.9992635898563522</v>
      </c>
      <c r="V1175" s="54">
        <v>62.440564685898039</v>
      </c>
      <c r="W1175" s="54">
        <v>76.969632012083153</v>
      </c>
      <c r="X1175" s="53">
        <v>8.4391629417086964</v>
      </c>
      <c r="Y1175" s="55">
        <v>85.372475095269323</v>
      </c>
      <c r="Z1175" s="17" t="str">
        <f>SUBSTITUTE(SUBSTITUTE(SUBSTITUTE(SUBSTITUTE(IF(E1175="","",VLOOKUP(E1175,[1]Esquemas_NORM!$A$2:$H$126,8,FALSE)),"PROVINCIA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75" s="17" t="str">
        <f>IF($E1175="","",INDEX([1]Esquemas_NORM!$H$2:$K$126,MATCH($E1175,[1]Esquemas_NORM!$A$2:$A$126,0),MATCH(AA$4,[1]Esquemas_NORM!$H$1:$K$1,0)))</f>
        <v>A la fecha no ha conformado un EAT Región</v>
      </c>
      <c r="AB1175" s="17" t="str">
        <f>IF($E1175="","",INDEX([1]Esquemas_NORM!$H$2:$K$126,MATCH($E1175,[1]Esquemas_NORM!$A$2:$A$126,0),MATCH(AB$4,[1]Esquemas_NORM!$H$1:$K$1,0)))</f>
        <v>A la fecha no ha conformado un EAT Área Metropolitana</v>
      </c>
      <c r="AC1175" s="17" t="str">
        <f>IF($E1175="","",INDEX([1]Esquemas_NORM!$H$2:$K$126,MATCH($E1175,[1]Esquemas_NORM!$A$2:$A$126,0),MATCH(AC$4,[1]Esquemas_NORM!$H$1:$K$1,0)))</f>
        <v>ASOCIACION DE MUNICIPIOS DEL NORTE ANTIOQUEÑO - AMUNORTE</v>
      </c>
      <c r="AD1175" s="23"/>
    </row>
    <row r="1176" spans="1:30" x14ac:dyDescent="0.25">
      <c r="A1176" s="51">
        <v>2024</v>
      </c>
      <c r="B1176" s="52" t="s">
        <v>36</v>
      </c>
      <c r="C1176" s="52" t="s">
        <v>119</v>
      </c>
      <c r="D1176" s="52" t="s">
        <v>99</v>
      </c>
      <c r="E1176" s="52" t="s">
        <v>131</v>
      </c>
      <c r="F1176" s="52" t="s">
        <v>122</v>
      </c>
      <c r="G1176" s="52" t="s">
        <v>132</v>
      </c>
      <c r="H1176" s="53">
        <v>12.609150316825122</v>
      </c>
      <c r="I1176" s="53">
        <v>3.7124084477117084E-2</v>
      </c>
      <c r="J1176" s="54">
        <v>12.646274401302239</v>
      </c>
      <c r="K1176" s="53">
        <v>0.6793373568745118</v>
      </c>
      <c r="L1176" s="53">
        <v>2.2282090525759353</v>
      </c>
      <c r="M1176" s="54">
        <v>2.9075464094504468</v>
      </c>
      <c r="N1176" s="53">
        <v>21.426058421455693</v>
      </c>
      <c r="O1176" s="53">
        <v>1.506625624093437</v>
      </c>
      <c r="P1176" s="53">
        <v>0.3949733177085184</v>
      </c>
      <c r="Q1176" s="53">
        <v>0.25362130448620601</v>
      </c>
      <c r="R1176" s="53">
        <v>1.2373890893327724</v>
      </c>
      <c r="S1176" s="53">
        <v>1.7866991249261579</v>
      </c>
      <c r="T1176" s="53">
        <v>1.847815056001108</v>
      </c>
      <c r="U1176" s="53">
        <v>0.76003876654998148</v>
      </c>
      <c r="V1176" s="54">
        <v>29.213220704553876</v>
      </c>
      <c r="W1176" s="54">
        <v>58.2346104602222</v>
      </c>
      <c r="X1176" s="53">
        <v>6.38500345751235</v>
      </c>
      <c r="Y1176" s="55">
        <v>64.592134602091164</v>
      </c>
      <c r="Z1176" s="17" t="str">
        <f>SUBSTITUTE(SUBSTITUTE(SUBSTITUTE(SUBSTITUTE(IF(E1176="","",VLOOKUP(E1176,[1]Esquemas_NORM!$A$2:$H$126,8,FALSE)),"PROVINCIA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76" s="17" t="str">
        <f>IF($E1176="","",INDEX([1]Esquemas_NORM!$H$2:$K$126,MATCH($E1176,[1]Esquemas_NORM!$A$2:$A$126,0),MATCH(AA$4,[1]Esquemas_NORM!$H$1:$K$1,0)))</f>
        <v>A la fecha no ha conformado un EAT Región</v>
      </c>
      <c r="AB1176" s="17" t="str">
        <f>IF($E1176="","",INDEX([1]Esquemas_NORM!$H$2:$K$126,MATCH($E1176,[1]Esquemas_NORM!$A$2:$A$126,0),MATCH(AB$4,[1]Esquemas_NORM!$H$1:$K$1,0)))</f>
        <v>A la fecha no ha conformado un EAT Área Metropolitana</v>
      </c>
      <c r="AC1176" s="17" t="str">
        <f>IF($E1176="","",INDEX([1]Esquemas_NORM!$H$2:$K$126,MATCH($E1176,[1]Esquemas_NORM!$A$2:$A$126,0),MATCH(AC$4,[1]Esquemas_NORM!$H$1:$K$1,0)))</f>
        <v>A la fecha no ha conformado un EAT asociación - unión</v>
      </c>
      <c r="AD1176" s="23"/>
    </row>
    <row r="1177" spans="1:30" x14ac:dyDescent="0.25">
      <c r="A1177" s="51">
        <v>2024</v>
      </c>
      <c r="B1177" s="52" t="s">
        <v>36</v>
      </c>
      <c r="C1177" s="52" t="s">
        <v>119</v>
      </c>
      <c r="D1177" s="52" t="s">
        <v>124</v>
      </c>
      <c r="E1177" s="52" t="s">
        <v>133</v>
      </c>
      <c r="F1177" s="52" t="s">
        <v>122</v>
      </c>
      <c r="G1177" s="52" t="s">
        <v>134</v>
      </c>
      <c r="H1177" s="53">
        <v>143.82054548574419</v>
      </c>
      <c r="I1177" s="53">
        <v>0.11270424240507748</v>
      </c>
      <c r="J1177" s="54">
        <v>143.93324972814926</v>
      </c>
      <c r="K1177" s="53">
        <v>25.916430612917075</v>
      </c>
      <c r="L1177" s="53">
        <v>7.5351992007550095</v>
      </c>
      <c r="M1177" s="54">
        <v>33.451629813672085</v>
      </c>
      <c r="N1177" s="53">
        <v>34.209208021171584</v>
      </c>
      <c r="O1177" s="53">
        <v>58.746738793749678</v>
      </c>
      <c r="P1177" s="53">
        <v>10.170368880076694</v>
      </c>
      <c r="Q1177" s="53">
        <v>11.023784046106758</v>
      </c>
      <c r="R1177" s="53">
        <v>21.99655545708087</v>
      </c>
      <c r="S1177" s="53">
        <v>34.599247816555355</v>
      </c>
      <c r="T1177" s="53">
        <v>36.12448443834711</v>
      </c>
      <c r="U1177" s="53">
        <v>11.968917732851903</v>
      </c>
      <c r="V1177" s="54">
        <v>218.83930518593996</v>
      </c>
      <c r="W1177" s="54">
        <v>468.48710608972129</v>
      </c>
      <c r="X1177" s="53">
        <v>51.366219650869716</v>
      </c>
      <c r="Y1177" s="55">
        <v>519.632259523073</v>
      </c>
      <c r="Z1177" s="17" t="str">
        <f>SUBSTITUTE(SUBSTITUTE(SUBSTITUTE(SUBSTITUTE(IF(E1177="","",VLOOKUP(E1177,[1]Esquemas_NORM!$A$2:$H$126,8,FALSE)),"PROVINCIA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177" s="17" t="str">
        <f>IF($E1177="","",INDEX([1]Esquemas_NORM!$H$2:$K$126,MATCH($E1177,[1]Esquemas_NORM!$A$2:$A$126,0),MATCH(AA$4,[1]Esquemas_NORM!$H$1:$K$1,0)))</f>
        <v>A la fecha no ha conformado un EAT Región</v>
      </c>
      <c r="AB1177" s="17" t="str">
        <f>IF($E1177="","",INDEX([1]Esquemas_NORM!$H$2:$K$126,MATCH($E1177,[1]Esquemas_NORM!$A$2:$A$126,0),MATCH(AB$4,[1]Esquemas_NORM!$H$1:$K$1,0)))</f>
        <v>A la fecha no ha conformado un EAT Área Metropolitana</v>
      </c>
      <c r="AC1177" s="17" t="str">
        <f>IF($E1177="","",INDEX([1]Esquemas_NORM!$H$2:$K$126,MATCH($E1177,[1]Esquemas_NORM!$A$2:$A$126,0),MATCH(AC$4,[1]Esquemas_NORM!$H$1:$K$1,0)))</f>
        <v>ASOCIACION DE MUNICIPIOS DEL NORTE ANTIOQUEÑO - AMUNORTE</v>
      </c>
      <c r="AD1177" s="23"/>
    </row>
    <row r="1178" spans="1:30" x14ac:dyDescent="0.25">
      <c r="A1178" s="51">
        <v>2024</v>
      </c>
      <c r="B1178" s="52" t="s">
        <v>36</v>
      </c>
      <c r="C1178" s="52" t="s">
        <v>119</v>
      </c>
      <c r="D1178" s="52" t="s">
        <v>124</v>
      </c>
      <c r="E1178" s="52" t="s">
        <v>135</v>
      </c>
      <c r="F1178" s="52" t="s">
        <v>122</v>
      </c>
      <c r="G1178" s="52" t="s">
        <v>136</v>
      </c>
      <c r="H1178" s="53">
        <v>90.532322976815649</v>
      </c>
      <c r="I1178" s="53">
        <v>0</v>
      </c>
      <c r="J1178" s="54">
        <v>90.532322976815649</v>
      </c>
      <c r="K1178" s="53">
        <v>149.74681822707478</v>
      </c>
      <c r="L1178" s="53">
        <v>26.736217043700066</v>
      </c>
      <c r="M1178" s="54">
        <v>176.48303527077485</v>
      </c>
      <c r="N1178" s="53">
        <v>8.21685066447648</v>
      </c>
      <c r="O1178" s="53">
        <v>46.722192292252551</v>
      </c>
      <c r="P1178" s="53">
        <v>6.4698180556622535</v>
      </c>
      <c r="Q1178" s="53">
        <v>7.4343664458904852</v>
      </c>
      <c r="R1178" s="53">
        <v>14.025466222672355</v>
      </c>
      <c r="S1178" s="53">
        <v>21.553162216699036</v>
      </c>
      <c r="T1178" s="53">
        <v>15.943538370967611</v>
      </c>
      <c r="U1178" s="53">
        <v>7.6212726586379125</v>
      </c>
      <c r="V1178" s="54">
        <v>127.98666692725868</v>
      </c>
      <c r="W1178" s="54">
        <v>417.38619648714575</v>
      </c>
      <c r="X1178" s="53">
        <v>45.763374849206762</v>
      </c>
      <c r="Y1178" s="55">
        <v>462.95261823667778</v>
      </c>
      <c r="Z1178" s="17" t="str">
        <f>SUBSTITUTE(SUBSTITUTE(SUBSTITUTE(SUBSTITUTE(IF(E1178="","",VLOOKUP(E1178,[1]Esquemas_NORM!$A$2:$H$126,8,FALSE)),"PROVINCIA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178" s="17" t="str">
        <f>IF($E1178="","",INDEX([1]Esquemas_NORM!$H$2:$K$126,MATCH($E1178,[1]Esquemas_NORM!$A$2:$A$126,0),MATCH(AA$4,[1]Esquemas_NORM!$H$1:$K$1,0)))</f>
        <v>A la fecha no ha conformado un EAT Región</v>
      </c>
      <c r="AB1178" s="17" t="str">
        <f>IF($E1178="","",INDEX([1]Esquemas_NORM!$H$2:$K$126,MATCH($E1178,[1]Esquemas_NORM!$A$2:$A$126,0),MATCH(AB$4,[1]Esquemas_NORM!$H$1:$K$1,0)))</f>
        <v>A la fecha no ha conformado un EAT Área Metropolitana</v>
      </c>
      <c r="AC1178" s="17" t="str">
        <f>IF($E1178="","",INDEX([1]Esquemas_NORM!$H$2:$K$126,MATCH($E1178,[1]Esquemas_NORM!$A$2:$A$126,0),MATCH(AC$4,[1]Esquemas_NORM!$H$1:$K$1,0)))</f>
        <v>A la fecha no ha conformado un EAT asociación - unión</v>
      </c>
      <c r="AD1178" s="23"/>
    </row>
    <row r="1179" spans="1:30" x14ac:dyDescent="0.25">
      <c r="A1179" s="51">
        <v>2024</v>
      </c>
      <c r="B1179" s="52" t="s">
        <v>36</v>
      </c>
      <c r="C1179" s="52" t="s">
        <v>119</v>
      </c>
      <c r="D1179" s="52" t="s">
        <v>99</v>
      </c>
      <c r="E1179" s="52" t="s">
        <v>137</v>
      </c>
      <c r="F1179" s="52" t="s">
        <v>122</v>
      </c>
      <c r="G1179" s="52" t="s">
        <v>138</v>
      </c>
      <c r="H1179" s="53">
        <v>27.272107101829384</v>
      </c>
      <c r="I1179" s="53">
        <v>0.6178139156767396</v>
      </c>
      <c r="J1179" s="54">
        <v>27.889921017506122</v>
      </c>
      <c r="K1179" s="53">
        <v>4.7112809901879746</v>
      </c>
      <c r="L1179" s="53">
        <v>11.250847699055475</v>
      </c>
      <c r="M1179" s="54">
        <v>15.96212868924345</v>
      </c>
      <c r="N1179" s="53">
        <v>15.770623784175445</v>
      </c>
      <c r="O1179" s="53">
        <v>73.296452404117048</v>
      </c>
      <c r="P1179" s="53">
        <v>14.407505193929206</v>
      </c>
      <c r="Q1179" s="53">
        <v>9.7537769317421361</v>
      </c>
      <c r="R1179" s="53">
        <v>48.305163425330306</v>
      </c>
      <c r="S1179" s="53">
        <v>45.052849768892813</v>
      </c>
      <c r="T1179" s="53">
        <v>71.433338960545981</v>
      </c>
      <c r="U1179" s="53">
        <v>21.435755439515113</v>
      </c>
      <c r="V1179" s="54">
        <v>299.45546590824807</v>
      </c>
      <c r="W1179" s="54">
        <v>348.58233437900799</v>
      </c>
      <c r="X1179" s="53">
        <v>38.219529462792615</v>
      </c>
      <c r="Y1179" s="55">
        <v>386.63737739776838</v>
      </c>
      <c r="Z1179" s="17" t="str">
        <f>SUBSTITUTE(SUBSTITUTE(SUBSTITUTE(SUBSTITUTE(IF(E1179="","",VLOOKUP(E1179,[1]Esquemas_NORM!$A$2:$H$126,8,FALSE)),"PROVINCIA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79" s="17" t="str">
        <f>IF($E1179="","",INDEX([1]Esquemas_NORM!$H$2:$K$126,MATCH($E1179,[1]Esquemas_NORM!$A$2:$A$126,0),MATCH(AA$4,[1]Esquemas_NORM!$H$1:$K$1,0)))</f>
        <v>A la fecha no ha conformado un EAT Región</v>
      </c>
      <c r="AB1179" s="17" t="str">
        <f>IF($E1179="","",INDEX([1]Esquemas_NORM!$H$2:$K$126,MATCH($E1179,[1]Esquemas_NORM!$A$2:$A$126,0),MATCH(AB$4,[1]Esquemas_NORM!$H$1:$K$1,0)))</f>
        <v>A la fecha no ha conformado un EAT Área Metropolitana</v>
      </c>
      <c r="AC1179" s="17" t="str">
        <f>IF($E1179="","",INDEX([1]Esquemas_NORM!$H$2:$K$126,MATCH($E1179,[1]Esquemas_NORM!$A$2:$A$126,0),MATCH(AC$4,[1]Esquemas_NORM!$H$1:$K$1,0)))</f>
        <v>ASOCIACION DE MUNICIPIOS DEL NORTE ANTIOQUEÑO - AMUNORTE</v>
      </c>
      <c r="AD1179" s="23"/>
    </row>
    <row r="1180" spans="1:30" x14ac:dyDescent="0.25">
      <c r="A1180" s="51">
        <v>2024</v>
      </c>
      <c r="B1180" s="52" t="s">
        <v>36</v>
      </c>
      <c r="C1180" s="52" t="s">
        <v>119</v>
      </c>
      <c r="D1180" s="52" t="s">
        <v>99</v>
      </c>
      <c r="E1180" s="52" t="s">
        <v>139</v>
      </c>
      <c r="F1180" s="52" t="s">
        <v>122</v>
      </c>
      <c r="G1180" s="52" t="s">
        <v>140</v>
      </c>
      <c r="H1180" s="53">
        <v>6.9201615030198003</v>
      </c>
      <c r="I1180" s="53">
        <v>0</v>
      </c>
      <c r="J1180" s="54">
        <v>6.9201615030198003</v>
      </c>
      <c r="K1180" s="53">
        <v>0.43930387960758094</v>
      </c>
      <c r="L1180" s="53">
        <v>2.8428468835479217</v>
      </c>
      <c r="M1180" s="54">
        <v>3.2821507631555025</v>
      </c>
      <c r="N1180" s="53">
        <v>26.190975871619198</v>
      </c>
      <c r="O1180" s="53">
        <v>3.2419378387141888</v>
      </c>
      <c r="P1180" s="53">
        <v>0.5983452020492217</v>
      </c>
      <c r="Q1180" s="53">
        <v>0.52144847339626177</v>
      </c>
      <c r="R1180" s="53">
        <v>1.321347531051458</v>
      </c>
      <c r="S1180" s="53">
        <v>2.9728333742995963</v>
      </c>
      <c r="T1180" s="53">
        <v>4.4563752455594692</v>
      </c>
      <c r="U1180" s="53">
        <v>1.0635104702607385</v>
      </c>
      <c r="V1180" s="54">
        <v>40.366774006950131</v>
      </c>
      <c r="W1180" s="54">
        <v>62.881899819996889</v>
      </c>
      <c r="X1180" s="53">
        <v>6.8945450925616445</v>
      </c>
      <c r="Y1180" s="55">
        <v>69.746772668513856</v>
      </c>
      <c r="Z1180" s="17" t="str">
        <f>SUBSTITUTE(SUBSTITUTE(SUBSTITUTE(SUBSTITUTE(IF(E1180="","",VLOOKUP(E1180,[1]Esquemas_NORM!$A$2:$H$126,8,FALSE)),"PROVINCIA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80" s="17" t="str">
        <f>IF($E1180="","",INDEX([1]Esquemas_NORM!$H$2:$K$126,MATCH($E1180,[1]Esquemas_NORM!$A$2:$A$126,0),MATCH(AA$4,[1]Esquemas_NORM!$H$1:$K$1,0)))</f>
        <v>A la fecha no ha conformado un EAT Región</v>
      </c>
      <c r="AB1180" s="17" t="str">
        <f>IF($E1180="","",INDEX([1]Esquemas_NORM!$H$2:$K$126,MATCH($E1180,[1]Esquemas_NORM!$A$2:$A$126,0),MATCH(AB$4,[1]Esquemas_NORM!$H$1:$K$1,0)))</f>
        <v>A la fecha no ha conformado un EAT Área Metropolitana</v>
      </c>
      <c r="AC1180" s="17" t="str">
        <f>IF($E1180="","",INDEX([1]Esquemas_NORM!$H$2:$K$126,MATCH($E1180,[1]Esquemas_NORM!$A$2:$A$126,0),MATCH(AC$4,[1]Esquemas_NORM!$H$1:$K$1,0)))</f>
        <v>A la fecha no ha conformado un EAT asociación - unión</v>
      </c>
      <c r="AD1180" s="23"/>
    </row>
    <row r="1181" spans="1:30" x14ac:dyDescent="0.25">
      <c r="A1181" s="51">
        <v>2024</v>
      </c>
      <c r="B1181" s="52" t="s">
        <v>36</v>
      </c>
      <c r="C1181" s="52" t="s">
        <v>119</v>
      </c>
      <c r="D1181" s="52" t="s">
        <v>141</v>
      </c>
      <c r="E1181" s="52" t="s">
        <v>142</v>
      </c>
      <c r="F1181" s="52" t="s">
        <v>122</v>
      </c>
      <c r="G1181" s="52" t="s">
        <v>143</v>
      </c>
      <c r="H1181" s="53">
        <v>35.252782157167417</v>
      </c>
      <c r="I1181" s="53">
        <v>0</v>
      </c>
      <c r="J1181" s="54">
        <v>35.252782157167417</v>
      </c>
      <c r="K1181" s="53">
        <v>4.4102911533915092</v>
      </c>
      <c r="L1181" s="53">
        <v>8.8067310632530464</v>
      </c>
      <c r="M1181" s="54">
        <v>13.217022216644555</v>
      </c>
      <c r="N1181" s="53">
        <v>9.9211552211946366</v>
      </c>
      <c r="O1181" s="53">
        <v>50.196580133770233</v>
      </c>
      <c r="P1181" s="53">
        <v>11.65361674517929</v>
      </c>
      <c r="Q1181" s="53">
        <v>10.143491064406605</v>
      </c>
      <c r="R1181" s="53">
        <v>20.690343708902635</v>
      </c>
      <c r="S1181" s="53">
        <v>22.841350823967112</v>
      </c>
      <c r="T1181" s="53">
        <v>48.680568109499198</v>
      </c>
      <c r="U1181" s="53">
        <v>11.386778103633979</v>
      </c>
      <c r="V1181" s="54">
        <v>185.51388391055369</v>
      </c>
      <c r="W1181" s="54">
        <v>246.43833416942172</v>
      </c>
      <c r="X1181" s="53">
        <v>27.020179293729857</v>
      </c>
      <c r="Y1181" s="55">
        <v>273.34222597161022</v>
      </c>
      <c r="Z1181" s="17" t="str">
        <f>SUBSTITUTE(SUBSTITUTE(SUBSTITUTE(SUBSTITUTE(IF(E1181="","",VLOOKUP(E1181,[1]Esquemas_NORM!$A$2:$H$126,8,FALSE)),"PROVINCIA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81" s="17" t="str">
        <f>IF($E1181="","",INDEX([1]Esquemas_NORM!$H$2:$K$126,MATCH($E1181,[1]Esquemas_NORM!$A$2:$A$126,0),MATCH(AA$4,[1]Esquemas_NORM!$H$1:$K$1,0)))</f>
        <v>A la fecha no ha conformado un EAT Región</v>
      </c>
      <c r="AB1181" s="17" t="str">
        <f>IF($E1181="","",INDEX([1]Esquemas_NORM!$H$2:$K$126,MATCH($E1181,[1]Esquemas_NORM!$A$2:$A$126,0),MATCH(AB$4,[1]Esquemas_NORM!$H$1:$K$1,0)))</f>
        <v>A la fecha no ha conformado un EAT Área Metropolitana</v>
      </c>
      <c r="AC1181" s="17" t="str">
        <f>IF($E1181="","",INDEX([1]Esquemas_NORM!$H$2:$K$126,MATCH($E1181,[1]Esquemas_NORM!$A$2:$A$126,0),MATCH(AC$4,[1]Esquemas_NORM!$H$1:$K$1,0)))</f>
        <v>ASOCIACION DE MUNICIPIOS DEL NORTE ANTIOQUEÑO - AMUNORTE</v>
      </c>
      <c r="AD1181" s="23"/>
    </row>
    <row r="1182" spans="1:30" x14ac:dyDescent="0.25">
      <c r="A1182" s="51">
        <v>2024</v>
      </c>
      <c r="B1182" s="52" t="s">
        <v>36</v>
      </c>
      <c r="C1182" s="52" t="s">
        <v>119</v>
      </c>
      <c r="D1182" s="52" t="s">
        <v>141</v>
      </c>
      <c r="E1182" s="52" t="s">
        <v>144</v>
      </c>
      <c r="F1182" s="52" t="s">
        <v>122</v>
      </c>
      <c r="G1182" s="52" t="s">
        <v>145</v>
      </c>
      <c r="H1182" s="53">
        <v>11.736463528852145</v>
      </c>
      <c r="I1182" s="53">
        <v>0</v>
      </c>
      <c r="J1182" s="54">
        <v>11.736463528852145</v>
      </c>
      <c r="K1182" s="53">
        <v>1.1380375746274645</v>
      </c>
      <c r="L1182" s="53">
        <v>2.6096944600556413</v>
      </c>
      <c r="M1182" s="54">
        <v>3.7477320346831058</v>
      </c>
      <c r="N1182" s="53">
        <v>15.835694718051776</v>
      </c>
      <c r="O1182" s="53">
        <v>6.8393708585400805</v>
      </c>
      <c r="P1182" s="53">
        <v>1.5524489906801728</v>
      </c>
      <c r="Q1182" s="53">
        <v>1.3924698397843114</v>
      </c>
      <c r="R1182" s="53">
        <v>4.2486747411534811</v>
      </c>
      <c r="S1182" s="53">
        <v>4.9489012808380073</v>
      </c>
      <c r="T1182" s="53">
        <v>9.5840169781265327</v>
      </c>
      <c r="U1182" s="53">
        <v>2.6002475116430213</v>
      </c>
      <c r="V1182" s="54">
        <v>47.001824918817384</v>
      </c>
      <c r="W1182" s="54">
        <v>72.210274347263137</v>
      </c>
      <c r="X1182" s="53">
        <v>7.9173338283120671</v>
      </c>
      <c r="Y1182" s="55">
        <v>80.093534127413619</v>
      </c>
      <c r="Z1182" s="17" t="str">
        <f>SUBSTITUTE(SUBSTITUTE(SUBSTITUTE(SUBSTITUTE(IF(E1182="","",VLOOKUP(E1182,[1]Esquemas_NORM!$A$2:$H$126,8,FALSE)),"PROVINCIA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82" s="17" t="str">
        <f>IF($E1182="","",INDEX([1]Esquemas_NORM!$H$2:$K$126,MATCH($E1182,[1]Esquemas_NORM!$A$2:$A$126,0),MATCH(AA$4,[1]Esquemas_NORM!$H$1:$K$1,0)))</f>
        <v>A la fecha no ha conformado un EAT Región</v>
      </c>
      <c r="AB1182" s="17" t="str">
        <f>IF($E1182="","",INDEX([1]Esquemas_NORM!$H$2:$K$126,MATCH($E1182,[1]Esquemas_NORM!$A$2:$A$126,0),MATCH(AB$4,[1]Esquemas_NORM!$H$1:$K$1,0)))</f>
        <v>A la fecha no ha conformado un EAT Área Metropolitana</v>
      </c>
      <c r="AC1182" s="17" t="str">
        <f>IF($E1182="","",INDEX([1]Esquemas_NORM!$H$2:$K$126,MATCH($E1182,[1]Esquemas_NORM!$A$2:$A$126,0),MATCH(AC$4,[1]Esquemas_NORM!$H$1:$K$1,0)))</f>
        <v>ASOCIACION DE MUNICIPIOS DEL NORTE ANTIOQUEÑO - AMUNORTE</v>
      </c>
      <c r="AD1182" s="23"/>
    </row>
    <row r="1183" spans="1:30" x14ac:dyDescent="0.25">
      <c r="A1183" s="51">
        <v>2024</v>
      </c>
      <c r="B1183" s="52" t="s">
        <v>36</v>
      </c>
      <c r="C1183" s="52" t="s">
        <v>119</v>
      </c>
      <c r="D1183" s="52" t="s">
        <v>124</v>
      </c>
      <c r="E1183" s="52" t="s">
        <v>146</v>
      </c>
      <c r="F1183" s="52" t="s">
        <v>122</v>
      </c>
      <c r="G1183" s="52" t="s">
        <v>147</v>
      </c>
      <c r="H1183" s="53">
        <v>3.7668179531684003</v>
      </c>
      <c r="I1183" s="53">
        <v>0</v>
      </c>
      <c r="J1183" s="54">
        <v>3.7668179531684003</v>
      </c>
      <c r="K1183" s="53">
        <v>1.3302220321685054</v>
      </c>
      <c r="L1183" s="53">
        <v>0.65895167710404112</v>
      </c>
      <c r="M1183" s="54">
        <v>1.9891737092725466</v>
      </c>
      <c r="N1183" s="53">
        <v>2.0911102457316861</v>
      </c>
      <c r="O1183" s="53">
        <v>6.8372571204770711</v>
      </c>
      <c r="P1183" s="53">
        <v>1.2586249735553399</v>
      </c>
      <c r="Q1183" s="53">
        <v>1.2757484200095006</v>
      </c>
      <c r="R1183" s="53">
        <v>4.6597091324381763</v>
      </c>
      <c r="S1183" s="53">
        <v>4.2850638559700611</v>
      </c>
      <c r="T1183" s="53">
        <v>7.3364119824050888</v>
      </c>
      <c r="U1183" s="53">
        <v>2.6541717695416978</v>
      </c>
      <c r="V1183" s="54">
        <v>30.398097500128625</v>
      </c>
      <c r="W1183" s="54">
        <v>37.164326586758108</v>
      </c>
      <c r="X1183" s="53">
        <v>4.0747993654870243</v>
      </c>
      <c r="Y1183" s="55">
        <v>41.22158912572749</v>
      </c>
      <c r="Z1183" s="17" t="str">
        <f>SUBSTITUTE(SUBSTITUTE(SUBSTITUTE(SUBSTITUTE(IF(E1183="","",VLOOKUP(E1183,[1]Esquemas_NORM!$A$2:$H$126,8,FALSE)),"PROVINCIA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83" s="17" t="str">
        <f>IF($E1183="","",INDEX([1]Esquemas_NORM!$H$2:$K$126,MATCH($E1183,[1]Esquemas_NORM!$A$2:$A$126,0),MATCH(AA$4,[1]Esquemas_NORM!$H$1:$K$1,0)))</f>
        <v>A la fecha no ha conformado un EAT Región</v>
      </c>
      <c r="AB1183" s="17" t="str">
        <f>IF($E1183="","",INDEX([1]Esquemas_NORM!$H$2:$K$126,MATCH($E1183,[1]Esquemas_NORM!$A$2:$A$126,0),MATCH(AB$4,[1]Esquemas_NORM!$H$1:$K$1,0)))</f>
        <v>A la fecha no ha conformado un EAT Área Metropolitana</v>
      </c>
      <c r="AC1183" s="17" t="str">
        <f>IF($E1183="","",INDEX([1]Esquemas_NORM!$H$2:$K$126,MATCH($E1183,[1]Esquemas_NORM!$A$2:$A$126,0),MATCH(AC$4,[1]Esquemas_NORM!$H$1:$K$1,0)))</f>
        <v>ASOCIACION DE MUNICIPIOS DEL NORTE ANTIOQUEÑO - AMUNORTE</v>
      </c>
      <c r="AD1183" s="23"/>
    </row>
    <row r="1184" spans="1:30" x14ac:dyDescent="0.25">
      <c r="A1184" s="51">
        <v>2024</v>
      </c>
      <c r="B1184" s="52" t="s">
        <v>36</v>
      </c>
      <c r="C1184" s="52" t="s">
        <v>119</v>
      </c>
      <c r="D1184" s="52" t="s">
        <v>124</v>
      </c>
      <c r="E1184" s="52" t="s">
        <v>148</v>
      </c>
      <c r="F1184" s="52" t="s">
        <v>122</v>
      </c>
      <c r="G1184" s="52" t="s">
        <v>149</v>
      </c>
      <c r="H1184" s="53">
        <v>108.46844623885964</v>
      </c>
      <c r="I1184" s="53">
        <v>0</v>
      </c>
      <c r="J1184" s="54">
        <v>108.46844623885964</v>
      </c>
      <c r="K1184" s="53">
        <v>466.18794575042682</v>
      </c>
      <c r="L1184" s="53">
        <v>44.653827060093114</v>
      </c>
      <c r="M1184" s="54">
        <v>510.84177281051996</v>
      </c>
      <c r="N1184" s="53">
        <v>18.478577605792687</v>
      </c>
      <c r="O1184" s="53">
        <v>69.297530186530466</v>
      </c>
      <c r="P1184" s="53">
        <v>17.145258858422206</v>
      </c>
      <c r="Q1184" s="53">
        <v>17.935539668977388</v>
      </c>
      <c r="R1184" s="53">
        <v>37.731493033855138</v>
      </c>
      <c r="S1184" s="53">
        <v>47.596208228533605</v>
      </c>
      <c r="T1184" s="53">
        <v>48.738851042425665</v>
      </c>
      <c r="U1184" s="53">
        <v>18.833567663634206</v>
      </c>
      <c r="V1184" s="54">
        <v>275.75702628817135</v>
      </c>
      <c r="W1184" s="54">
        <v>875.7440602222041</v>
      </c>
      <c r="X1184" s="53">
        <v>96.018996404825046</v>
      </c>
      <c r="Y1184" s="55">
        <v>971.34981702151538</v>
      </c>
      <c r="Z1184" s="17" t="str">
        <f>SUBSTITUTE(SUBSTITUTE(SUBSTITUTE(SUBSTITUTE(IF(E1184="","",VLOOKUP(E1184,[1]Esquemas_NORM!$A$2:$H$126,8,FALSE)),"PROVINCIA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184" s="17" t="str">
        <f>IF($E1184="","",INDEX([1]Esquemas_NORM!$H$2:$K$126,MATCH($E1184,[1]Esquemas_NORM!$A$2:$A$126,0),MATCH(AA$4,[1]Esquemas_NORM!$H$1:$K$1,0)))</f>
        <v>A la fecha no ha conformado un EAT Región</v>
      </c>
      <c r="AB1184" s="17" t="str">
        <f>IF($E1184="","",INDEX([1]Esquemas_NORM!$H$2:$K$126,MATCH($E1184,[1]Esquemas_NORM!$A$2:$A$126,0),MATCH(AB$4,[1]Esquemas_NORM!$H$1:$K$1,0)))</f>
        <v>A la fecha no ha conformado un EAT Área Metropolitana</v>
      </c>
      <c r="AC1184" s="17" t="str">
        <f>IF($E1184="","",INDEX([1]Esquemas_NORM!$H$2:$K$126,MATCH($E1184,[1]Esquemas_NORM!$A$2:$A$126,0),MATCH(AC$4,[1]Esquemas_NORM!$H$1:$K$1,0)))</f>
        <v>A la fecha no ha conformado un EAT asociación - unión</v>
      </c>
      <c r="AD1184" s="23"/>
    </row>
    <row r="1185" spans="1:30" x14ac:dyDescent="0.25">
      <c r="A1185" s="51">
        <v>2024</v>
      </c>
      <c r="B1185" s="52" t="s">
        <v>36</v>
      </c>
      <c r="C1185" s="52" t="s">
        <v>119</v>
      </c>
      <c r="D1185" s="52" t="s">
        <v>124</v>
      </c>
      <c r="E1185" s="52" t="s">
        <v>150</v>
      </c>
      <c r="F1185" s="52" t="s">
        <v>122</v>
      </c>
      <c r="G1185" s="52" t="s">
        <v>151</v>
      </c>
      <c r="H1185" s="53">
        <v>192.67259254213758</v>
      </c>
      <c r="I1185" s="53">
        <v>1.6241175334568081</v>
      </c>
      <c r="J1185" s="54">
        <v>194.29671007559438</v>
      </c>
      <c r="K1185" s="53">
        <v>185.24386657293411</v>
      </c>
      <c r="L1185" s="53">
        <v>26.654112443881026</v>
      </c>
      <c r="M1185" s="54">
        <v>211.89797901681513</v>
      </c>
      <c r="N1185" s="53">
        <v>33.420741348506468</v>
      </c>
      <c r="O1185" s="53">
        <v>110.97667869543305</v>
      </c>
      <c r="P1185" s="53">
        <v>13.599707647599502</v>
      </c>
      <c r="Q1185" s="53">
        <v>18.258003307610871</v>
      </c>
      <c r="R1185" s="53">
        <v>42.072311142676703</v>
      </c>
      <c r="S1185" s="53">
        <v>66.425299814476858</v>
      </c>
      <c r="T1185" s="53">
        <v>119.00118849587999</v>
      </c>
      <c r="U1185" s="53">
        <v>22.291408831631969</v>
      </c>
      <c r="V1185" s="54">
        <v>426.04533928381545</v>
      </c>
      <c r="W1185" s="54">
        <v>899.78494932646595</v>
      </c>
      <c r="X1185" s="53">
        <v>98.654905855205314</v>
      </c>
      <c r="Y1185" s="55">
        <v>998.015271339891</v>
      </c>
      <c r="Z1185" s="17" t="str">
        <f>SUBSTITUTE(SUBSTITUTE(SUBSTITUTE(SUBSTITUTE(IF(E1185="","",VLOOKUP(E1185,[1]Esquemas_NORM!$A$2:$H$126,8,FALSE)),"PROVINCIA ADMINISTRATIVA Y DE PLANIFICACIÓN","PAT"),"PROVINCIA ADMINISTRATIVA Y DE PLANIFICACION","PAT"),"PROVINCIA ADMINISTRATIVA DE PLANIFICACION","PAT"),"PROVINCIA ADMINISTRATIVA Y PLANIFICACION","PAT")</f>
        <v>PAT DEL RIO GRANDE</v>
      </c>
      <c r="AA1185" s="17" t="str">
        <f>IF($E1185="","",INDEX([1]Esquemas_NORM!$H$2:$K$126,MATCH($E1185,[1]Esquemas_NORM!$A$2:$A$126,0),MATCH(AA$4,[1]Esquemas_NORM!$H$1:$K$1,0)))</f>
        <v>A la fecha no ha conformado un EAT Región</v>
      </c>
      <c r="AB1185" s="17" t="str">
        <f>IF($E1185="","",INDEX([1]Esquemas_NORM!$H$2:$K$126,MATCH($E1185,[1]Esquemas_NORM!$A$2:$A$126,0),MATCH(AB$4,[1]Esquemas_NORM!$H$1:$K$1,0)))</f>
        <v>A la fecha no ha conformado un EAT Área Metropolitana</v>
      </c>
      <c r="AC1185" s="17" t="str">
        <f>IF($E1185="","",INDEX([1]Esquemas_NORM!$H$2:$K$126,MATCH($E1185,[1]Esquemas_NORM!$A$2:$A$126,0),MATCH(AC$4,[1]Esquemas_NORM!$H$1:$K$1,0)))</f>
        <v>A la fecha no ha conformado un EAT asociación - unión</v>
      </c>
      <c r="AD1185" s="23"/>
    </row>
    <row r="1186" spans="1:30" x14ac:dyDescent="0.25">
      <c r="A1186" s="51">
        <v>2024</v>
      </c>
      <c r="B1186" s="52" t="s">
        <v>36</v>
      </c>
      <c r="C1186" s="52" t="s">
        <v>119</v>
      </c>
      <c r="D1186" s="52" t="s">
        <v>141</v>
      </c>
      <c r="E1186" s="52" t="s">
        <v>152</v>
      </c>
      <c r="F1186" s="52" t="s">
        <v>122</v>
      </c>
      <c r="G1186" s="52" t="s">
        <v>153</v>
      </c>
      <c r="H1186" s="53">
        <v>8.9754511280208078</v>
      </c>
      <c r="I1186" s="53">
        <v>1.1840719390554795</v>
      </c>
      <c r="J1186" s="54">
        <v>10.159523067076288</v>
      </c>
      <c r="K1186" s="53">
        <v>2.9260718116868416</v>
      </c>
      <c r="L1186" s="53">
        <v>1.0503095547257719</v>
      </c>
      <c r="M1186" s="54">
        <v>3.9763813664126135</v>
      </c>
      <c r="N1186" s="53">
        <v>2.5320118085367644</v>
      </c>
      <c r="O1186" s="53">
        <v>16.932316313769434</v>
      </c>
      <c r="P1186" s="53">
        <v>1.9345271835200049</v>
      </c>
      <c r="Q1186" s="53">
        <v>2.0820762809094098</v>
      </c>
      <c r="R1186" s="53">
        <v>5.2668670310495864</v>
      </c>
      <c r="S1186" s="53">
        <v>8.5821581618726039</v>
      </c>
      <c r="T1186" s="53">
        <v>19.464897656960297</v>
      </c>
      <c r="U1186" s="53">
        <v>3.6358340167798873</v>
      </c>
      <c r="V1186" s="54">
        <v>60.430688453397984</v>
      </c>
      <c r="W1186" s="54">
        <v>78.612264158468037</v>
      </c>
      <c r="X1186" s="53">
        <v>8.6192656650086708</v>
      </c>
      <c r="Y1186" s="55">
        <v>87.194434851891884</v>
      </c>
      <c r="Z1186" s="17" t="str">
        <f>SUBSTITUTE(SUBSTITUTE(SUBSTITUTE(SUBSTITUTE(IF(E1186="","",VLOOKUP(E1186,[1]Esquemas_NORM!$A$2:$H$126,8,FALSE)),"PROVINCIA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86" s="17" t="str">
        <f>IF($E1186="","",INDEX([1]Esquemas_NORM!$H$2:$K$126,MATCH($E1186,[1]Esquemas_NORM!$A$2:$A$126,0),MATCH(AA$4,[1]Esquemas_NORM!$H$1:$K$1,0)))</f>
        <v>A la fecha no ha conformado un EAT Región</v>
      </c>
      <c r="AB1186" s="17" t="str">
        <f>IF($E1186="","",INDEX([1]Esquemas_NORM!$H$2:$K$126,MATCH($E1186,[1]Esquemas_NORM!$A$2:$A$126,0),MATCH(AB$4,[1]Esquemas_NORM!$H$1:$K$1,0)))</f>
        <v>A la fecha no ha conformado un EAT Área Metropolitana</v>
      </c>
      <c r="AC1186" s="17" t="str">
        <f>IF($E1186="","",INDEX([1]Esquemas_NORM!$H$2:$K$126,MATCH($E1186,[1]Esquemas_NORM!$A$2:$A$126,0),MATCH(AC$4,[1]Esquemas_NORM!$H$1:$K$1,0)))</f>
        <v>ASOCIACION DE MUNICIPIOS DEL NORTE ANTIOQUEÑO - AMUNORTE</v>
      </c>
      <c r="AD1186" s="23"/>
    </row>
    <row r="1187" spans="1:30" x14ac:dyDescent="0.25">
      <c r="A1187" s="51">
        <v>2024</v>
      </c>
      <c r="B1187" s="52" t="s">
        <v>36</v>
      </c>
      <c r="C1187" s="52" t="s">
        <v>119</v>
      </c>
      <c r="D1187" s="52" t="s">
        <v>120</v>
      </c>
      <c r="E1187" s="52" t="s">
        <v>154</v>
      </c>
      <c r="F1187" s="52" t="s">
        <v>122</v>
      </c>
      <c r="G1187" s="52" t="s">
        <v>155</v>
      </c>
      <c r="H1187" s="53">
        <v>12.523719560052198</v>
      </c>
      <c r="I1187" s="53">
        <v>0.14158930157985999</v>
      </c>
      <c r="J1187" s="54">
        <v>12.665308861632058</v>
      </c>
      <c r="K1187" s="53">
        <v>0.89632856690338647</v>
      </c>
      <c r="L1187" s="53">
        <v>6.0054381792576663</v>
      </c>
      <c r="M1187" s="54">
        <v>6.9017667461610532</v>
      </c>
      <c r="N1187" s="53">
        <v>2.1284929833525266</v>
      </c>
      <c r="O1187" s="53">
        <v>27.231362488688845</v>
      </c>
      <c r="P1187" s="53">
        <v>5.0709168882029809</v>
      </c>
      <c r="Q1187" s="53">
        <v>4.2718167304372674</v>
      </c>
      <c r="R1187" s="53">
        <v>10.103105957408008</v>
      </c>
      <c r="S1187" s="53">
        <v>14.08233568629325</v>
      </c>
      <c r="T1187" s="53">
        <v>36.476744221732815</v>
      </c>
      <c r="U1187" s="53">
        <v>13.74396560167569</v>
      </c>
      <c r="V1187" s="54">
        <v>113.10874055779138</v>
      </c>
      <c r="W1187" s="54">
        <v>134.59421621532144</v>
      </c>
      <c r="X1187" s="53">
        <v>14.757281436327039</v>
      </c>
      <c r="Y1187" s="55">
        <v>149.28798633214345</v>
      </c>
      <c r="Z1187" s="17" t="str">
        <f>SUBSTITUTE(SUBSTITUTE(SUBSTITUTE(SUBSTITUTE(IF(E1187="","",VLOOKUP(E1187,[1]Esquemas_NORM!$A$2:$H$126,8,FALSE)),"PROVINCIA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87" s="17" t="str">
        <f>IF($E1187="","",INDEX([1]Esquemas_NORM!$H$2:$K$126,MATCH($E1187,[1]Esquemas_NORM!$A$2:$A$126,0),MATCH(AA$4,[1]Esquemas_NORM!$H$1:$K$1,0)))</f>
        <v>A la fecha no ha conformado un EAT Región</v>
      </c>
      <c r="AB1187" s="17" t="str">
        <f>IF($E1187="","",INDEX([1]Esquemas_NORM!$H$2:$K$126,MATCH($E1187,[1]Esquemas_NORM!$A$2:$A$126,0),MATCH(AB$4,[1]Esquemas_NORM!$H$1:$K$1,0)))</f>
        <v>A la fecha no ha conformado un EAT Área Metropolitana</v>
      </c>
      <c r="AC1187" s="17" t="str">
        <f>IF($E1187="","",INDEX([1]Esquemas_NORM!$H$2:$K$126,MATCH($E1187,[1]Esquemas_NORM!$A$2:$A$126,0),MATCH(AC$4,[1]Esquemas_NORM!$H$1:$K$1,0)))</f>
        <v>A la fecha no ha conformado un EAT asociación - unión</v>
      </c>
      <c r="AD1187" s="23"/>
    </row>
    <row r="1188" spans="1:30" x14ac:dyDescent="0.25">
      <c r="A1188" s="51">
        <v>2024</v>
      </c>
      <c r="B1188" s="52" t="s">
        <v>36</v>
      </c>
      <c r="C1188" s="52" t="s">
        <v>119</v>
      </c>
      <c r="D1188" s="52" t="s">
        <v>120</v>
      </c>
      <c r="E1188" s="52" t="s">
        <v>156</v>
      </c>
      <c r="F1188" s="52" t="s">
        <v>122</v>
      </c>
      <c r="G1188" s="52" t="s">
        <v>157</v>
      </c>
      <c r="H1188" s="53">
        <v>60.45293053190305</v>
      </c>
      <c r="I1188" s="53">
        <v>2.8737461925851398E-2</v>
      </c>
      <c r="J1188" s="54">
        <v>60.4816679938289</v>
      </c>
      <c r="K1188" s="53">
        <v>143.16712681947752</v>
      </c>
      <c r="L1188" s="53">
        <v>15.80338686054529</v>
      </c>
      <c r="M1188" s="54">
        <v>158.9705136800228</v>
      </c>
      <c r="N1188" s="53">
        <v>22.702997091067441</v>
      </c>
      <c r="O1188" s="53">
        <v>111.5554759239448</v>
      </c>
      <c r="P1188" s="53">
        <v>13.719775326177356</v>
      </c>
      <c r="Q1188" s="53">
        <v>18.601113656652622</v>
      </c>
      <c r="R1188" s="53">
        <v>30.997970968180667</v>
      </c>
      <c r="S1188" s="53">
        <v>55.532711362806225</v>
      </c>
      <c r="T1188" s="53">
        <v>105.77609608482184</v>
      </c>
      <c r="U1188" s="53">
        <v>22.261583466894514</v>
      </c>
      <c r="V1188" s="54">
        <v>381.14772388054547</v>
      </c>
      <c r="W1188" s="54">
        <v>608.45389346371655</v>
      </c>
      <c r="X1188" s="53">
        <v>66.712564620962638</v>
      </c>
      <c r="Y1188" s="55">
        <v>674.87934537866238</v>
      </c>
      <c r="Z1188" s="17" t="str">
        <f>SUBSTITUTE(SUBSTITUTE(SUBSTITUTE(SUBSTITUTE(IF(E1188="","",VLOOKUP(E1188,[1]Esquemas_NORM!$A$2:$H$126,8,FALSE)),"PROVINCIA ADMINISTRATIVA Y DE PLANIFICACIÓN","PAT"),"PROVINCIA ADMINISTRATIVA Y DE PLANIFICACION","PAT"),"PROVINCIA ADMINISTRATIVA DE PLANIFICACION","PAT"),"PROVINCIA ADMINISTRATIVA Y PLANIFICACION","PAT")</f>
        <v>PAT BIOENERGÉTICA DEL NORTE DE ANTIOQUIA</v>
      </c>
      <c r="AA1188" s="17" t="str">
        <f>IF($E1188="","",INDEX([1]Esquemas_NORM!$H$2:$K$126,MATCH($E1188,[1]Esquemas_NORM!$A$2:$A$126,0),MATCH(AA$4,[1]Esquemas_NORM!$H$1:$K$1,0)))</f>
        <v>A la fecha no ha conformado un EAT Región</v>
      </c>
      <c r="AB1188" s="17" t="str">
        <f>IF($E1188="","",INDEX([1]Esquemas_NORM!$H$2:$K$126,MATCH($E1188,[1]Esquemas_NORM!$A$2:$A$126,0),MATCH(AB$4,[1]Esquemas_NORM!$H$1:$K$1,0)))</f>
        <v>A la fecha no ha conformado un EAT Área Metropolitana</v>
      </c>
      <c r="AC1188" s="17" t="str">
        <f>IF($E1188="","",INDEX([1]Esquemas_NORM!$H$2:$K$126,MATCH($E1188,[1]Esquemas_NORM!$A$2:$A$126,0),MATCH(AC$4,[1]Esquemas_NORM!$H$1:$K$1,0)))</f>
        <v>A la fecha no ha conformado un EAT asociación - unión</v>
      </c>
      <c r="AD1188" s="23"/>
    </row>
    <row r="1189" spans="1:30" x14ac:dyDescent="0.25">
      <c r="A1189" s="51">
        <v>2024</v>
      </c>
      <c r="B1189" s="52" t="s">
        <v>36</v>
      </c>
      <c r="C1189" s="52" t="s">
        <v>158</v>
      </c>
      <c r="D1189" s="52" t="s">
        <v>159</v>
      </c>
      <c r="E1189" s="52" t="s">
        <v>160</v>
      </c>
      <c r="F1189" s="52" t="s">
        <v>161</v>
      </c>
      <c r="G1189" s="52" t="s">
        <v>162</v>
      </c>
      <c r="H1189" s="53">
        <v>10.026164707858017</v>
      </c>
      <c r="I1189" s="53">
        <v>0</v>
      </c>
      <c r="J1189" s="54">
        <v>10.026164707858017</v>
      </c>
      <c r="K1189" s="53">
        <v>0.2389021092331477</v>
      </c>
      <c r="L1189" s="53">
        <v>1.5097962671261083</v>
      </c>
      <c r="M1189" s="54">
        <v>1.7486983763592558</v>
      </c>
      <c r="N1189" s="53">
        <v>2.5740409374509685</v>
      </c>
      <c r="O1189" s="53">
        <v>2.7831071219067924</v>
      </c>
      <c r="P1189" s="53">
        <v>0.62503001431545513</v>
      </c>
      <c r="Q1189" s="53">
        <v>0.43332790076664646</v>
      </c>
      <c r="R1189" s="53">
        <v>1.6121138543260642</v>
      </c>
      <c r="S1189" s="53">
        <v>2.1763253349387583</v>
      </c>
      <c r="T1189" s="53">
        <v>7.285953955063583</v>
      </c>
      <c r="U1189" s="53">
        <v>1.0357423814954454</v>
      </c>
      <c r="V1189" s="54">
        <v>18.525641500263713</v>
      </c>
      <c r="W1189" s="54">
        <v>35.22306245266293</v>
      </c>
      <c r="X1189" s="53">
        <v>3.8619538066294474</v>
      </c>
      <c r="Y1189" s="55">
        <v>39.068395462082343</v>
      </c>
      <c r="Z1189" s="17" t="str">
        <f>SUBSTITUTE(SUBSTITUTE(SUBSTITUTE(SUBSTITUTE(IF(E1189="","",VLOOKUP(E1189,[1]Esquemas_NORM!$A$2:$H$126,8,FALSE)),"PROVINCIA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189" s="17" t="str">
        <f>IF($E1189="","",INDEX([1]Esquemas_NORM!$H$2:$K$126,MATCH($E1189,[1]Esquemas_NORM!$A$2:$A$126,0),MATCH(AA$4,[1]Esquemas_NORM!$H$1:$K$1,0)))</f>
        <v>Región de Planeación y Gestión de Occidente</v>
      </c>
      <c r="AB1189" s="17" t="str">
        <f>IF($E1189="","",INDEX([1]Esquemas_NORM!$H$2:$K$126,MATCH($E1189,[1]Esquemas_NORM!$A$2:$A$126,0),MATCH(AB$4,[1]Esquemas_NORM!$H$1:$K$1,0)))</f>
        <v>A la fecha no ha conformado un EAT Área Metropolitana</v>
      </c>
      <c r="AC1189" s="17" t="str">
        <f>IF($E1189="","",INDEX([1]Esquemas_NORM!$H$2:$K$126,MATCH($E1189,[1]Esquemas_NORM!$A$2:$A$126,0),MATCH(AC$4,[1]Esquemas_NORM!$H$1:$K$1,0)))</f>
        <v>ASOCIACION DE MUNICIPIOS DEL NORTE ANTIOQUEÑO - AMUNORTE</v>
      </c>
      <c r="AD1189" s="23"/>
    </row>
    <row r="1190" spans="1:30" x14ac:dyDescent="0.25">
      <c r="A1190" s="51">
        <v>2024</v>
      </c>
      <c r="B1190" s="52" t="s">
        <v>36</v>
      </c>
      <c r="C1190" s="52" t="s">
        <v>158</v>
      </c>
      <c r="D1190" s="52" t="s">
        <v>163</v>
      </c>
      <c r="E1190" s="52" t="s">
        <v>164</v>
      </c>
      <c r="F1190" s="52" t="s">
        <v>161</v>
      </c>
      <c r="G1190" s="52" t="s">
        <v>165</v>
      </c>
      <c r="H1190" s="53">
        <v>46.508724891752117</v>
      </c>
      <c r="I1190" s="53">
        <v>0</v>
      </c>
      <c r="J1190" s="54">
        <v>46.508724891752117</v>
      </c>
      <c r="K1190" s="53">
        <v>2.8095493001753638</v>
      </c>
      <c r="L1190" s="53">
        <v>3.2315620664142739</v>
      </c>
      <c r="M1190" s="54">
        <v>6.0411113665896377</v>
      </c>
      <c r="N1190" s="53">
        <v>1.120444314664214</v>
      </c>
      <c r="O1190" s="53">
        <v>10.920639351252607</v>
      </c>
      <c r="P1190" s="53">
        <v>2.6949696988718319</v>
      </c>
      <c r="Q1190" s="53">
        <v>2.5597159437861619</v>
      </c>
      <c r="R1190" s="53">
        <v>7.0162872045154332</v>
      </c>
      <c r="S1190" s="53">
        <v>6.3553851236393921</v>
      </c>
      <c r="T1190" s="53">
        <v>16.036314047959085</v>
      </c>
      <c r="U1190" s="53">
        <v>4.2105699794164728</v>
      </c>
      <c r="V1190" s="54">
        <v>50.914325664105206</v>
      </c>
      <c r="W1190" s="54">
        <v>123.24813251218553</v>
      </c>
      <c r="X1190" s="53">
        <v>13.513265496291107</v>
      </c>
      <c r="Y1190" s="55">
        <v>136.70324059471568</v>
      </c>
      <c r="Z1190" s="17" t="str">
        <f>SUBSTITUTE(SUBSTITUTE(SUBSTITUTE(SUBSTITUTE(IF(E1190="","",VLOOKUP(E1190,[1]Esquemas_NORM!$A$2:$H$126,8,FALSE)),"PROVINCIA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90" s="17" t="str">
        <f>IF($E1190="","",INDEX([1]Esquemas_NORM!$H$2:$K$126,MATCH($E1190,[1]Esquemas_NORM!$A$2:$A$126,0),MATCH(AA$4,[1]Esquemas_NORM!$H$1:$K$1,0)))</f>
        <v>A la fecha no ha conformado un EAT Región</v>
      </c>
      <c r="AB1190" s="17" t="str">
        <f>IF($E1190="","",INDEX([1]Esquemas_NORM!$H$2:$K$126,MATCH($E1190,[1]Esquemas_NORM!$A$2:$A$126,0),MATCH(AB$4,[1]Esquemas_NORM!$H$1:$K$1,0)))</f>
        <v>A la fecha no ha conformado un EAT Área Metropolitana</v>
      </c>
      <c r="AC1190" s="17" t="str">
        <f>IF($E1190="","",INDEX([1]Esquemas_NORM!$H$2:$K$126,MATCH($E1190,[1]Esquemas_NORM!$A$2:$A$126,0),MATCH(AC$4,[1]Esquemas_NORM!$H$1:$K$1,0)))</f>
        <v>ASOCIACION DE MUNICIPIOS DEL OCCIDENTE ANTIOQUEÑO - AMOCCIDENTE</v>
      </c>
      <c r="AD1190" s="23"/>
    </row>
    <row r="1191" spans="1:30" x14ac:dyDescent="0.25">
      <c r="A1191" s="51">
        <v>2024</v>
      </c>
      <c r="B1191" s="52" t="s">
        <v>36</v>
      </c>
      <c r="C1191" s="52" t="s">
        <v>158</v>
      </c>
      <c r="D1191" s="52" t="s">
        <v>163</v>
      </c>
      <c r="E1191" s="52" t="s">
        <v>166</v>
      </c>
      <c r="F1191" s="52" t="s">
        <v>161</v>
      </c>
      <c r="G1191" s="52" t="s">
        <v>167</v>
      </c>
      <c r="H1191" s="53">
        <v>9.4739645656842608</v>
      </c>
      <c r="I1191" s="53">
        <v>0</v>
      </c>
      <c r="J1191" s="54">
        <v>9.4739645656842608</v>
      </c>
      <c r="K1191" s="53">
        <v>0.72303418400703823</v>
      </c>
      <c r="L1191" s="53">
        <v>2.0474229336689977</v>
      </c>
      <c r="M1191" s="54">
        <v>2.770457117676036</v>
      </c>
      <c r="N1191" s="53">
        <v>1.1887135172227112</v>
      </c>
      <c r="O1191" s="53">
        <v>6.4614348025048374</v>
      </c>
      <c r="P1191" s="53">
        <v>2.3332067388682773</v>
      </c>
      <c r="Q1191" s="53">
        <v>1.8308993711541659</v>
      </c>
      <c r="R1191" s="53">
        <v>6.7628803648255449</v>
      </c>
      <c r="S1191" s="53">
        <v>4.5609563362008281</v>
      </c>
      <c r="T1191" s="53">
        <v>11.685720843999368</v>
      </c>
      <c r="U1191" s="53">
        <v>3.3555863424336327</v>
      </c>
      <c r="V1191" s="54">
        <v>38.179398317209362</v>
      </c>
      <c r="W1191" s="54">
        <v>52.789950672785388</v>
      </c>
      <c r="X1191" s="53">
        <v>5.7880359274994042</v>
      </c>
      <c r="Y1191" s="55">
        <v>58.553076470280018</v>
      </c>
      <c r="Z1191" s="17" t="str">
        <f>SUBSTITUTE(SUBSTITUTE(SUBSTITUTE(SUBSTITUTE(IF(E1191="","",VLOOKUP(E1191,[1]Esquemas_NORM!$A$2:$H$126,8,FALSE)),"PROVINCIA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191" s="17" t="str">
        <f>IF($E1191="","",INDEX([1]Esquemas_NORM!$H$2:$K$126,MATCH($E1191,[1]Esquemas_NORM!$A$2:$A$126,0),MATCH(AA$4,[1]Esquemas_NORM!$H$1:$K$1,0)))</f>
        <v>Región de Planeación y Gestión de Occidente</v>
      </c>
      <c r="AB1191" s="17" t="str">
        <f>IF($E1191="","",INDEX([1]Esquemas_NORM!$H$2:$K$126,MATCH($E1191,[1]Esquemas_NORM!$A$2:$A$126,0),MATCH(AB$4,[1]Esquemas_NORM!$H$1:$K$1,0)))</f>
        <v>A la fecha no ha conformado un EAT Área Metropolitana</v>
      </c>
      <c r="AC1191" s="17" t="str">
        <f>IF($E1191="","",INDEX([1]Esquemas_NORM!$H$2:$K$126,MATCH($E1191,[1]Esquemas_NORM!$A$2:$A$126,0),MATCH(AC$4,[1]Esquemas_NORM!$H$1:$K$1,0)))</f>
        <v>ASOCIACION DE MUNICIPIOS DEL OCCIDENTE ANTIOQUEÑO - AMOCCIDENTE</v>
      </c>
      <c r="AD1191" s="23"/>
    </row>
    <row r="1192" spans="1:30" x14ac:dyDescent="0.25">
      <c r="A1192" s="51">
        <v>2024</v>
      </c>
      <c r="B1192" s="52" t="s">
        <v>36</v>
      </c>
      <c r="C1192" s="52" t="s">
        <v>158</v>
      </c>
      <c r="D1192" s="52" t="s">
        <v>163</v>
      </c>
      <c r="E1192" s="52" t="s">
        <v>168</v>
      </c>
      <c r="F1192" s="52" t="s">
        <v>161</v>
      </c>
      <c r="G1192" s="52" t="s">
        <v>169</v>
      </c>
      <c r="H1192" s="53">
        <v>16.792314880914407</v>
      </c>
      <c r="I1192" s="53">
        <v>732.16046540915295</v>
      </c>
      <c r="J1192" s="54">
        <v>748.95278029006738</v>
      </c>
      <c r="K1192" s="53">
        <v>4.960381709831867</v>
      </c>
      <c r="L1192" s="53">
        <v>3.7594073885029416E-2</v>
      </c>
      <c r="M1192" s="54">
        <v>4.9979757837168961</v>
      </c>
      <c r="N1192" s="53">
        <v>7.7969521352484374</v>
      </c>
      <c r="O1192" s="53">
        <v>9.7120752545426026</v>
      </c>
      <c r="P1192" s="53">
        <v>1.6387185738087178</v>
      </c>
      <c r="Q1192" s="53">
        <v>1.1144544798332239</v>
      </c>
      <c r="R1192" s="53">
        <v>4.1108656027336234</v>
      </c>
      <c r="S1192" s="53">
        <v>39.669986489747515</v>
      </c>
      <c r="T1192" s="53">
        <v>6.6924667916403395</v>
      </c>
      <c r="U1192" s="53">
        <v>2.0660529294399317</v>
      </c>
      <c r="V1192" s="54">
        <v>72.80157225699439</v>
      </c>
      <c r="W1192" s="54">
        <v>1313.7209018459898</v>
      </c>
      <c r="X1192" s="53">
        <v>144.03998643132849</v>
      </c>
      <c r="Y1192" s="55">
        <v>1457.1409794113235</v>
      </c>
      <c r="Z1192" s="17" t="str">
        <f>SUBSTITUTE(SUBSTITUTE(SUBSTITUTE(SUBSTITUTE(IF(E1192="","",VLOOKUP(E1192,[1]Esquemas_NORM!$A$2:$H$126,8,FALSE)),"PROVINCIA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192" s="17" t="str">
        <f>IF($E1192="","",INDEX([1]Esquemas_NORM!$H$2:$K$126,MATCH($E1192,[1]Esquemas_NORM!$A$2:$A$126,0),MATCH(AA$4,[1]Esquemas_NORM!$H$1:$K$1,0)))</f>
        <v>Región de Planeación y Gestión de Occidente</v>
      </c>
      <c r="AB1192" s="17" t="str">
        <f>IF($E1192="","",INDEX([1]Esquemas_NORM!$H$2:$K$126,MATCH($E1192,[1]Esquemas_NORM!$A$2:$A$126,0),MATCH(AB$4,[1]Esquemas_NORM!$H$1:$K$1,0)))</f>
        <v>A la fecha no ha conformado un EAT Área Metropolitana</v>
      </c>
      <c r="AC1192" s="17" t="str">
        <f>IF($E1192="","",INDEX([1]Esquemas_NORM!$H$2:$K$126,MATCH($E1192,[1]Esquemas_NORM!$A$2:$A$126,0),MATCH(AC$4,[1]Esquemas_NORM!$H$1:$K$1,0)))</f>
        <v>ASOCIACION DE MUNICIPIOS DEL OCCIDENTE ANTIOQUEÑO - AMOCCIDENTE</v>
      </c>
      <c r="AD1192" s="23"/>
    </row>
    <row r="1193" spans="1:30" x14ac:dyDescent="0.25">
      <c r="A1193" s="51">
        <v>2024</v>
      </c>
      <c r="B1193" s="52" t="s">
        <v>36</v>
      </c>
      <c r="C1193" s="52" t="s">
        <v>158</v>
      </c>
      <c r="D1193" s="52" t="s">
        <v>163</v>
      </c>
      <c r="E1193" s="52" t="s">
        <v>170</v>
      </c>
      <c r="F1193" s="52" t="s">
        <v>161</v>
      </c>
      <c r="G1193" s="52" t="s">
        <v>171</v>
      </c>
      <c r="H1193" s="53">
        <v>23.666888922682048</v>
      </c>
      <c r="I1193" s="53">
        <v>0</v>
      </c>
      <c r="J1193" s="54">
        <v>23.666888922682048</v>
      </c>
      <c r="K1193" s="53">
        <v>0.88743763515533391</v>
      </c>
      <c r="L1193" s="53">
        <v>4.1556046954162085</v>
      </c>
      <c r="M1193" s="54">
        <v>5.0430423305715424</v>
      </c>
      <c r="N1193" s="53">
        <v>1.1651510216458294</v>
      </c>
      <c r="O1193" s="53">
        <v>10.96817625674521</v>
      </c>
      <c r="P1193" s="53">
        <v>4.0313411547108853</v>
      </c>
      <c r="Q1193" s="53">
        <v>3.5603864904378977</v>
      </c>
      <c r="R1193" s="53">
        <v>8.9790092128113734</v>
      </c>
      <c r="S1193" s="53">
        <v>8.2143930390759277</v>
      </c>
      <c r="T1193" s="53">
        <v>22.477606263233803</v>
      </c>
      <c r="U1193" s="53">
        <v>5.0405515633969884</v>
      </c>
      <c r="V1193" s="54">
        <v>64.43661500205792</v>
      </c>
      <c r="W1193" s="54">
        <v>100.70034737047769</v>
      </c>
      <c r="X1193" s="53">
        <v>11.041064086321754</v>
      </c>
      <c r="Y1193" s="55">
        <v>111.69389372449328</v>
      </c>
      <c r="Z1193" s="17" t="str">
        <f>SUBSTITUTE(SUBSTITUTE(SUBSTITUTE(SUBSTITUTE(IF(E1193="","",VLOOKUP(E1193,[1]Esquemas_NORM!$A$2:$H$126,8,FALSE)),"PROVINCIA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193" s="17" t="str">
        <f>IF($E1193="","",INDEX([1]Esquemas_NORM!$H$2:$K$126,MATCH($E1193,[1]Esquemas_NORM!$A$2:$A$126,0),MATCH(AA$4,[1]Esquemas_NORM!$H$1:$K$1,0)))</f>
        <v>A la fecha no ha conformado un EAT Región</v>
      </c>
      <c r="AB1193" s="17" t="str">
        <f>IF($E1193="","",INDEX([1]Esquemas_NORM!$H$2:$K$126,MATCH($E1193,[1]Esquemas_NORM!$A$2:$A$126,0),MATCH(AB$4,[1]Esquemas_NORM!$H$1:$K$1,0)))</f>
        <v>A la fecha no ha conformado un EAT Área Metropolitana</v>
      </c>
      <c r="AC1193" s="17" t="str">
        <f>IF($E1193="","",INDEX([1]Esquemas_NORM!$H$2:$K$126,MATCH($E1193,[1]Esquemas_NORM!$A$2:$A$126,0),MATCH(AC$4,[1]Esquemas_NORM!$H$1:$K$1,0)))</f>
        <v>ASOCIACION DE MUNICIPIOS DEL OCCIDENTE ANTIOQUEÑO - AMOCCIDENTE</v>
      </c>
      <c r="AD1193" s="23"/>
    </row>
    <row r="1194" spans="1:30" x14ac:dyDescent="0.25">
      <c r="A1194" s="51">
        <v>2024</v>
      </c>
      <c r="B1194" s="52" t="s">
        <v>36</v>
      </c>
      <c r="C1194" s="52" t="s">
        <v>158</v>
      </c>
      <c r="D1194" s="52" t="s">
        <v>159</v>
      </c>
      <c r="E1194" s="52" t="s">
        <v>172</v>
      </c>
      <c r="F1194" s="52" t="s">
        <v>161</v>
      </c>
      <c r="G1194" s="52" t="s">
        <v>173</v>
      </c>
      <c r="H1194" s="53">
        <v>17.044897332734379</v>
      </c>
      <c r="I1194" s="53">
        <v>17.539478862153214</v>
      </c>
      <c r="J1194" s="54">
        <v>34.584376194887597</v>
      </c>
      <c r="K1194" s="53">
        <v>5.2376634270634899</v>
      </c>
      <c r="L1194" s="53">
        <v>7.3175586438342446</v>
      </c>
      <c r="M1194" s="54">
        <v>12.555222070897734</v>
      </c>
      <c r="N1194" s="53">
        <v>12.520466086123768</v>
      </c>
      <c r="O1194" s="53">
        <v>30.154729720573918</v>
      </c>
      <c r="P1194" s="53">
        <v>6.120284286648789</v>
      </c>
      <c r="Q1194" s="53">
        <v>5.5104337102461143</v>
      </c>
      <c r="R1194" s="53">
        <v>14.181033012170396</v>
      </c>
      <c r="S1194" s="53">
        <v>18.989896817703215</v>
      </c>
      <c r="T1194" s="53">
        <v>36.742709811799195</v>
      </c>
      <c r="U1194" s="53">
        <v>8.3508555104196276</v>
      </c>
      <c r="V1194" s="54">
        <v>132.57040895568502</v>
      </c>
      <c r="W1194" s="54">
        <v>197.8515152297623</v>
      </c>
      <c r="X1194" s="53">
        <v>21.692986332932261</v>
      </c>
      <c r="Y1194" s="55">
        <v>219.451140858559</v>
      </c>
      <c r="Z1194" s="17" t="str">
        <f>SUBSTITUTE(SUBSTITUTE(SUBSTITUTE(SUBSTITUTE(IF(E1194="","",VLOOKUP(E1194,[1]Esquemas_NORM!$A$2:$H$126,8,FALSE)),"PROVINCIA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194" s="17" t="str">
        <f>IF($E1194="","",INDEX([1]Esquemas_NORM!$H$2:$K$126,MATCH($E1194,[1]Esquemas_NORM!$A$2:$A$126,0),MATCH(AA$4,[1]Esquemas_NORM!$H$1:$K$1,0)))</f>
        <v>Región de Planeación y Gestión de Occidente</v>
      </c>
      <c r="AB1194" s="17" t="str">
        <f>IF($E1194="","",INDEX([1]Esquemas_NORM!$H$2:$K$126,MATCH($E1194,[1]Esquemas_NORM!$A$2:$A$126,0),MATCH(AB$4,[1]Esquemas_NORM!$H$1:$K$1,0)))</f>
        <v>A la fecha no ha conformado un EAT Área Metropolitana</v>
      </c>
      <c r="AC1194" s="17" t="str">
        <f>IF($E1194="","",INDEX([1]Esquemas_NORM!$H$2:$K$126,MATCH($E1194,[1]Esquemas_NORM!$A$2:$A$126,0),MATCH(AC$4,[1]Esquemas_NORM!$H$1:$K$1,0)))</f>
        <v>ASOCIACION DE MUNICIPIOS DEL OCCIDENTE ANTIOQUEÑO - AMOCCIDENTE</v>
      </c>
      <c r="AD1194" s="23"/>
    </row>
    <row r="1195" spans="1:30" x14ac:dyDescent="0.25">
      <c r="A1195" s="51">
        <v>2024</v>
      </c>
      <c r="B1195" s="52" t="s">
        <v>36</v>
      </c>
      <c r="C1195" s="52" t="s">
        <v>158</v>
      </c>
      <c r="D1195" s="52" t="s">
        <v>159</v>
      </c>
      <c r="E1195" s="52" t="s">
        <v>174</v>
      </c>
      <c r="F1195" s="52" t="s">
        <v>161</v>
      </c>
      <c r="G1195" s="52" t="s">
        <v>175</v>
      </c>
      <c r="H1195" s="53">
        <v>47.552672803075865</v>
      </c>
      <c r="I1195" s="53">
        <v>29.648085137961115</v>
      </c>
      <c r="J1195" s="54">
        <v>77.200757941036983</v>
      </c>
      <c r="K1195" s="53">
        <v>3.5890179870858687</v>
      </c>
      <c r="L1195" s="53">
        <v>9.3763058539796766</v>
      </c>
      <c r="M1195" s="54">
        <v>12.965323841065546</v>
      </c>
      <c r="N1195" s="53">
        <v>7.2311098240233855</v>
      </c>
      <c r="O1195" s="53">
        <v>41.945528218937945</v>
      </c>
      <c r="P1195" s="53">
        <v>9.745592028276457</v>
      </c>
      <c r="Q1195" s="53">
        <v>9.1703717454133908</v>
      </c>
      <c r="R1195" s="53">
        <v>14.615874011616954</v>
      </c>
      <c r="S1195" s="53">
        <v>26.094445533529864</v>
      </c>
      <c r="T1195" s="53">
        <v>59.148579545333867</v>
      </c>
      <c r="U1195" s="53">
        <v>12.324064048148342</v>
      </c>
      <c r="V1195" s="54">
        <v>180.2755649552802</v>
      </c>
      <c r="W1195" s="54">
        <v>307.12972132505877</v>
      </c>
      <c r="X1195" s="53">
        <v>33.674550530501648</v>
      </c>
      <c r="Y1195" s="55">
        <v>340.65934576282621</v>
      </c>
      <c r="Z1195" s="17" t="str">
        <f>SUBSTITUTE(SUBSTITUTE(SUBSTITUTE(SUBSTITUTE(IF(E1195="","",VLOOKUP(E1195,[1]Esquemas_NORM!$A$2:$H$126,8,FALSE)),"PROVINCIA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195" s="17" t="str">
        <f>IF($E1195="","",INDEX([1]Esquemas_NORM!$H$2:$K$126,MATCH($E1195,[1]Esquemas_NORM!$A$2:$A$126,0),MATCH(AA$4,[1]Esquemas_NORM!$H$1:$K$1,0)))</f>
        <v>Región de Planeación y Gestión de Occidente</v>
      </c>
      <c r="AB1195" s="17" t="str">
        <f>IF($E1195="","",INDEX([1]Esquemas_NORM!$H$2:$K$126,MATCH($E1195,[1]Esquemas_NORM!$A$2:$A$126,0),MATCH(AB$4,[1]Esquemas_NORM!$H$1:$K$1,0)))</f>
        <v>A la fecha no ha conformado un EAT Área Metropolitana</v>
      </c>
      <c r="AC1195" s="17" t="str">
        <f>IF($E1195="","",INDEX([1]Esquemas_NORM!$H$2:$K$126,MATCH($E1195,[1]Esquemas_NORM!$A$2:$A$126,0),MATCH(AC$4,[1]Esquemas_NORM!$H$1:$K$1,0)))</f>
        <v>ASOCIACION DE MUNICIPIOS DEL OCCIDENTE ANTIOQUEÑO - AMOCCIDENTE</v>
      </c>
      <c r="AD1195" s="23"/>
    </row>
    <row r="1196" spans="1:30" x14ac:dyDescent="0.25">
      <c r="A1196" s="51">
        <v>2024</v>
      </c>
      <c r="B1196" s="52" t="s">
        <v>36</v>
      </c>
      <c r="C1196" s="52" t="s">
        <v>158</v>
      </c>
      <c r="D1196" s="52" t="s">
        <v>163</v>
      </c>
      <c r="E1196" s="52" t="s">
        <v>176</v>
      </c>
      <c r="F1196" s="52" t="s">
        <v>161</v>
      </c>
      <c r="G1196" s="52" t="s">
        <v>177</v>
      </c>
      <c r="H1196" s="53">
        <v>106.92717348795625</v>
      </c>
      <c r="I1196" s="53">
        <v>1.6902185497454918E-3</v>
      </c>
      <c r="J1196" s="54">
        <v>106.92886370650599</v>
      </c>
      <c r="K1196" s="53">
        <v>6.0700096354115578</v>
      </c>
      <c r="L1196" s="53">
        <v>6.6003120005964799</v>
      </c>
      <c r="M1196" s="54">
        <v>12.670321636008037</v>
      </c>
      <c r="N1196" s="53">
        <v>2.2449744593708254</v>
      </c>
      <c r="O1196" s="53">
        <v>17.923354288421692</v>
      </c>
      <c r="P1196" s="53">
        <v>4.993431283855247</v>
      </c>
      <c r="Q1196" s="53">
        <v>3.5693818040812539</v>
      </c>
      <c r="R1196" s="53">
        <v>15.799301580792012</v>
      </c>
      <c r="S1196" s="53">
        <v>14.821495329377589</v>
      </c>
      <c r="T1196" s="53">
        <v>27.333483056631085</v>
      </c>
      <c r="U1196" s="53">
        <v>9.0309817287879621</v>
      </c>
      <c r="V1196" s="54">
        <v>95.716403531317667</v>
      </c>
      <c r="W1196" s="54">
        <v>261.23850918639374</v>
      </c>
      <c r="X1196" s="53">
        <v>28.642911341002453</v>
      </c>
      <c r="Y1196" s="55">
        <v>289.75814923914754</v>
      </c>
      <c r="Z1196" s="17" t="str">
        <f>SUBSTITUTE(SUBSTITUTE(SUBSTITUTE(SUBSTITUTE(IF(E1196="","",VLOOKUP(E1196,[1]Esquemas_NORM!$A$2:$H$126,8,FALSE)),"PROVINCIA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196" s="17" t="str">
        <f>IF($E1196="","",INDEX([1]Esquemas_NORM!$H$2:$K$126,MATCH($E1196,[1]Esquemas_NORM!$A$2:$A$126,0),MATCH(AA$4,[1]Esquemas_NORM!$H$1:$K$1,0)))</f>
        <v>A la fecha no ha conformado un EAT Región</v>
      </c>
      <c r="AB1196" s="17" t="str">
        <f>IF($E1196="","",INDEX([1]Esquemas_NORM!$H$2:$K$126,MATCH($E1196,[1]Esquemas_NORM!$A$2:$A$126,0),MATCH(AB$4,[1]Esquemas_NORM!$H$1:$K$1,0)))</f>
        <v>A la fecha no ha conformado un EAT Área Metropolitana</v>
      </c>
      <c r="AC1196" s="17" t="str">
        <f>IF($E1196="","",INDEX([1]Esquemas_NORM!$H$2:$K$126,MATCH($E1196,[1]Esquemas_NORM!$A$2:$A$126,0),MATCH(AC$4,[1]Esquemas_NORM!$H$1:$K$1,0)))</f>
        <v>ASOCIACION DE MUNICIPIOS DEL OCCIDENTE ANTIOQUEÑO - AMOCCIDENTE</v>
      </c>
      <c r="AD1196" s="23"/>
    </row>
    <row r="1197" spans="1:30" x14ac:dyDescent="0.25">
      <c r="A1197" s="51">
        <v>2024</v>
      </c>
      <c r="B1197" s="52" t="s">
        <v>36</v>
      </c>
      <c r="C1197" s="52" t="s">
        <v>158</v>
      </c>
      <c r="D1197" s="52" t="s">
        <v>159</v>
      </c>
      <c r="E1197" s="52" t="s">
        <v>178</v>
      </c>
      <c r="F1197" s="52" t="s">
        <v>161</v>
      </c>
      <c r="G1197" s="52" t="s">
        <v>179</v>
      </c>
      <c r="H1197" s="53">
        <v>33.194174327055642</v>
      </c>
      <c r="I1197" s="53">
        <v>0.13351894183236385</v>
      </c>
      <c r="J1197" s="54">
        <v>33.327693268888005</v>
      </c>
      <c r="K1197" s="53">
        <v>2.0670553959181257</v>
      </c>
      <c r="L1197" s="53">
        <v>8.198799826490264</v>
      </c>
      <c r="M1197" s="54">
        <v>10.265855222408391</v>
      </c>
      <c r="N1197" s="53">
        <v>17.468356640885187</v>
      </c>
      <c r="O1197" s="53">
        <v>26.991835796188887</v>
      </c>
      <c r="P1197" s="53">
        <v>8.9335617647853489</v>
      </c>
      <c r="Q1197" s="53">
        <v>8.550185689942742</v>
      </c>
      <c r="R1197" s="53">
        <v>15.468659170394051</v>
      </c>
      <c r="S1197" s="53">
        <v>19.583562772005827</v>
      </c>
      <c r="T1197" s="53">
        <v>43.700690863377638</v>
      </c>
      <c r="U1197" s="53">
        <v>10.710258459463722</v>
      </c>
      <c r="V1197" s="54">
        <v>151.4071111570434</v>
      </c>
      <c r="W1197" s="54">
        <v>209.24770276278977</v>
      </c>
      <c r="X1197" s="53">
        <v>22.942495795174171</v>
      </c>
      <c r="Y1197" s="55">
        <v>232.09146030546319</v>
      </c>
      <c r="Z1197" s="17" t="str">
        <f>SUBSTITUTE(SUBSTITUTE(SUBSTITUTE(SUBSTITUTE(IF(E1197="","",VLOOKUP(E1197,[1]Esquemas_NORM!$A$2:$H$126,8,FALSE)),"PROVINCIA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197" s="17" t="str">
        <f>IF($E1197="","",INDEX([1]Esquemas_NORM!$H$2:$K$126,MATCH($E1197,[1]Esquemas_NORM!$A$2:$A$126,0),MATCH(AA$4,[1]Esquemas_NORM!$H$1:$K$1,0)))</f>
        <v>Región de Planeación y Gestión de Occidente</v>
      </c>
      <c r="AB1197" s="17" t="str">
        <f>IF($E1197="","",INDEX([1]Esquemas_NORM!$H$2:$K$126,MATCH($E1197,[1]Esquemas_NORM!$A$2:$A$126,0),MATCH(AB$4,[1]Esquemas_NORM!$H$1:$K$1,0)))</f>
        <v>A la fecha no ha conformado un EAT Área Metropolitana</v>
      </c>
      <c r="AC1197" s="17" t="str">
        <f>IF($E1197="","",INDEX([1]Esquemas_NORM!$H$2:$K$126,MATCH($E1197,[1]Esquemas_NORM!$A$2:$A$126,0),MATCH(AC$4,[1]Esquemas_NORM!$H$1:$K$1,0)))</f>
        <v>ASOCIACION DE MUNICIPIOS DEL OCCIDENTE ANTIOQUEÑO - AMOCCIDENTE</v>
      </c>
      <c r="AD1197" s="23"/>
    </row>
    <row r="1198" spans="1:30" x14ac:dyDescent="0.25">
      <c r="A1198" s="51">
        <v>2024</v>
      </c>
      <c r="B1198" s="52" t="s">
        <v>36</v>
      </c>
      <c r="C1198" s="52" t="s">
        <v>158</v>
      </c>
      <c r="D1198" s="52" t="s">
        <v>163</v>
      </c>
      <c r="E1198" s="52" t="s">
        <v>180</v>
      </c>
      <c r="F1198" s="52" t="s">
        <v>161</v>
      </c>
      <c r="G1198" s="52" t="s">
        <v>181</v>
      </c>
      <c r="H1198" s="53">
        <v>4.475512522160404</v>
      </c>
      <c r="I1198" s="53">
        <v>0</v>
      </c>
      <c r="J1198" s="54">
        <v>4.475512522160404</v>
      </c>
      <c r="K1198" s="53">
        <v>1.8303237679574536</v>
      </c>
      <c r="L1198" s="53">
        <v>0.47854586402103244</v>
      </c>
      <c r="M1198" s="54">
        <v>2.308869631978486</v>
      </c>
      <c r="N1198" s="53">
        <v>1.5009298082338227</v>
      </c>
      <c r="O1198" s="53">
        <v>10.228332782997759</v>
      </c>
      <c r="P1198" s="53">
        <v>2.0335808966906757</v>
      </c>
      <c r="Q1198" s="53">
        <v>1.590595566873263</v>
      </c>
      <c r="R1198" s="53">
        <v>5.9551631398353777</v>
      </c>
      <c r="S1198" s="53">
        <v>5.8634853115643599</v>
      </c>
      <c r="T1198" s="53">
        <v>12.699838839458119</v>
      </c>
      <c r="U1198" s="53">
        <v>3.7301822481692382</v>
      </c>
      <c r="V1198" s="54">
        <v>43.602108593822614</v>
      </c>
      <c r="W1198" s="54">
        <v>50.928969371390416</v>
      </c>
      <c r="X1198" s="53">
        <v>5.5839928000559178</v>
      </c>
      <c r="Y1198" s="55">
        <v>56.488930187481891</v>
      </c>
      <c r="Z1198" s="17" t="str">
        <f>SUBSTITUTE(SUBSTITUTE(SUBSTITUTE(SUBSTITUTE(IF(E1198="","",VLOOKUP(E1198,[1]Esquemas_NORM!$A$2:$H$126,8,FALSE)),"PROVINCIA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198" s="17" t="str">
        <f>IF($E1198="","",INDEX([1]Esquemas_NORM!$H$2:$K$126,MATCH($E1198,[1]Esquemas_NORM!$A$2:$A$126,0),MATCH(AA$4,[1]Esquemas_NORM!$H$1:$K$1,0)))</f>
        <v>A la fecha no ha conformado un EAT Región</v>
      </c>
      <c r="AB1198" s="17" t="str">
        <f>IF($E1198="","",INDEX([1]Esquemas_NORM!$H$2:$K$126,MATCH($E1198,[1]Esquemas_NORM!$A$2:$A$126,0),MATCH(AB$4,[1]Esquemas_NORM!$H$1:$K$1,0)))</f>
        <v>A la fecha no ha conformado un EAT Área Metropolitana</v>
      </c>
      <c r="AC1198" s="17" t="str">
        <f>IF($E1198="","",INDEX([1]Esquemas_NORM!$H$2:$K$126,MATCH($E1198,[1]Esquemas_NORM!$A$2:$A$126,0),MATCH(AC$4,[1]Esquemas_NORM!$H$1:$K$1,0)))</f>
        <v>ASOCIACION DE MUNICIPIOS DEL OCCIDENTE ANTIOQUEÑO - AMOCCIDENTE</v>
      </c>
      <c r="AD1198" s="23"/>
    </row>
    <row r="1199" spans="1:30" x14ac:dyDescent="0.25">
      <c r="A1199" s="51">
        <v>2024</v>
      </c>
      <c r="B1199" s="52" t="s">
        <v>36</v>
      </c>
      <c r="C1199" s="52" t="s">
        <v>158</v>
      </c>
      <c r="D1199" s="52" t="s">
        <v>163</v>
      </c>
      <c r="E1199" s="52" t="s">
        <v>182</v>
      </c>
      <c r="F1199" s="52" t="s">
        <v>161</v>
      </c>
      <c r="G1199" s="52" t="s">
        <v>183</v>
      </c>
      <c r="H1199" s="53">
        <v>11.694347132265341</v>
      </c>
      <c r="I1199" s="53">
        <v>5.3620333871460717E-3</v>
      </c>
      <c r="J1199" s="54">
        <v>11.699709165652486</v>
      </c>
      <c r="K1199" s="53">
        <v>1.1355727656990131</v>
      </c>
      <c r="L1199" s="53">
        <v>1.9990353823475777</v>
      </c>
      <c r="M1199" s="54">
        <v>3.134608148046591</v>
      </c>
      <c r="N1199" s="53">
        <v>1.410249520476786</v>
      </c>
      <c r="O1199" s="53">
        <v>8.4280191522580736</v>
      </c>
      <c r="P1199" s="53">
        <v>2.062254722816534</v>
      </c>
      <c r="Q1199" s="53">
        <v>1.6285698938177824</v>
      </c>
      <c r="R1199" s="53">
        <v>6.4908582855262766</v>
      </c>
      <c r="S1199" s="53">
        <v>5.5518135054722988</v>
      </c>
      <c r="T1199" s="53">
        <v>12.451473730249587</v>
      </c>
      <c r="U1199" s="53">
        <v>3.2224080451514641</v>
      </c>
      <c r="V1199" s="54">
        <v>41.245646855768797</v>
      </c>
      <c r="W1199" s="54">
        <v>59.85628437049003</v>
      </c>
      <c r="X1199" s="53">
        <v>6.5628082619452961</v>
      </c>
      <c r="Y1199" s="55">
        <v>66.39084809334652</v>
      </c>
      <c r="Z1199" s="17" t="str">
        <f>SUBSTITUTE(SUBSTITUTE(SUBSTITUTE(SUBSTITUTE(IF(E1199="","",VLOOKUP(E1199,[1]Esquemas_NORM!$A$2:$H$126,8,FALSE)),"PROVINCIA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199" s="17" t="str">
        <f>IF($E1199="","",INDEX([1]Esquemas_NORM!$H$2:$K$126,MATCH($E1199,[1]Esquemas_NORM!$A$2:$A$126,0),MATCH(AA$4,[1]Esquemas_NORM!$H$1:$K$1,0)))</f>
        <v>Región de Planeación y Gestión de Occidente</v>
      </c>
      <c r="AB1199" s="17" t="str">
        <f>IF($E1199="","",INDEX([1]Esquemas_NORM!$H$2:$K$126,MATCH($E1199,[1]Esquemas_NORM!$A$2:$A$126,0),MATCH(AB$4,[1]Esquemas_NORM!$H$1:$K$1,0)))</f>
        <v>A la fecha no ha conformado un EAT Área Metropolitana</v>
      </c>
      <c r="AC1199" s="17" t="str">
        <f>IF($E1199="","",INDEX([1]Esquemas_NORM!$H$2:$K$126,MATCH($E1199,[1]Esquemas_NORM!$A$2:$A$126,0),MATCH(AC$4,[1]Esquemas_NORM!$H$1:$K$1,0)))</f>
        <v>ASOCIACION DE MUNICIPIOS DEL OCCIDENTE ANTIOQUEÑO - AMOCCIDENTE</v>
      </c>
      <c r="AD1199" s="23"/>
    </row>
    <row r="1200" spans="1:30" x14ac:dyDescent="0.25">
      <c r="A1200" s="51">
        <v>2024</v>
      </c>
      <c r="B1200" s="52" t="s">
        <v>36</v>
      </c>
      <c r="C1200" s="52" t="s">
        <v>158</v>
      </c>
      <c r="D1200" s="52" t="s">
        <v>163</v>
      </c>
      <c r="E1200" s="52" t="s">
        <v>184</v>
      </c>
      <c r="F1200" s="52" t="s">
        <v>161</v>
      </c>
      <c r="G1200" s="52" t="s">
        <v>185</v>
      </c>
      <c r="H1200" s="53">
        <v>21.607344488085385</v>
      </c>
      <c r="I1200" s="53">
        <v>0</v>
      </c>
      <c r="J1200" s="54">
        <v>21.607344488085385</v>
      </c>
      <c r="K1200" s="53">
        <v>1.0502827952775331</v>
      </c>
      <c r="L1200" s="53">
        <v>4.630726340392922</v>
      </c>
      <c r="M1200" s="54">
        <v>5.6810091356704548</v>
      </c>
      <c r="N1200" s="53">
        <v>4.7180558590433002</v>
      </c>
      <c r="O1200" s="53">
        <v>16.90700638531753</v>
      </c>
      <c r="P1200" s="53">
        <v>3.1778621849928492</v>
      </c>
      <c r="Q1200" s="53">
        <v>3.2764796425970251</v>
      </c>
      <c r="R1200" s="53">
        <v>9.4413696761876444</v>
      </c>
      <c r="S1200" s="53">
        <v>9.4701050602775894</v>
      </c>
      <c r="T1200" s="53">
        <v>20.214877257126769</v>
      </c>
      <c r="U1200" s="53">
        <v>7.9960907824845897</v>
      </c>
      <c r="V1200" s="54">
        <v>75.201846848027301</v>
      </c>
      <c r="W1200" s="54">
        <v>110.99531114774568</v>
      </c>
      <c r="X1200" s="53">
        <v>12.169832335879356</v>
      </c>
      <c r="Y1200" s="55">
        <v>123.11276784024265</v>
      </c>
      <c r="Z1200" s="17" t="str">
        <f>SUBSTITUTE(SUBSTITUTE(SUBSTITUTE(SUBSTITUTE(IF(E1200="","",VLOOKUP(E1200,[1]Esquemas_NORM!$A$2:$H$126,8,FALSE)),"PROVINCIA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00" s="17" t="str">
        <f>IF($E1200="","",INDEX([1]Esquemas_NORM!$H$2:$K$126,MATCH($E1200,[1]Esquemas_NORM!$A$2:$A$126,0),MATCH(AA$4,[1]Esquemas_NORM!$H$1:$K$1,0)))</f>
        <v>Región de Planeación y Gestión de Occidente</v>
      </c>
      <c r="AB1200" s="17" t="str">
        <f>IF($E1200="","",INDEX([1]Esquemas_NORM!$H$2:$K$126,MATCH($E1200,[1]Esquemas_NORM!$A$2:$A$126,0),MATCH(AB$4,[1]Esquemas_NORM!$H$1:$K$1,0)))</f>
        <v>A la fecha no ha conformado un EAT Área Metropolitana</v>
      </c>
      <c r="AC1200" s="17" t="str">
        <f>IF($E1200="","",INDEX([1]Esquemas_NORM!$H$2:$K$126,MATCH($E1200,[1]Esquemas_NORM!$A$2:$A$126,0),MATCH(AC$4,[1]Esquemas_NORM!$H$1:$K$1,0)))</f>
        <v>ASOCIACION DE MUNICIPIOS DEL OCCIDENTE ANTIOQUEÑO - AMOCCIDENTE</v>
      </c>
      <c r="AD1200" s="23"/>
    </row>
    <row r="1201" spans="1:30" x14ac:dyDescent="0.25">
      <c r="A1201" s="51">
        <v>2024</v>
      </c>
      <c r="B1201" s="52" t="s">
        <v>36</v>
      </c>
      <c r="C1201" s="52" t="s">
        <v>158</v>
      </c>
      <c r="D1201" s="52" t="s">
        <v>163</v>
      </c>
      <c r="E1201" s="52" t="s">
        <v>186</v>
      </c>
      <c r="F1201" s="52" t="s">
        <v>161</v>
      </c>
      <c r="G1201" s="52" t="s">
        <v>187</v>
      </c>
      <c r="H1201" s="53">
        <v>8.540789174159702</v>
      </c>
      <c r="I1201" s="53">
        <v>0</v>
      </c>
      <c r="J1201" s="54">
        <v>8.540789174159702</v>
      </c>
      <c r="K1201" s="53">
        <v>0.2233626519217454</v>
      </c>
      <c r="L1201" s="53">
        <v>1.8902749293338492</v>
      </c>
      <c r="M1201" s="54">
        <v>2.1136375812555945</v>
      </c>
      <c r="N1201" s="53">
        <v>1.4966957482904761</v>
      </c>
      <c r="O1201" s="53">
        <v>6.8783401798863997</v>
      </c>
      <c r="P1201" s="53">
        <v>1.3257424293519953</v>
      </c>
      <c r="Q1201" s="53">
        <v>0.82708961742916187</v>
      </c>
      <c r="R1201" s="53">
        <v>4.4535953049047601</v>
      </c>
      <c r="S1201" s="53">
        <v>3.8316918992561533</v>
      </c>
      <c r="T1201" s="53">
        <v>7.5564998650165522</v>
      </c>
      <c r="U1201" s="53">
        <v>2.5122176776022758</v>
      </c>
      <c r="V1201" s="54">
        <v>28.881872721737775</v>
      </c>
      <c r="W1201" s="54">
        <v>42.845801291696226</v>
      </c>
      <c r="X1201" s="53">
        <v>4.6977319368231241</v>
      </c>
      <c r="Y1201" s="55">
        <v>47.523315469897973</v>
      </c>
      <c r="Z1201" s="17" t="str">
        <f>SUBSTITUTE(SUBSTITUTE(SUBSTITUTE(SUBSTITUTE(IF(E1201="","",VLOOKUP(E1201,[1]Esquemas_NORM!$A$2:$H$126,8,FALSE)),"PROVINCIA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201" s="17" t="str">
        <f>IF($E1201="","",INDEX([1]Esquemas_NORM!$H$2:$K$126,MATCH($E1201,[1]Esquemas_NORM!$A$2:$A$126,0),MATCH(AA$4,[1]Esquemas_NORM!$H$1:$K$1,0)))</f>
        <v>Región de Planeación y Gestión de Occidente</v>
      </c>
      <c r="AB1201" s="17" t="str">
        <f>IF($E1201="","",INDEX([1]Esquemas_NORM!$H$2:$K$126,MATCH($E1201,[1]Esquemas_NORM!$A$2:$A$126,0),MATCH(AB$4,[1]Esquemas_NORM!$H$1:$K$1,0)))</f>
        <v>A la fecha no ha conformado un EAT Área Metropolitana</v>
      </c>
      <c r="AC1201" s="17" t="str">
        <f>IF($E1201="","",INDEX([1]Esquemas_NORM!$H$2:$K$126,MATCH($E1201,[1]Esquemas_NORM!$A$2:$A$126,0),MATCH(AC$4,[1]Esquemas_NORM!$H$1:$K$1,0)))</f>
        <v>ASOCIACION DE MUNICIPIOS DEL OCCIDENTE ANTIOQUEÑO - AMOCCIDENTE</v>
      </c>
      <c r="AD1201" s="23"/>
    </row>
    <row r="1202" spans="1:30" x14ac:dyDescent="0.25">
      <c r="A1202" s="51">
        <v>2024</v>
      </c>
      <c r="B1202" s="52" t="s">
        <v>36</v>
      </c>
      <c r="C1202" s="52" t="s">
        <v>158</v>
      </c>
      <c r="D1202" s="52" t="s">
        <v>159</v>
      </c>
      <c r="E1202" s="52" t="s">
        <v>188</v>
      </c>
      <c r="F1202" s="52" t="s">
        <v>161</v>
      </c>
      <c r="G1202" s="52" t="s">
        <v>189</v>
      </c>
      <c r="H1202" s="53">
        <v>8.8911562928596783</v>
      </c>
      <c r="I1202" s="53">
        <v>0</v>
      </c>
      <c r="J1202" s="54">
        <v>8.8911562928596783</v>
      </c>
      <c r="K1202" s="53">
        <v>1.4890808841079148</v>
      </c>
      <c r="L1202" s="53">
        <v>2.2803693649152472</v>
      </c>
      <c r="M1202" s="54">
        <v>3.7694502490231621</v>
      </c>
      <c r="N1202" s="53">
        <v>1.0657414029333103</v>
      </c>
      <c r="O1202" s="53">
        <v>8.5340488093459168</v>
      </c>
      <c r="P1202" s="53">
        <v>3.4813204338733716</v>
      </c>
      <c r="Q1202" s="53">
        <v>3.3398909994129298</v>
      </c>
      <c r="R1202" s="53">
        <v>7.4978165347138948</v>
      </c>
      <c r="S1202" s="53">
        <v>7.0530950609952168</v>
      </c>
      <c r="T1202" s="53">
        <v>21.243355402021454</v>
      </c>
      <c r="U1202" s="53">
        <v>4.9138547482963686</v>
      </c>
      <c r="V1202" s="54">
        <v>57.129123391592465</v>
      </c>
      <c r="W1202" s="54">
        <v>70.452801874543439</v>
      </c>
      <c r="X1202" s="53">
        <v>7.7246396945986797</v>
      </c>
      <c r="Y1202" s="55">
        <v>78.14419682404322</v>
      </c>
      <c r="Z1202" s="17" t="str">
        <f>SUBSTITUTE(SUBSTITUTE(SUBSTITUTE(SUBSTITUTE(IF(E1202="","",VLOOKUP(E1202,[1]Esquemas_NORM!$A$2:$H$126,8,FALSE)),"PROVINCIA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202" s="17" t="str">
        <f>IF($E1202="","",INDEX([1]Esquemas_NORM!$H$2:$K$126,MATCH($E1202,[1]Esquemas_NORM!$A$2:$A$126,0),MATCH(AA$4,[1]Esquemas_NORM!$H$1:$K$1,0)))</f>
        <v>Región de Planeación y Gestión de Occidente</v>
      </c>
      <c r="AB1202" s="17" t="str">
        <f>IF($E1202="","",INDEX([1]Esquemas_NORM!$H$2:$K$126,MATCH($E1202,[1]Esquemas_NORM!$A$2:$A$126,0),MATCH(AB$4,[1]Esquemas_NORM!$H$1:$K$1,0)))</f>
        <v>A la fecha no ha conformado un EAT Área Metropolitana</v>
      </c>
      <c r="AC1202" s="17" t="str">
        <f>IF($E1202="","",INDEX([1]Esquemas_NORM!$H$2:$K$126,MATCH($E1202,[1]Esquemas_NORM!$A$2:$A$126,0),MATCH(AC$4,[1]Esquemas_NORM!$H$1:$K$1,0)))</f>
        <v>ASOCIACION DE MUNICIPIOS DEL OCCIDENTE ANTIOQUEÑO - AMOCCIDENTE</v>
      </c>
      <c r="AD1202" s="23"/>
    </row>
    <row r="1203" spans="1:30" x14ac:dyDescent="0.25">
      <c r="A1203" s="51">
        <v>2024</v>
      </c>
      <c r="B1203" s="52" t="s">
        <v>36</v>
      </c>
      <c r="C1203" s="52" t="s">
        <v>158</v>
      </c>
      <c r="D1203" s="52" t="s">
        <v>163</v>
      </c>
      <c r="E1203" s="52" t="s">
        <v>190</v>
      </c>
      <c r="F1203" s="52" t="s">
        <v>161</v>
      </c>
      <c r="G1203" s="52" t="s">
        <v>191</v>
      </c>
      <c r="H1203" s="53">
        <v>10.992022566567963</v>
      </c>
      <c r="I1203" s="53">
        <v>0</v>
      </c>
      <c r="J1203" s="54">
        <v>10.992022566567963</v>
      </c>
      <c r="K1203" s="53">
        <v>1.0662981282267749</v>
      </c>
      <c r="L1203" s="53">
        <v>3.250494951831326</v>
      </c>
      <c r="M1203" s="54">
        <v>4.3167930800581011</v>
      </c>
      <c r="N1203" s="53">
        <v>1.455476048609518</v>
      </c>
      <c r="O1203" s="53">
        <v>9.6522856277017315</v>
      </c>
      <c r="P1203" s="53">
        <v>3.4967573645715095</v>
      </c>
      <c r="Q1203" s="53">
        <v>3.5673234281668491</v>
      </c>
      <c r="R1203" s="53">
        <v>11.226725523439312</v>
      </c>
      <c r="S1203" s="53">
        <v>8.0536498477224487</v>
      </c>
      <c r="T1203" s="53">
        <v>23.823513733562173</v>
      </c>
      <c r="U1203" s="53">
        <v>4.4825816798758371</v>
      </c>
      <c r="V1203" s="54">
        <v>65.758313253649376</v>
      </c>
      <c r="W1203" s="54">
        <v>82.259423669201709</v>
      </c>
      <c r="X1203" s="53">
        <v>9.0191503023749267</v>
      </c>
      <c r="Y1203" s="55">
        <v>91.239758005438944</v>
      </c>
      <c r="Z1203" s="17" t="str">
        <f>SUBSTITUTE(SUBSTITUTE(SUBSTITUTE(SUBSTITUTE(IF(E1203="","",VLOOKUP(E1203,[1]Esquemas_NORM!$A$2:$H$126,8,FALSE)),"PROVINCIA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203" s="17" t="str">
        <f>IF($E1203="","",INDEX([1]Esquemas_NORM!$H$2:$K$126,MATCH($E1203,[1]Esquemas_NORM!$A$2:$A$126,0),MATCH(AA$4,[1]Esquemas_NORM!$H$1:$K$1,0)))</f>
        <v>A la fecha no ha conformado un EAT Región</v>
      </c>
      <c r="AB1203" s="17" t="str">
        <f>IF($E1203="","",INDEX([1]Esquemas_NORM!$H$2:$K$126,MATCH($E1203,[1]Esquemas_NORM!$A$2:$A$126,0),MATCH(AB$4,[1]Esquemas_NORM!$H$1:$K$1,0)))</f>
        <v>A la fecha no ha conformado un EAT Área Metropolitana</v>
      </c>
      <c r="AC1203" s="17" t="str">
        <f>IF($E1203="","",INDEX([1]Esquemas_NORM!$H$2:$K$126,MATCH($E1203,[1]Esquemas_NORM!$A$2:$A$126,0),MATCH(AC$4,[1]Esquemas_NORM!$H$1:$K$1,0)))</f>
        <v>ASOCIACION DE MUNICIPIOS DEL OCCIDENTE ANTIOQUEÑO - AMOCCIDENTE</v>
      </c>
      <c r="AD1203" s="23"/>
    </row>
    <row r="1204" spans="1:30" x14ac:dyDescent="0.25">
      <c r="A1204" s="51">
        <v>2024</v>
      </c>
      <c r="B1204" s="52" t="s">
        <v>36</v>
      </c>
      <c r="C1204" s="52" t="s">
        <v>158</v>
      </c>
      <c r="D1204" s="52" t="s">
        <v>163</v>
      </c>
      <c r="E1204" s="52" t="s">
        <v>192</v>
      </c>
      <c r="F1204" s="52" t="s">
        <v>161</v>
      </c>
      <c r="G1204" s="52" t="s">
        <v>193</v>
      </c>
      <c r="H1204" s="53">
        <v>17.02013103200661</v>
      </c>
      <c r="I1204" s="53">
        <v>0</v>
      </c>
      <c r="J1204" s="54">
        <v>17.02013103200661</v>
      </c>
      <c r="K1204" s="53">
        <v>1.8709169875055123</v>
      </c>
      <c r="L1204" s="53">
        <v>9.0909488051223786</v>
      </c>
      <c r="M1204" s="54">
        <v>10.96186579262789</v>
      </c>
      <c r="N1204" s="53">
        <v>9.7480921356288555</v>
      </c>
      <c r="O1204" s="53">
        <v>59.517615117783485</v>
      </c>
      <c r="P1204" s="53">
        <v>6.7052481131112387</v>
      </c>
      <c r="Q1204" s="53">
        <v>5.3456729521988642</v>
      </c>
      <c r="R1204" s="53">
        <v>34.276439587689651</v>
      </c>
      <c r="S1204" s="53">
        <v>24.149879550252866</v>
      </c>
      <c r="T1204" s="53">
        <v>31.077505656235029</v>
      </c>
      <c r="U1204" s="53">
        <v>17.270727638713748</v>
      </c>
      <c r="V1204" s="54">
        <v>188.09118075161373</v>
      </c>
      <c r="W1204" s="54">
        <v>221.46965982986944</v>
      </c>
      <c r="X1204" s="53">
        <v>24.282544908826821</v>
      </c>
      <c r="Y1204" s="55">
        <v>245.64769927983156</v>
      </c>
      <c r="Z1204" s="17" t="str">
        <f>SUBSTITUTE(SUBSTITUTE(SUBSTITUTE(SUBSTITUTE(IF(E1204="","",VLOOKUP(E1204,[1]Esquemas_NORM!$A$2:$H$126,8,FALSE)),"PROVINCIA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204" s="17" t="str">
        <f>IF($E1204="","",INDEX([1]Esquemas_NORM!$H$2:$K$126,MATCH($E1204,[1]Esquemas_NORM!$A$2:$A$126,0),MATCH(AA$4,[1]Esquemas_NORM!$H$1:$K$1,0)))</f>
        <v>Región de Planeación y Gestión de Occidente</v>
      </c>
      <c r="AB1204" s="17" t="str">
        <f>IF($E1204="","",INDEX([1]Esquemas_NORM!$H$2:$K$126,MATCH($E1204,[1]Esquemas_NORM!$A$2:$A$126,0),MATCH(AB$4,[1]Esquemas_NORM!$H$1:$K$1,0)))</f>
        <v>A la fecha no ha conformado un EAT Área Metropolitana</v>
      </c>
      <c r="AC1204" s="17" t="str">
        <f>IF($E1204="","",INDEX([1]Esquemas_NORM!$H$2:$K$126,MATCH($E1204,[1]Esquemas_NORM!$A$2:$A$126,0),MATCH(AC$4,[1]Esquemas_NORM!$H$1:$K$1,0)))</f>
        <v>ASOCIACION DE MUNICIPIOS DEL OCCIDENTE ANTIOQUEÑO - AMOCCIDENTE</v>
      </c>
      <c r="AD1204" s="23"/>
    </row>
    <row r="1205" spans="1:30" x14ac:dyDescent="0.25">
      <c r="A1205" s="51">
        <v>2024</v>
      </c>
      <c r="B1205" s="52" t="s">
        <v>36</v>
      </c>
      <c r="C1205" s="52" t="s">
        <v>158</v>
      </c>
      <c r="D1205" s="52" t="s">
        <v>163</v>
      </c>
      <c r="E1205" s="52" t="s">
        <v>194</v>
      </c>
      <c r="F1205" s="52" t="s">
        <v>161</v>
      </c>
      <c r="G1205" s="52" t="s">
        <v>195</v>
      </c>
      <c r="H1205" s="53">
        <v>18.817684347570051</v>
      </c>
      <c r="I1205" s="53">
        <v>6.9181605103419432</v>
      </c>
      <c r="J1205" s="54">
        <v>25.735844857911992</v>
      </c>
      <c r="K1205" s="53">
        <v>5.7881956911508947</v>
      </c>
      <c r="L1205" s="53">
        <v>8.0726730423165822</v>
      </c>
      <c r="M1205" s="54">
        <v>13.860868733467477</v>
      </c>
      <c r="N1205" s="53">
        <v>16.610670866354937</v>
      </c>
      <c r="O1205" s="53">
        <v>71.297732983022868</v>
      </c>
      <c r="P1205" s="53">
        <v>9.1626116848621528</v>
      </c>
      <c r="Q1205" s="53">
        <v>8.8247282726333172</v>
      </c>
      <c r="R1205" s="53">
        <v>30.039239974220266</v>
      </c>
      <c r="S1205" s="53">
        <v>33.475894604392749</v>
      </c>
      <c r="T1205" s="53">
        <v>89.469059941249682</v>
      </c>
      <c r="U1205" s="53">
        <v>13.3583438930826</v>
      </c>
      <c r="V1205" s="54">
        <v>272.23828221981853</v>
      </c>
      <c r="W1205" s="54">
        <v>322.33753417988589</v>
      </c>
      <c r="X1205" s="53">
        <v>35.341977115682013</v>
      </c>
      <c r="Y1205" s="55">
        <v>357.5274090530088</v>
      </c>
      <c r="Z1205" s="17" t="str">
        <f>SUBSTITUTE(SUBSTITUTE(SUBSTITUTE(SUBSTITUTE(IF(E1205="","",VLOOKUP(E1205,[1]Esquemas_NORM!$A$2:$H$126,8,FALSE)),"PROVINCIA ADMINISTRATIVA Y DE PLANIFICACIÓN","PAT"),"PROVINCIA ADMINISTRATIVA Y DE PLANIFICACION","PAT"),"PROVINCIA ADMINISTRATIVA DE PLANIFICACION","PAT"),"PROVINCIA ADMINISTRATIVA Y PLANIFICACION","PAT")</f>
        <v>PAT TURÍSTICA Y AGROECOLÓGICA DEL OCCIDENTE ANTIOQUEÑO</v>
      </c>
      <c r="AA1205" s="17" t="str">
        <f>IF($E1205="","",INDEX([1]Esquemas_NORM!$H$2:$K$126,MATCH($E1205,[1]Esquemas_NORM!$A$2:$A$126,0),MATCH(AA$4,[1]Esquemas_NORM!$H$1:$K$1,0)))</f>
        <v>A la fecha no ha conformado un EAT Región</v>
      </c>
      <c r="AB1205" s="17" t="str">
        <f>IF($E1205="","",INDEX([1]Esquemas_NORM!$H$2:$K$126,MATCH($E1205,[1]Esquemas_NORM!$A$2:$A$126,0),MATCH(AB$4,[1]Esquemas_NORM!$H$1:$K$1,0)))</f>
        <v>A la fecha no ha conformado un EAT Área Metropolitana</v>
      </c>
      <c r="AC1205" s="17" t="str">
        <f>IF($E1205="","",INDEX([1]Esquemas_NORM!$H$2:$K$126,MATCH($E1205,[1]Esquemas_NORM!$A$2:$A$126,0),MATCH(AC$4,[1]Esquemas_NORM!$H$1:$K$1,0)))</f>
        <v>ASOCIACION DE MUNICIPIOS DEL OCCIDENTE ANTIOQUEÑO - AMOCCIDENTE</v>
      </c>
      <c r="AD1205" s="23"/>
    </row>
    <row r="1206" spans="1:30" x14ac:dyDescent="0.25">
      <c r="A1206" s="51">
        <v>2024</v>
      </c>
      <c r="B1206" s="52" t="s">
        <v>36</v>
      </c>
      <c r="C1206" s="52" t="s">
        <v>158</v>
      </c>
      <c r="D1206" s="52" t="s">
        <v>163</v>
      </c>
      <c r="E1206" s="52" t="s">
        <v>196</v>
      </c>
      <c r="F1206" s="52" t="s">
        <v>161</v>
      </c>
      <c r="G1206" s="52" t="s">
        <v>197</v>
      </c>
      <c r="H1206" s="53">
        <v>12.481783824517859</v>
      </c>
      <c r="I1206" s="53">
        <v>3.8370621916339775</v>
      </c>
      <c r="J1206" s="54">
        <v>16.318846016151838</v>
      </c>
      <c r="K1206" s="53">
        <v>3.369393749681632</v>
      </c>
      <c r="L1206" s="53">
        <v>6.1973981292394154</v>
      </c>
      <c r="M1206" s="54">
        <v>9.5667918789210482</v>
      </c>
      <c r="N1206" s="53">
        <v>11.926279858789778</v>
      </c>
      <c r="O1206" s="53">
        <v>46.73743886871047</v>
      </c>
      <c r="P1206" s="53">
        <v>6.6349942862775668</v>
      </c>
      <c r="Q1206" s="53">
        <v>5.377863182773563</v>
      </c>
      <c r="R1206" s="53">
        <v>27.482453848852476</v>
      </c>
      <c r="S1206" s="53">
        <v>20.476168858555319</v>
      </c>
      <c r="T1206" s="53">
        <v>23.672632560904198</v>
      </c>
      <c r="U1206" s="53">
        <v>12.397838509773868</v>
      </c>
      <c r="V1206" s="54">
        <v>154.70566997463723</v>
      </c>
      <c r="W1206" s="54">
        <v>187.68806935243219</v>
      </c>
      <c r="X1206" s="53">
        <v>20.578638068994621</v>
      </c>
      <c r="Y1206" s="55">
        <v>208.17814256867794</v>
      </c>
      <c r="Z1206" s="17" t="str">
        <f>SUBSTITUTE(SUBSTITUTE(SUBSTITUTE(SUBSTITUTE(IF(E1206="","",VLOOKUP(E1206,[1]Esquemas_NORM!$A$2:$H$126,8,FALSE)),"PROVINCIA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06" s="17" t="str">
        <f>IF($E1206="","",INDEX([1]Esquemas_NORM!$H$2:$K$126,MATCH($E1206,[1]Esquemas_NORM!$A$2:$A$126,0),MATCH(AA$4,[1]Esquemas_NORM!$H$1:$K$1,0)))</f>
        <v>A la fecha no ha conformado un EAT Región</v>
      </c>
      <c r="AB1206" s="17" t="str">
        <f>IF($E1206="","",INDEX([1]Esquemas_NORM!$H$2:$K$126,MATCH($E1206,[1]Esquemas_NORM!$A$2:$A$126,0),MATCH(AB$4,[1]Esquemas_NORM!$H$1:$K$1,0)))</f>
        <v>A la fecha no ha conformado un EAT Área Metropolitana</v>
      </c>
      <c r="AC1206" s="17" t="str">
        <f>IF($E1206="","",INDEX([1]Esquemas_NORM!$H$2:$K$126,MATCH($E1206,[1]Esquemas_NORM!$A$2:$A$126,0),MATCH(AC$4,[1]Esquemas_NORM!$H$1:$K$1,0)))</f>
        <v>ASOCIACION DE MUNICIPIOS DEL OCCIDENTE ANTIOQUEÑO - AMOCCIDENTE</v>
      </c>
      <c r="AD1206" s="23"/>
    </row>
    <row r="1207" spans="1:30" x14ac:dyDescent="0.25">
      <c r="A1207" s="51">
        <v>2024</v>
      </c>
      <c r="B1207" s="52" t="s">
        <v>36</v>
      </c>
      <c r="C1207" s="52" t="s">
        <v>158</v>
      </c>
      <c r="D1207" s="52" t="s">
        <v>159</v>
      </c>
      <c r="E1207" s="52" t="s">
        <v>198</v>
      </c>
      <c r="F1207" s="52" t="s">
        <v>161</v>
      </c>
      <c r="G1207" s="52" t="s">
        <v>199</v>
      </c>
      <c r="H1207" s="53">
        <v>41.217521495375891</v>
      </c>
      <c r="I1207" s="53">
        <v>2.0734808883536915</v>
      </c>
      <c r="J1207" s="54">
        <v>43.291002383729584</v>
      </c>
      <c r="K1207" s="53">
        <v>0.83834529820451176</v>
      </c>
      <c r="L1207" s="53">
        <v>4.7203491252862664</v>
      </c>
      <c r="M1207" s="54">
        <v>5.5586944234907785</v>
      </c>
      <c r="N1207" s="53">
        <v>1.1321621279986758</v>
      </c>
      <c r="O1207" s="53">
        <v>11.332324026243633</v>
      </c>
      <c r="P1207" s="53">
        <v>2.4157159819305298</v>
      </c>
      <c r="Q1207" s="53">
        <v>2.0881236275303272</v>
      </c>
      <c r="R1207" s="53">
        <v>6.5201125228429548</v>
      </c>
      <c r="S1207" s="53">
        <v>6.0721615781063178</v>
      </c>
      <c r="T1207" s="53">
        <v>15.128261414058835</v>
      </c>
      <c r="U1207" s="53">
        <v>3.4679320102557898</v>
      </c>
      <c r="V1207" s="54">
        <v>48.156793288967059</v>
      </c>
      <c r="W1207" s="54">
        <v>116.18895378011925</v>
      </c>
      <c r="X1207" s="53">
        <v>12.739277652033177</v>
      </c>
      <c r="Y1207" s="55">
        <v>128.87340505124317</v>
      </c>
      <c r="Z1207" s="17" t="str">
        <f>SUBSTITUTE(SUBSTITUTE(SUBSTITUTE(SUBSTITUTE(IF(E1207="","",VLOOKUP(E1207,[1]Esquemas_NORM!$A$2:$H$126,8,FALSE)),"PROVINCIA ADMINISTRATIVA Y DE PLANIFICACIÓN","PAT"),"PROVINCIA ADMINISTRATIVA Y DE PLANIFICACION","PAT"),"PROVINCIA ADMINISTRATIVA DE PLANIFICACION","PAT"),"PROVINCIA ADMINISTRATIVA Y PLANIFICACION","PAT")</f>
        <v>PAT AGROINDUSTRIAL DEL OCCIDENTE ANTIOQUEÑO</v>
      </c>
      <c r="AA1207" s="17" t="str">
        <f>IF($E1207="","",INDEX([1]Esquemas_NORM!$H$2:$K$126,MATCH($E1207,[1]Esquemas_NORM!$A$2:$A$126,0),MATCH(AA$4,[1]Esquemas_NORM!$H$1:$K$1,0)))</f>
        <v>Región de Planeación y Gestión de Occidente</v>
      </c>
      <c r="AB1207" s="17" t="str">
        <f>IF($E1207="","",INDEX([1]Esquemas_NORM!$H$2:$K$126,MATCH($E1207,[1]Esquemas_NORM!$A$2:$A$126,0),MATCH(AB$4,[1]Esquemas_NORM!$H$1:$K$1,0)))</f>
        <v>A la fecha no ha conformado un EAT Área Metropolitana</v>
      </c>
      <c r="AC1207" s="17" t="str">
        <f>IF($E1207="","",INDEX([1]Esquemas_NORM!$H$2:$K$126,MATCH($E1207,[1]Esquemas_NORM!$A$2:$A$126,0),MATCH(AC$4,[1]Esquemas_NORM!$H$1:$K$1,0)))</f>
        <v>ASOCIACION DE MUNICIPIOS DEL OCCIDENTE ANTIOQUEÑO - AMOCCIDENTE</v>
      </c>
      <c r="AD1207" s="23"/>
    </row>
    <row r="1208" spans="1:30" x14ac:dyDescent="0.25">
      <c r="A1208" s="51">
        <v>2024</v>
      </c>
      <c r="B1208" s="52" t="s">
        <v>36</v>
      </c>
      <c r="C1208" s="52" t="s">
        <v>200</v>
      </c>
      <c r="D1208" s="52" t="s">
        <v>201</v>
      </c>
      <c r="E1208" s="52" t="s">
        <v>202</v>
      </c>
      <c r="F1208" s="52" t="s">
        <v>203</v>
      </c>
      <c r="G1208" s="52" t="s">
        <v>204</v>
      </c>
      <c r="H1208" s="53">
        <v>122.43972850610378</v>
      </c>
      <c r="I1208" s="53">
        <v>8.9944620819941368E-2</v>
      </c>
      <c r="J1208" s="54">
        <v>122.52967312692371</v>
      </c>
      <c r="K1208" s="53">
        <v>9.4956460736583548</v>
      </c>
      <c r="L1208" s="53">
        <v>7.1243683399388047</v>
      </c>
      <c r="M1208" s="54">
        <v>16.620014413597161</v>
      </c>
      <c r="N1208" s="53">
        <v>6.7965679833858861</v>
      </c>
      <c r="O1208" s="53">
        <v>18.502096502088303</v>
      </c>
      <c r="P1208" s="53">
        <v>7.5991591978110735</v>
      </c>
      <c r="Q1208" s="53">
        <v>9.0590571952784273</v>
      </c>
      <c r="R1208" s="53">
        <v>22.96179405882453</v>
      </c>
      <c r="S1208" s="53">
        <v>20.777994593531865</v>
      </c>
      <c r="T1208" s="53">
        <v>44.07528252369579</v>
      </c>
      <c r="U1208" s="53">
        <v>11.929007190220673</v>
      </c>
      <c r="V1208" s="54">
        <v>141.70095924483655</v>
      </c>
      <c r="W1208" s="54">
        <v>331.27347976237274</v>
      </c>
      <c r="X1208" s="53">
        <v>36.321738858530544</v>
      </c>
      <c r="Y1208" s="55">
        <v>367.43889975068697</v>
      </c>
      <c r="Z1208" s="17" t="str">
        <f>SUBSTITUTE(SUBSTITUTE(SUBSTITUTE(SUBSTITUTE(IF(E1208="","",VLOOKUP(E1208,[1]Esquemas_NORM!$A$2:$H$126,8,FALSE)),"PROVINCIA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208" s="17" t="str">
        <f>IF($E1208="","",INDEX([1]Esquemas_NORM!$H$2:$K$126,MATCH($E1208,[1]Esquemas_NORM!$A$2:$A$126,0),MATCH(AA$4,[1]Esquemas_NORM!$H$1:$K$1,0)))</f>
        <v>A la fecha no ha conformado un EAT Región</v>
      </c>
      <c r="AB1208" s="17" t="str">
        <f>IF($E1208="","",INDEX([1]Esquemas_NORM!$H$2:$K$126,MATCH($E1208,[1]Esquemas_NORM!$A$2:$A$126,0),MATCH(AB$4,[1]Esquemas_NORM!$H$1:$K$1,0)))</f>
        <v>A la fecha no ha conformado un EAT Área Metropolitana</v>
      </c>
      <c r="AC1208" s="17" t="str">
        <f>IF($E1208="","",INDEX([1]Esquemas_NORM!$H$2:$K$126,MATCH($E1208,[1]Esquemas_NORM!$A$2:$A$126,0),MATCH(AC$4,[1]Esquemas_NORM!$H$1:$K$1,0)))</f>
        <v>MUNICIPIOS UNIDOS DEL SUR DE ANTIOQUIA - MUSA</v>
      </c>
      <c r="AD1208" s="23"/>
    </row>
    <row r="1209" spans="1:30" x14ac:dyDescent="0.25">
      <c r="A1209" s="51">
        <v>2024</v>
      </c>
      <c r="B1209" s="52" t="s">
        <v>36</v>
      </c>
      <c r="C1209" s="52" t="s">
        <v>200</v>
      </c>
      <c r="D1209" s="52" t="s">
        <v>205</v>
      </c>
      <c r="E1209" s="52" t="s">
        <v>206</v>
      </c>
      <c r="F1209" s="52" t="s">
        <v>203</v>
      </c>
      <c r="G1209" s="52" t="s">
        <v>207</v>
      </c>
      <c r="H1209" s="53">
        <v>6.3285013884303991</v>
      </c>
      <c r="I1209" s="53">
        <v>0</v>
      </c>
      <c r="J1209" s="54">
        <v>6.3285013884303991</v>
      </c>
      <c r="K1209" s="53">
        <v>0.72611432942892384</v>
      </c>
      <c r="L1209" s="53">
        <v>2.0339693371498084</v>
      </c>
      <c r="M1209" s="54">
        <v>2.7600836665787325</v>
      </c>
      <c r="N1209" s="53">
        <v>18.372805035328216</v>
      </c>
      <c r="O1209" s="53">
        <v>3.41286652405475</v>
      </c>
      <c r="P1209" s="53">
        <v>0.99932004215290282</v>
      </c>
      <c r="Q1209" s="53">
        <v>0.859570185494266</v>
      </c>
      <c r="R1209" s="53">
        <v>4.1368740939209196</v>
      </c>
      <c r="S1209" s="53">
        <v>3.0458002579081915</v>
      </c>
      <c r="T1209" s="53">
        <v>3.9645758633916151</v>
      </c>
      <c r="U1209" s="53">
        <v>1.6341630061137673</v>
      </c>
      <c r="V1209" s="54">
        <v>36.425975008364624</v>
      </c>
      <c r="W1209" s="54">
        <v>54.013929813195418</v>
      </c>
      <c r="X1209" s="53">
        <v>5.92223637945908</v>
      </c>
      <c r="Y1209" s="55">
        <v>59.910678500459881</v>
      </c>
      <c r="Z1209" s="17" t="str">
        <f>SUBSTITUTE(SUBSTITUTE(SUBSTITUTE(SUBSTITUTE(IF(E1209="","",VLOOKUP(E1209,[1]Esquemas_NORM!$A$2:$H$126,8,FALSE)),"PROVINCIA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09" s="17" t="str">
        <f>IF($E1209="","",INDEX([1]Esquemas_NORM!$H$2:$K$126,MATCH($E1209,[1]Esquemas_NORM!$A$2:$A$126,0),MATCH(AA$4,[1]Esquemas_NORM!$H$1:$K$1,0)))</f>
        <v>A la fecha no ha conformado un EAT Región</v>
      </c>
      <c r="AB1209" s="17" t="str">
        <f>IF($E1209="","",INDEX([1]Esquemas_NORM!$H$2:$K$126,MATCH($E1209,[1]Esquemas_NORM!$A$2:$A$126,0),MATCH(AB$4,[1]Esquemas_NORM!$H$1:$K$1,0)))</f>
        <v>A la fecha no ha conformado un EAT Área Metropolitana</v>
      </c>
      <c r="AC1209" s="17" t="str">
        <f>IF($E1209="","",INDEX([1]Esquemas_NORM!$H$2:$K$126,MATCH($E1209,[1]Esquemas_NORM!$A$2:$A$126,0),MATCH(AC$4,[1]Esquemas_NORM!$H$1:$K$1,0)))</f>
        <v>A la fecha no ha conformado un EAT asociación - unión</v>
      </c>
      <c r="AD1209" s="23"/>
    </row>
    <row r="1210" spans="1:30" x14ac:dyDescent="0.25">
      <c r="A1210" s="51">
        <v>2024</v>
      </c>
      <c r="B1210" s="52" t="s">
        <v>36</v>
      </c>
      <c r="C1210" s="52" t="s">
        <v>200</v>
      </c>
      <c r="D1210" s="52" t="s">
        <v>201</v>
      </c>
      <c r="E1210" s="52" t="s">
        <v>208</v>
      </c>
      <c r="F1210" s="52" t="s">
        <v>203</v>
      </c>
      <c r="G1210" s="52" t="s">
        <v>209</v>
      </c>
      <c r="H1210" s="53">
        <v>13.640421281931706</v>
      </c>
      <c r="I1210" s="53">
        <v>0</v>
      </c>
      <c r="J1210" s="54">
        <v>13.640421281931706</v>
      </c>
      <c r="K1210" s="53">
        <v>2.0262961491620368</v>
      </c>
      <c r="L1210" s="53">
        <v>1.7913622843072625</v>
      </c>
      <c r="M1210" s="54">
        <v>3.8176584334692993</v>
      </c>
      <c r="N1210" s="53">
        <v>1.1262837388147606</v>
      </c>
      <c r="O1210" s="53">
        <v>6.0946185904317041</v>
      </c>
      <c r="P1210" s="53">
        <v>2.8267041429775683</v>
      </c>
      <c r="Q1210" s="53">
        <v>2.9168157270901842</v>
      </c>
      <c r="R1210" s="53">
        <v>7.0725203464376172</v>
      </c>
      <c r="S1210" s="53">
        <v>6.5123082959213523</v>
      </c>
      <c r="T1210" s="53">
        <v>19.626951297177548</v>
      </c>
      <c r="U1210" s="53">
        <v>4.5342023847168402</v>
      </c>
      <c r="V1210" s="54">
        <v>50.710404523567576</v>
      </c>
      <c r="W1210" s="54">
        <v>71.293199015612245</v>
      </c>
      <c r="X1210" s="53">
        <v>7.8167831572061139</v>
      </c>
      <c r="Y1210" s="55">
        <v>79.076340867355754</v>
      </c>
      <c r="Z1210" s="17" t="str">
        <f>SUBSTITUTE(SUBSTITUTE(SUBSTITUTE(SUBSTITUTE(IF(E1210="","",VLOOKUP(E1210,[1]Esquemas_NORM!$A$2:$H$126,8,FALSE)),"PROVINCIA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210" s="17" t="str">
        <f>IF($E1210="","",INDEX([1]Esquemas_NORM!$H$2:$K$126,MATCH($E1210,[1]Esquemas_NORM!$A$2:$A$126,0),MATCH(AA$4,[1]Esquemas_NORM!$H$1:$K$1,0)))</f>
        <v>A la fecha no ha conformado un EAT Región</v>
      </c>
      <c r="AB1210" s="17" t="str">
        <f>IF($E1210="","",INDEX([1]Esquemas_NORM!$H$2:$K$126,MATCH($E1210,[1]Esquemas_NORM!$A$2:$A$126,0),MATCH(AB$4,[1]Esquemas_NORM!$H$1:$K$1,0)))</f>
        <v>A la fecha no ha conformado un EAT Área Metropolitana</v>
      </c>
      <c r="AC1210" s="17" t="str">
        <f>IF($E1210="","",INDEX([1]Esquemas_NORM!$H$2:$K$126,MATCH($E1210,[1]Esquemas_NORM!$A$2:$A$126,0),MATCH(AC$4,[1]Esquemas_NORM!$H$1:$K$1,0)))</f>
        <v>MUNICIPIOS UNIDOS DEL SUR DE ANTIOQUIA - MUSA</v>
      </c>
      <c r="AD1210" s="23"/>
    </row>
    <row r="1211" spans="1:30" x14ac:dyDescent="0.25">
      <c r="A1211" s="51">
        <v>2024</v>
      </c>
      <c r="B1211" s="52" t="s">
        <v>36</v>
      </c>
      <c r="C1211" s="52" t="s">
        <v>200</v>
      </c>
      <c r="D1211" s="52" t="s">
        <v>210</v>
      </c>
      <c r="E1211" s="52" t="s">
        <v>211</v>
      </c>
      <c r="F1211" s="52" t="s">
        <v>203</v>
      </c>
      <c r="G1211" s="52" t="s">
        <v>212</v>
      </c>
      <c r="H1211" s="53">
        <v>17.76098737041913</v>
      </c>
      <c r="I1211" s="53">
        <v>0.13461504108963415</v>
      </c>
      <c r="J1211" s="54">
        <v>17.895602411508765</v>
      </c>
      <c r="K1211" s="53">
        <v>7.0679511561155941</v>
      </c>
      <c r="L1211" s="53">
        <v>1.3881186660422273</v>
      </c>
      <c r="M1211" s="54">
        <v>8.4560698221578221</v>
      </c>
      <c r="N1211" s="53">
        <v>30.418623289321072</v>
      </c>
      <c r="O1211" s="53">
        <v>22.943593803734142</v>
      </c>
      <c r="P1211" s="53">
        <v>4.4821857269070522</v>
      </c>
      <c r="Q1211" s="53">
        <v>3.1682048957103763</v>
      </c>
      <c r="R1211" s="53">
        <v>11.214079929706172</v>
      </c>
      <c r="S1211" s="53">
        <v>13.163061827570623</v>
      </c>
      <c r="T1211" s="53">
        <v>16.593497879148948</v>
      </c>
      <c r="U1211" s="53">
        <v>7.4435566687656545</v>
      </c>
      <c r="V1211" s="54">
        <v>109.42680402086403</v>
      </c>
      <c r="W1211" s="54">
        <v>151.63215408521708</v>
      </c>
      <c r="X1211" s="53">
        <v>16.625367980537987</v>
      </c>
      <c r="Y1211" s="55">
        <v>168.18597101061971</v>
      </c>
      <c r="Z1211" s="17" t="str">
        <f>SUBSTITUTE(SUBSTITUTE(SUBSTITUTE(SUBSTITUTE(IF(E1211="","",VLOOKUP(E1211,[1]Esquemas_NORM!$A$2:$H$126,8,FALSE)),"PROVINCIA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11" s="17" t="str">
        <f>IF($E1211="","",INDEX([1]Esquemas_NORM!$H$2:$K$126,MATCH($E1211,[1]Esquemas_NORM!$A$2:$A$126,0),MATCH(AA$4,[1]Esquemas_NORM!$H$1:$K$1,0)))</f>
        <v>A la fecha no ha conformado un EAT Región</v>
      </c>
      <c r="AB1211" s="17" t="str">
        <f>IF($E1211="","",INDEX([1]Esquemas_NORM!$H$2:$K$126,MATCH($E1211,[1]Esquemas_NORM!$A$2:$A$126,0),MATCH(AB$4,[1]Esquemas_NORM!$H$1:$K$1,0)))</f>
        <v>A la fecha no ha conformado un EAT Área Metropolitana</v>
      </c>
      <c r="AC1211" s="17" t="str">
        <f>IF($E1211="","",INDEX([1]Esquemas_NORM!$H$2:$K$126,MATCH($E1211,[1]Esquemas_NORM!$A$2:$A$126,0),MATCH(AC$4,[1]Esquemas_NORM!$H$1:$K$1,0)))</f>
        <v>A la fecha no ha conformado un EAT asociación - unión</v>
      </c>
      <c r="AD1211" s="23"/>
    </row>
    <row r="1212" spans="1:30" x14ac:dyDescent="0.25">
      <c r="A1212" s="51">
        <v>2024</v>
      </c>
      <c r="B1212" s="52" t="s">
        <v>36</v>
      </c>
      <c r="C1212" s="52" t="s">
        <v>200</v>
      </c>
      <c r="D1212" s="52" t="s">
        <v>205</v>
      </c>
      <c r="E1212" s="52" t="s">
        <v>213</v>
      </c>
      <c r="F1212" s="52" t="s">
        <v>203</v>
      </c>
      <c r="G1212" s="52" t="s">
        <v>214</v>
      </c>
      <c r="H1212" s="53">
        <v>15.19769231563663</v>
      </c>
      <c r="I1212" s="53">
        <v>0</v>
      </c>
      <c r="J1212" s="54">
        <v>15.19769231563663</v>
      </c>
      <c r="K1212" s="53">
        <v>0.69681983680885407</v>
      </c>
      <c r="L1212" s="53">
        <v>2.3434092424666768</v>
      </c>
      <c r="M1212" s="54">
        <v>3.0402290792755311</v>
      </c>
      <c r="N1212" s="53">
        <v>11.166988311779855</v>
      </c>
      <c r="O1212" s="53">
        <v>3.8905468817807529</v>
      </c>
      <c r="P1212" s="53">
        <v>0.7718853651380071</v>
      </c>
      <c r="Q1212" s="53">
        <v>0.79683269990888106</v>
      </c>
      <c r="R1212" s="53">
        <v>4.7661858553410044</v>
      </c>
      <c r="S1212" s="53">
        <v>3.0309503958328117</v>
      </c>
      <c r="T1212" s="53">
        <v>5.4956934717914248</v>
      </c>
      <c r="U1212" s="53">
        <v>2.0721010124285959</v>
      </c>
      <c r="V1212" s="54">
        <v>31.991183994001332</v>
      </c>
      <c r="W1212" s="54">
        <v>60.234271937335308</v>
      </c>
      <c r="X1212" s="53">
        <v>6.6042518622728519</v>
      </c>
      <c r="Y1212" s="55">
        <v>66.810100898552619</v>
      </c>
      <c r="Z1212" s="17" t="str">
        <f>SUBSTITUTE(SUBSTITUTE(SUBSTITUTE(SUBSTITUTE(IF(E1212="","",VLOOKUP(E1212,[1]Esquemas_NORM!$A$2:$H$126,8,FALSE)),"PROVINCIA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12" s="17" t="str">
        <f>IF($E1212="","",INDEX([1]Esquemas_NORM!$H$2:$K$126,MATCH($E1212,[1]Esquemas_NORM!$A$2:$A$126,0),MATCH(AA$4,[1]Esquemas_NORM!$H$1:$K$1,0)))</f>
        <v>A la fecha no ha conformado un EAT Región</v>
      </c>
      <c r="AB1212" s="17" t="str">
        <f>IF($E1212="","",INDEX([1]Esquemas_NORM!$H$2:$K$126,MATCH($E1212,[1]Esquemas_NORM!$A$2:$A$126,0),MATCH(AB$4,[1]Esquemas_NORM!$H$1:$K$1,0)))</f>
        <v>A la fecha no ha conformado un EAT Área Metropolitana</v>
      </c>
      <c r="AC1212" s="17" t="str">
        <f>IF($E1212="","",INDEX([1]Esquemas_NORM!$H$2:$K$126,MATCH($E1212,[1]Esquemas_NORM!$A$2:$A$126,0),MATCH(AC$4,[1]Esquemas_NORM!$H$1:$K$1,0)))</f>
        <v>A la fecha no ha conformado un EAT asociación - unión</v>
      </c>
      <c r="AD1212" s="23"/>
    </row>
    <row r="1213" spans="1:30" x14ac:dyDescent="0.25">
      <c r="A1213" s="51">
        <v>2024</v>
      </c>
      <c r="B1213" s="52" t="s">
        <v>36</v>
      </c>
      <c r="C1213" s="52" t="s">
        <v>200</v>
      </c>
      <c r="D1213" s="52" t="s">
        <v>215</v>
      </c>
      <c r="E1213" s="52" t="s">
        <v>216</v>
      </c>
      <c r="F1213" s="52" t="s">
        <v>203</v>
      </c>
      <c r="G1213" s="52" t="s">
        <v>217</v>
      </c>
      <c r="H1213" s="53">
        <v>98.265900967573316</v>
      </c>
      <c r="I1213" s="53">
        <v>0</v>
      </c>
      <c r="J1213" s="54">
        <v>98.265900967573316</v>
      </c>
      <c r="K1213" s="53">
        <v>20.833778316036337</v>
      </c>
      <c r="L1213" s="53">
        <v>23.671885180931834</v>
      </c>
      <c r="M1213" s="54">
        <v>44.505663496968168</v>
      </c>
      <c r="N1213" s="53">
        <v>17.668324792345295</v>
      </c>
      <c r="O1213" s="53">
        <v>241.10568463831345</v>
      </c>
      <c r="P1213" s="53">
        <v>26.047244493190302</v>
      </c>
      <c r="Q1213" s="53">
        <v>26.529415323777172</v>
      </c>
      <c r="R1213" s="53">
        <v>92.84135480742674</v>
      </c>
      <c r="S1213" s="53">
        <v>83.050407495789514</v>
      </c>
      <c r="T1213" s="53">
        <v>74.61526126870892</v>
      </c>
      <c r="U1213" s="53">
        <v>35.625707232288491</v>
      </c>
      <c r="V1213" s="54">
        <v>597.48340005183991</v>
      </c>
      <c r="W1213" s="54">
        <v>780.60597729869096</v>
      </c>
      <c r="X1213" s="53">
        <v>85.587794348053436</v>
      </c>
      <c r="Y1213" s="55">
        <v>865.82542509348445</v>
      </c>
      <c r="Z1213" s="17" t="str">
        <f>SUBSTITUTE(SUBSTITUTE(SUBSTITUTE(SUBSTITUTE(IF(E1213="","",VLOOKUP(E1213,[1]Esquemas_NORM!$A$2:$H$126,8,FALSE)),"PROVINCIA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13" s="17" t="str">
        <f>IF($E1213="","",INDEX([1]Esquemas_NORM!$H$2:$K$126,MATCH($E1213,[1]Esquemas_NORM!$A$2:$A$126,0),MATCH(AA$4,[1]Esquemas_NORM!$H$1:$K$1,0)))</f>
        <v>A la fecha no ha conformado un EAT Región</v>
      </c>
      <c r="AB1213" s="17" t="str">
        <f>IF($E1213="","",INDEX([1]Esquemas_NORM!$H$2:$K$126,MATCH($E1213,[1]Esquemas_NORM!$A$2:$A$126,0),MATCH(AB$4,[1]Esquemas_NORM!$H$1:$K$1,0)))</f>
        <v>A la fecha no ha conformado un EAT Área Metropolitana</v>
      </c>
      <c r="AC1213" s="17" t="str">
        <f>IF($E1213="","",INDEX([1]Esquemas_NORM!$H$2:$K$126,MATCH($E1213,[1]Esquemas_NORM!$A$2:$A$126,0),MATCH(AC$4,[1]Esquemas_NORM!$H$1:$K$1,0)))</f>
        <v>MUNICIPIOS ASOCIADOS DEL ALTIPLANO DEL ORIENTE ANTIOQUEÑO - MASORA</v>
      </c>
      <c r="AD1213" s="23"/>
    </row>
    <row r="1214" spans="1:30" x14ac:dyDescent="0.25">
      <c r="A1214" s="51">
        <v>2024</v>
      </c>
      <c r="B1214" s="52" t="s">
        <v>36</v>
      </c>
      <c r="C1214" s="52" t="s">
        <v>200</v>
      </c>
      <c r="D1214" s="52" t="s">
        <v>205</v>
      </c>
      <c r="E1214" s="52" t="s">
        <v>218</v>
      </c>
      <c r="F1214" s="52" t="s">
        <v>203</v>
      </c>
      <c r="G1214" s="52" t="s">
        <v>219</v>
      </c>
      <c r="H1214" s="53">
        <v>206.36576273094639</v>
      </c>
      <c r="I1214" s="53">
        <v>0</v>
      </c>
      <c r="J1214" s="54">
        <v>206.36576273094639</v>
      </c>
      <c r="K1214" s="53">
        <v>12.952189352873599</v>
      </c>
      <c r="L1214" s="53">
        <v>12.534090288885535</v>
      </c>
      <c r="M1214" s="54">
        <v>25.486279641759133</v>
      </c>
      <c r="N1214" s="53">
        <v>5.3324300960357967</v>
      </c>
      <c r="O1214" s="53">
        <v>60.431631041609684</v>
      </c>
      <c r="P1214" s="53">
        <v>9.6329041610862358</v>
      </c>
      <c r="Q1214" s="53">
        <v>6.2066727732134002</v>
      </c>
      <c r="R1214" s="53">
        <v>38.408625819958537</v>
      </c>
      <c r="S1214" s="53">
        <v>24.139241168249367</v>
      </c>
      <c r="T1214" s="53">
        <v>30.803038130682467</v>
      </c>
      <c r="U1214" s="53">
        <v>11.161863098408341</v>
      </c>
      <c r="V1214" s="54">
        <v>186.1164062892438</v>
      </c>
      <c r="W1214" s="54">
        <v>510.94304339081214</v>
      </c>
      <c r="X1214" s="53">
        <v>56.021205823462715</v>
      </c>
      <c r="Y1214" s="55">
        <v>566.7231492042622</v>
      </c>
      <c r="Z1214" s="17" t="str">
        <f>SUBSTITUTE(SUBSTITUTE(SUBSTITUTE(SUBSTITUTE(IF(E1214="","",VLOOKUP(E1214,[1]Esquemas_NORM!$A$2:$H$126,8,FALSE)),"PROVINCIA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14" s="17" t="str">
        <f>IF($E1214="","",INDEX([1]Esquemas_NORM!$H$2:$K$126,MATCH($E1214,[1]Esquemas_NORM!$A$2:$A$126,0),MATCH(AA$4,[1]Esquemas_NORM!$H$1:$K$1,0)))</f>
        <v>A la fecha no ha conformado un EAT Región</v>
      </c>
      <c r="AB1214" s="17" t="str">
        <f>IF($E1214="","",INDEX([1]Esquemas_NORM!$H$2:$K$126,MATCH($E1214,[1]Esquemas_NORM!$A$2:$A$126,0),MATCH(AB$4,[1]Esquemas_NORM!$H$1:$K$1,0)))</f>
        <v>A la fecha no ha conformado un EAT Área Metropolitana</v>
      </c>
      <c r="AC1214" s="17" t="str">
        <f>IF($E1214="","",INDEX([1]Esquemas_NORM!$H$2:$K$126,MATCH($E1214,[1]Esquemas_NORM!$A$2:$A$126,0),MATCH(AC$4,[1]Esquemas_NORM!$H$1:$K$1,0)))</f>
        <v>A la fecha no ha conformado un EAT asociación - unión</v>
      </c>
      <c r="AD1214" s="23"/>
    </row>
    <row r="1215" spans="1:30" x14ac:dyDescent="0.25">
      <c r="A1215" s="51">
        <v>2024</v>
      </c>
      <c r="B1215" s="52" t="s">
        <v>36</v>
      </c>
      <c r="C1215" s="52" t="s">
        <v>200</v>
      </c>
      <c r="D1215" s="52" t="s">
        <v>215</v>
      </c>
      <c r="E1215" s="52" t="s">
        <v>220</v>
      </c>
      <c r="F1215" s="52" t="s">
        <v>203</v>
      </c>
      <c r="G1215" s="52" t="s">
        <v>221</v>
      </c>
      <c r="H1215" s="53">
        <v>84.581912639645793</v>
      </c>
      <c r="I1215" s="53">
        <v>0.76815015395857855</v>
      </c>
      <c r="J1215" s="54">
        <v>85.350062793604366</v>
      </c>
      <c r="K1215" s="53">
        <v>26.099548093581998</v>
      </c>
      <c r="L1215" s="53">
        <v>9.7804911557318608</v>
      </c>
      <c r="M1215" s="54">
        <v>35.88003924931386</v>
      </c>
      <c r="N1215" s="53">
        <v>28.984740098318554</v>
      </c>
      <c r="O1215" s="53">
        <v>101.48396271738228</v>
      </c>
      <c r="P1215" s="53">
        <v>26.245148696408084</v>
      </c>
      <c r="Q1215" s="53">
        <v>17.947659672787587</v>
      </c>
      <c r="R1215" s="53">
        <v>84.370274580808768</v>
      </c>
      <c r="S1215" s="53">
        <v>53.303170506652336</v>
      </c>
      <c r="T1215" s="53">
        <v>58.32291113187361</v>
      </c>
      <c r="U1215" s="53">
        <v>27.195670870299988</v>
      </c>
      <c r="V1215" s="54">
        <v>397.85353827453127</v>
      </c>
      <c r="W1215" s="54">
        <v>547.14017564451035</v>
      </c>
      <c r="X1215" s="53">
        <v>59.989959332196094</v>
      </c>
      <c r="Y1215" s="55">
        <v>606.87195453265474</v>
      </c>
      <c r="Z1215" s="17" t="str">
        <f>SUBSTITUTE(SUBSTITUTE(SUBSTITUTE(SUBSTITUTE(IF(E1215="","",VLOOKUP(E1215,[1]Esquemas_NORM!$A$2:$H$126,8,FALSE)),"PROVINCIA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15" s="17" t="str">
        <f>IF($E1215="","",INDEX([1]Esquemas_NORM!$H$2:$K$126,MATCH($E1215,[1]Esquemas_NORM!$A$2:$A$126,0),MATCH(AA$4,[1]Esquemas_NORM!$H$1:$K$1,0)))</f>
        <v>A la fecha no ha conformado un EAT Región</v>
      </c>
      <c r="AB1215" s="17" t="str">
        <f>IF($E1215="","",INDEX([1]Esquemas_NORM!$H$2:$K$126,MATCH($E1215,[1]Esquemas_NORM!$A$2:$A$126,0),MATCH(AB$4,[1]Esquemas_NORM!$H$1:$K$1,0)))</f>
        <v>A la fecha no ha conformado un EAT Área Metropolitana</v>
      </c>
      <c r="AC1215" s="17" t="str">
        <f>IF($E1215="","",INDEX([1]Esquemas_NORM!$H$2:$K$126,MATCH($E1215,[1]Esquemas_NORM!$A$2:$A$126,0),MATCH(AC$4,[1]Esquemas_NORM!$H$1:$K$1,0)))</f>
        <v>MUNICIPIOS ASOCIADOS DEL ALTIPLANO DEL ORIENTE ANTIOQUEÑO - MASORA</v>
      </c>
      <c r="AD1215" s="23"/>
    </row>
    <row r="1216" spans="1:30" x14ac:dyDescent="0.25">
      <c r="A1216" s="51">
        <v>2024</v>
      </c>
      <c r="B1216" s="52" t="s">
        <v>36</v>
      </c>
      <c r="C1216" s="52" t="s">
        <v>200</v>
      </c>
      <c r="D1216" s="52" t="s">
        <v>215</v>
      </c>
      <c r="E1216" s="52" t="s">
        <v>222</v>
      </c>
      <c r="F1216" s="52" t="s">
        <v>203</v>
      </c>
      <c r="G1216" s="52" t="s">
        <v>223</v>
      </c>
      <c r="H1216" s="53">
        <v>149.1250317361463</v>
      </c>
      <c r="I1216" s="53">
        <v>0</v>
      </c>
      <c r="J1216" s="54">
        <v>149.1250317361463</v>
      </c>
      <c r="K1216" s="53">
        <v>32.239577127784479</v>
      </c>
      <c r="L1216" s="53">
        <v>4.9245760310832249</v>
      </c>
      <c r="M1216" s="54">
        <v>37.164153158867705</v>
      </c>
      <c r="N1216" s="53">
        <v>8.9116589024134729</v>
      </c>
      <c r="O1216" s="53">
        <v>88.177819765760873</v>
      </c>
      <c r="P1216" s="53">
        <v>12.251084627989171</v>
      </c>
      <c r="Q1216" s="53">
        <v>13.11046197194621</v>
      </c>
      <c r="R1216" s="53">
        <v>37.979641006894255</v>
      </c>
      <c r="S1216" s="53">
        <v>43.954398951939652</v>
      </c>
      <c r="T1216" s="53">
        <v>64.188951556004994</v>
      </c>
      <c r="U1216" s="53">
        <v>16.100617139442697</v>
      </c>
      <c r="V1216" s="54">
        <v>284.67463392239137</v>
      </c>
      <c r="W1216" s="54">
        <v>533.34084108395075</v>
      </c>
      <c r="X1216" s="53">
        <v>58.476962195525161</v>
      </c>
      <c r="Y1216" s="55">
        <v>591.56613436297027</v>
      </c>
      <c r="Z1216" s="17" t="str">
        <f>SUBSTITUTE(SUBSTITUTE(SUBSTITUTE(SUBSTITUTE(IF(E1216="","",VLOOKUP(E1216,[1]Esquemas_NORM!$A$2:$H$126,8,FALSE)),"PROVINCIA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16" s="17" t="str">
        <f>IF($E1216="","",INDEX([1]Esquemas_NORM!$H$2:$K$126,MATCH($E1216,[1]Esquemas_NORM!$A$2:$A$126,0),MATCH(AA$4,[1]Esquemas_NORM!$H$1:$K$1,0)))</f>
        <v>Región de Planeación y Gestión Aeroportuaria de Oriente</v>
      </c>
      <c r="AB1216" s="17" t="str">
        <f>IF($E1216="","",INDEX([1]Esquemas_NORM!$H$2:$K$126,MATCH($E1216,[1]Esquemas_NORM!$A$2:$A$126,0),MATCH(AB$4,[1]Esquemas_NORM!$H$1:$K$1,0)))</f>
        <v>A la fecha no ha conformado un EAT Área Metropolitana</v>
      </c>
      <c r="AC1216" s="17" t="str">
        <f>IF($E1216="","",INDEX([1]Esquemas_NORM!$H$2:$K$126,MATCH($E1216,[1]Esquemas_NORM!$A$2:$A$126,0),MATCH(AC$4,[1]Esquemas_NORM!$H$1:$K$1,0)))</f>
        <v>MUNICIPIOS ASOCIADOS DEL ALTIPLANO DEL ORIENTE ANTIOQUEÑO - MASORA</v>
      </c>
      <c r="AD1216" s="23"/>
    </row>
    <row r="1217" spans="1:30" x14ac:dyDescent="0.25">
      <c r="A1217" s="51">
        <v>2024</v>
      </c>
      <c r="B1217" s="52" t="s">
        <v>36</v>
      </c>
      <c r="C1217" s="52" t="s">
        <v>200</v>
      </c>
      <c r="D1217" s="52" t="s">
        <v>205</v>
      </c>
      <c r="E1217" s="52" t="s">
        <v>224</v>
      </c>
      <c r="F1217" s="52" t="s">
        <v>203</v>
      </c>
      <c r="G1217" s="52" t="s">
        <v>225</v>
      </c>
      <c r="H1217" s="53">
        <v>13.174678091197636</v>
      </c>
      <c r="I1217" s="53">
        <v>0</v>
      </c>
      <c r="J1217" s="54">
        <v>13.174678091197636</v>
      </c>
      <c r="K1217" s="53">
        <v>1.7575706662308073</v>
      </c>
      <c r="L1217" s="53">
        <v>3.0621637432759652</v>
      </c>
      <c r="M1217" s="54">
        <v>4.819734409506772</v>
      </c>
      <c r="N1217" s="53">
        <v>7.2942839006870184</v>
      </c>
      <c r="O1217" s="53">
        <v>9.7683012757650864</v>
      </c>
      <c r="P1217" s="53">
        <v>4.1711684227603474</v>
      </c>
      <c r="Q1217" s="53">
        <v>3.4966717887239867</v>
      </c>
      <c r="R1217" s="53">
        <v>11.059507772049109</v>
      </c>
      <c r="S1217" s="53">
        <v>8.5027892904849534</v>
      </c>
      <c r="T1217" s="53">
        <v>18.002483675055537</v>
      </c>
      <c r="U1217" s="53">
        <v>5.8264260854593228</v>
      </c>
      <c r="V1217" s="54">
        <v>68.121632210985354</v>
      </c>
      <c r="W1217" s="54">
        <v>90.464741030247282</v>
      </c>
      <c r="X1217" s="53">
        <v>9.9188039500290817</v>
      </c>
      <c r="Y1217" s="55">
        <v>100.34085714989961</v>
      </c>
      <c r="Z1217" s="17" t="str">
        <f>SUBSTITUTE(SUBSTITUTE(SUBSTITUTE(SUBSTITUTE(IF(E1217="","",VLOOKUP(E1217,[1]Esquemas_NORM!$A$2:$H$126,8,FALSE)),"PROVINCIA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17" s="17" t="str">
        <f>IF($E1217="","",INDEX([1]Esquemas_NORM!$H$2:$K$126,MATCH($E1217,[1]Esquemas_NORM!$A$2:$A$126,0),MATCH(AA$4,[1]Esquemas_NORM!$H$1:$K$1,0)))</f>
        <v>A la fecha no ha conformado un EAT Región</v>
      </c>
      <c r="AB1217" s="17" t="str">
        <f>IF($E1217="","",INDEX([1]Esquemas_NORM!$H$2:$K$126,MATCH($E1217,[1]Esquemas_NORM!$A$2:$A$126,0),MATCH(AB$4,[1]Esquemas_NORM!$H$1:$K$1,0)))</f>
        <v>A la fecha no ha conformado un EAT Área Metropolitana</v>
      </c>
      <c r="AC1217" s="17" t="str">
        <f>IF($E1217="","",INDEX([1]Esquemas_NORM!$H$2:$K$126,MATCH($E1217,[1]Esquemas_NORM!$A$2:$A$126,0),MATCH(AC$4,[1]Esquemas_NORM!$H$1:$K$1,0)))</f>
        <v>A la fecha no ha conformado un EAT asociación - unión</v>
      </c>
      <c r="AD1217" s="23"/>
    </row>
    <row r="1218" spans="1:30" x14ac:dyDescent="0.25">
      <c r="A1218" s="51">
        <v>2024</v>
      </c>
      <c r="B1218" s="52" t="s">
        <v>36</v>
      </c>
      <c r="C1218" s="52" t="s">
        <v>200</v>
      </c>
      <c r="D1218" s="52" t="s">
        <v>215</v>
      </c>
      <c r="E1218" s="52" t="s">
        <v>226</v>
      </c>
      <c r="F1218" s="52" t="s">
        <v>203</v>
      </c>
      <c r="G1218" s="52" t="s">
        <v>227</v>
      </c>
      <c r="H1218" s="53">
        <v>48.939126347347475</v>
      </c>
      <c r="I1218" s="53">
        <v>0</v>
      </c>
      <c r="J1218" s="54">
        <v>48.939126347347475</v>
      </c>
      <c r="K1218" s="53">
        <v>588.92616293178639</v>
      </c>
      <c r="L1218" s="53">
        <v>121.71829677945605</v>
      </c>
      <c r="M1218" s="54">
        <v>710.64445971124246</v>
      </c>
      <c r="N1218" s="53">
        <v>38.023703303897868</v>
      </c>
      <c r="O1218" s="53">
        <v>211.97879348205333</v>
      </c>
      <c r="P1218" s="53">
        <v>32.114506100923109</v>
      </c>
      <c r="Q1218" s="53">
        <v>25.093069257053283</v>
      </c>
      <c r="R1218" s="53">
        <v>119.09567615327235</v>
      </c>
      <c r="S1218" s="53">
        <v>93.953749944368781</v>
      </c>
      <c r="T1218" s="53">
        <v>58.661969978648543</v>
      </c>
      <c r="U1218" s="53">
        <v>32.521114860957212</v>
      </c>
      <c r="V1218" s="54">
        <v>611.44258308117458</v>
      </c>
      <c r="W1218" s="54">
        <v>1303.2858053130012</v>
      </c>
      <c r="X1218" s="53">
        <v>142.89585363910979</v>
      </c>
      <c r="Y1218" s="55">
        <v>1445.56667412204</v>
      </c>
      <c r="Z1218" s="17" t="str">
        <f>SUBSTITUTE(SUBSTITUTE(SUBSTITUTE(SUBSTITUTE(IF(E1218="","",VLOOKUP(E1218,[1]Esquemas_NORM!$A$2:$H$126,8,FALSE)),"PROVINCIA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18" s="17" t="str">
        <f>IF($E1218="","",INDEX([1]Esquemas_NORM!$H$2:$K$126,MATCH($E1218,[1]Esquemas_NORM!$A$2:$A$126,0),MATCH(AA$4,[1]Esquemas_NORM!$H$1:$K$1,0)))</f>
        <v>A la fecha no ha conformado un EAT Región</v>
      </c>
      <c r="AB1218" s="17" t="str">
        <f>IF($E1218="","",INDEX([1]Esquemas_NORM!$H$2:$K$126,MATCH($E1218,[1]Esquemas_NORM!$A$2:$A$126,0),MATCH(AB$4,[1]Esquemas_NORM!$H$1:$K$1,0)))</f>
        <v>A la fecha no ha conformado un EAT Área Metropolitana</v>
      </c>
      <c r="AC1218" s="17" t="str">
        <f>IF($E1218="","",INDEX([1]Esquemas_NORM!$H$2:$K$126,MATCH($E1218,[1]Esquemas_NORM!$A$2:$A$126,0),MATCH(AC$4,[1]Esquemas_NORM!$H$1:$K$1,0)))</f>
        <v>MUNICIPIOS ASOCIADOS DEL ALTIPLANO DEL ORIENTE ANTIOQUEÑO - MASORA</v>
      </c>
      <c r="AD1218" s="23"/>
    </row>
    <row r="1219" spans="1:30" x14ac:dyDescent="0.25">
      <c r="A1219" s="51">
        <v>2024</v>
      </c>
      <c r="B1219" s="52" t="s">
        <v>36</v>
      </c>
      <c r="C1219" s="52" t="s">
        <v>200</v>
      </c>
      <c r="D1219" s="52" t="s">
        <v>205</v>
      </c>
      <c r="E1219" s="52" t="s">
        <v>228</v>
      </c>
      <c r="F1219" s="52" t="s">
        <v>203</v>
      </c>
      <c r="G1219" s="52" t="s">
        <v>229</v>
      </c>
      <c r="H1219" s="53">
        <v>4.1646337667836457</v>
      </c>
      <c r="I1219" s="53">
        <v>0</v>
      </c>
      <c r="J1219" s="54">
        <v>4.1646337667836457</v>
      </c>
      <c r="K1219" s="53">
        <v>10.302428711109513</v>
      </c>
      <c r="L1219" s="53">
        <v>10.589968776919317</v>
      </c>
      <c r="M1219" s="54">
        <v>20.892397488028831</v>
      </c>
      <c r="N1219" s="53">
        <v>18.815376918251825</v>
      </c>
      <c r="O1219" s="53">
        <v>144.45732655799833</v>
      </c>
      <c r="P1219" s="53">
        <v>16.484393745693176</v>
      </c>
      <c r="Q1219" s="53">
        <v>10.115952756465408</v>
      </c>
      <c r="R1219" s="53">
        <v>101.97143490718977</v>
      </c>
      <c r="S1219" s="53">
        <v>52.84381518952614</v>
      </c>
      <c r="T1219" s="53">
        <v>68.572545630155119</v>
      </c>
      <c r="U1219" s="53">
        <v>21.67109507637629</v>
      </c>
      <c r="V1219" s="54">
        <v>434.93194078165601</v>
      </c>
      <c r="W1219" s="54">
        <v>453.61416485108327</v>
      </c>
      <c r="X1219" s="53">
        <v>49.735509314185514</v>
      </c>
      <c r="Y1219" s="55">
        <v>503.13562608084112</v>
      </c>
      <c r="Z1219" s="17" t="str">
        <f>SUBSTITUTE(SUBSTITUTE(SUBSTITUTE(SUBSTITUTE(IF(E1219="","",VLOOKUP(E1219,[1]Esquemas_NORM!$A$2:$H$126,8,FALSE)),"PROVINCIA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19" s="17" t="str">
        <f>IF($E1219="","",INDEX([1]Esquemas_NORM!$H$2:$K$126,MATCH($E1219,[1]Esquemas_NORM!$A$2:$A$126,0),MATCH(AA$4,[1]Esquemas_NORM!$H$1:$K$1,0)))</f>
        <v>A la fecha no ha conformado un EAT Región</v>
      </c>
      <c r="AB1219" s="17" t="str">
        <f>IF($E1219="","",INDEX([1]Esquemas_NORM!$H$2:$K$126,MATCH($E1219,[1]Esquemas_NORM!$A$2:$A$126,0),MATCH(AB$4,[1]Esquemas_NORM!$H$1:$K$1,0)))</f>
        <v>A la fecha no ha conformado un EAT Área Metropolitana</v>
      </c>
      <c r="AC1219" s="17" t="str">
        <f>IF($E1219="","",INDEX([1]Esquemas_NORM!$H$2:$K$126,MATCH($E1219,[1]Esquemas_NORM!$A$2:$A$126,0),MATCH(AC$4,[1]Esquemas_NORM!$H$1:$K$1,0)))</f>
        <v>A la fecha no ha conformado un EAT asociación - unión</v>
      </c>
      <c r="AD1219" s="23"/>
    </row>
    <row r="1220" spans="1:30" x14ac:dyDescent="0.25">
      <c r="A1220" s="51">
        <v>2024</v>
      </c>
      <c r="B1220" s="52" t="s">
        <v>36</v>
      </c>
      <c r="C1220" s="52" t="s">
        <v>200</v>
      </c>
      <c r="D1220" s="52" t="s">
        <v>215</v>
      </c>
      <c r="E1220" s="52" t="s">
        <v>230</v>
      </c>
      <c r="F1220" s="52" t="s">
        <v>203</v>
      </c>
      <c r="G1220" s="52" t="s">
        <v>231</v>
      </c>
      <c r="H1220" s="53">
        <v>60.801606577331697</v>
      </c>
      <c r="I1220" s="53">
        <v>3.7415060806167404E-2</v>
      </c>
      <c r="J1220" s="54">
        <v>60.839021638137865</v>
      </c>
      <c r="K1220" s="53">
        <v>63.021614723808312</v>
      </c>
      <c r="L1220" s="53">
        <v>30.580503668731357</v>
      </c>
      <c r="M1220" s="54">
        <v>93.602118392539666</v>
      </c>
      <c r="N1220" s="53">
        <v>51.863800053454625</v>
      </c>
      <c r="O1220" s="53">
        <v>192.97151461079045</v>
      </c>
      <c r="P1220" s="53">
        <v>57.245115118435507</v>
      </c>
      <c r="Q1220" s="53">
        <v>57.612058904690777</v>
      </c>
      <c r="R1220" s="53">
        <v>151.90203698225335</v>
      </c>
      <c r="S1220" s="53">
        <v>101.35887181270111</v>
      </c>
      <c r="T1220" s="53">
        <v>96.533237299714088</v>
      </c>
      <c r="U1220" s="53">
        <v>52.515365235556963</v>
      </c>
      <c r="V1220" s="54">
        <v>762.00200001759674</v>
      </c>
      <c r="W1220" s="54">
        <v>912.13173788955464</v>
      </c>
      <c r="X1220" s="53">
        <v>100.00864183872528</v>
      </c>
      <c r="Y1220" s="55">
        <v>1011.7099697755738</v>
      </c>
      <c r="Z1220" s="17" t="str">
        <f>SUBSTITUTE(SUBSTITUTE(SUBSTITUTE(SUBSTITUTE(IF(E1220="","",VLOOKUP(E1220,[1]Esquemas_NORM!$A$2:$H$126,8,FALSE)),"PROVINCIA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20" s="17" t="str">
        <f>IF($E1220="","",INDEX([1]Esquemas_NORM!$H$2:$K$126,MATCH($E1220,[1]Esquemas_NORM!$A$2:$A$126,0),MATCH(AA$4,[1]Esquemas_NORM!$H$1:$K$1,0)))</f>
        <v>Región de Planeación y Gestión Aeroportuaria de Oriente</v>
      </c>
      <c r="AB1220" s="17" t="str">
        <f>IF($E1220="","",INDEX([1]Esquemas_NORM!$H$2:$K$126,MATCH($E1220,[1]Esquemas_NORM!$A$2:$A$126,0),MATCH(AB$4,[1]Esquemas_NORM!$H$1:$K$1,0)))</f>
        <v>A la fecha no ha conformado un EAT Área Metropolitana</v>
      </c>
      <c r="AC1220" s="17" t="str">
        <f>IF($E1220="","",INDEX([1]Esquemas_NORM!$H$2:$K$126,MATCH($E1220,[1]Esquemas_NORM!$A$2:$A$126,0),MATCH(AC$4,[1]Esquemas_NORM!$H$1:$K$1,0)))</f>
        <v>MUNICIPIOS ASOCIADOS DEL ALTIPLANO DEL ORIENTE ANTIOQUEÑO - MASORA</v>
      </c>
      <c r="AD1220" s="23"/>
    </row>
    <row r="1221" spans="1:30" x14ac:dyDescent="0.25">
      <c r="A1221" s="51">
        <v>2024</v>
      </c>
      <c r="B1221" s="52" t="s">
        <v>36</v>
      </c>
      <c r="C1221" s="52" t="s">
        <v>200</v>
      </c>
      <c r="D1221" s="52" t="s">
        <v>215</v>
      </c>
      <c r="E1221" s="52" t="s">
        <v>232</v>
      </c>
      <c r="F1221" s="52" t="s">
        <v>203</v>
      </c>
      <c r="G1221" s="52" t="s">
        <v>233</v>
      </c>
      <c r="H1221" s="53">
        <v>57.892310627089344</v>
      </c>
      <c r="I1221" s="53">
        <v>8.6279793377036978E-2</v>
      </c>
      <c r="J1221" s="54">
        <v>57.978590420466382</v>
      </c>
      <c r="K1221" s="53">
        <v>22.844725360459197</v>
      </c>
      <c r="L1221" s="53">
        <v>10.781199819913578</v>
      </c>
      <c r="M1221" s="54">
        <v>33.625925180372775</v>
      </c>
      <c r="N1221" s="53">
        <v>11.383429255278214</v>
      </c>
      <c r="O1221" s="53">
        <v>54.183199018767702</v>
      </c>
      <c r="P1221" s="53">
        <v>14.890329241155493</v>
      </c>
      <c r="Q1221" s="53">
        <v>15.413130673685385</v>
      </c>
      <c r="R1221" s="53">
        <v>32.051131678261882</v>
      </c>
      <c r="S1221" s="53">
        <v>30.950738336412659</v>
      </c>
      <c r="T1221" s="53">
        <v>46.644110321521545</v>
      </c>
      <c r="U1221" s="53">
        <v>20.594424829209157</v>
      </c>
      <c r="V1221" s="54">
        <v>226.11049335429203</v>
      </c>
      <c r="W1221" s="54">
        <v>334.65369967134188</v>
      </c>
      <c r="X1221" s="53">
        <v>36.692355501043352</v>
      </c>
      <c r="Y1221" s="55">
        <v>371.188141269092</v>
      </c>
      <c r="Z1221" s="17" t="str">
        <f>SUBSTITUTE(SUBSTITUTE(SUBSTITUTE(SUBSTITUTE(IF(E1221="","",VLOOKUP(E1221,[1]Esquemas_NORM!$A$2:$H$126,8,FALSE)),"PROVINCIA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221" s="17" t="str">
        <f>IF($E1221="","",INDEX([1]Esquemas_NORM!$H$2:$K$126,MATCH($E1221,[1]Esquemas_NORM!$A$2:$A$126,0),MATCH(AA$4,[1]Esquemas_NORM!$H$1:$K$1,0)))</f>
        <v>Región de Planeación y Gestión Aeroportuaria de Oriente</v>
      </c>
      <c r="AB1221" s="17" t="str">
        <f>IF($E1221="","",INDEX([1]Esquemas_NORM!$H$2:$K$126,MATCH($E1221,[1]Esquemas_NORM!$A$2:$A$126,0),MATCH(AB$4,[1]Esquemas_NORM!$H$1:$K$1,0)))</f>
        <v>A la fecha no ha conformado un EAT Área Metropolitana</v>
      </c>
      <c r="AC1221" s="17" t="str">
        <f>IF($E1221="","",INDEX([1]Esquemas_NORM!$H$2:$K$126,MATCH($E1221,[1]Esquemas_NORM!$A$2:$A$126,0),MATCH(AC$4,[1]Esquemas_NORM!$H$1:$K$1,0)))</f>
        <v>MUNICIPIOS ASOCIADOS DEL ALTIPLANO DEL ORIENTE ANTIOQUEÑO - MASORA</v>
      </c>
      <c r="AD1221" s="23"/>
    </row>
    <row r="1222" spans="1:30" x14ac:dyDescent="0.25">
      <c r="A1222" s="51">
        <v>2024</v>
      </c>
      <c r="B1222" s="52" t="s">
        <v>36</v>
      </c>
      <c r="C1222" s="52" t="s">
        <v>200</v>
      </c>
      <c r="D1222" s="52" t="s">
        <v>215</v>
      </c>
      <c r="E1222" s="52" t="s">
        <v>234</v>
      </c>
      <c r="F1222" s="52" t="s">
        <v>203</v>
      </c>
      <c r="G1222" s="52" t="s">
        <v>235</v>
      </c>
      <c r="H1222" s="53">
        <v>198.58106066996686</v>
      </c>
      <c r="I1222" s="53">
        <v>0</v>
      </c>
      <c r="J1222" s="54">
        <v>198.58106066996686</v>
      </c>
      <c r="K1222" s="53">
        <v>458.69313492970434</v>
      </c>
      <c r="L1222" s="53">
        <v>52.790756800460208</v>
      </c>
      <c r="M1222" s="54">
        <v>511.48389173016454</v>
      </c>
      <c r="N1222" s="53">
        <v>59.998126357538695</v>
      </c>
      <c r="O1222" s="53">
        <v>132.19460216977302</v>
      </c>
      <c r="P1222" s="53">
        <v>36.111368475367797</v>
      </c>
      <c r="Q1222" s="53">
        <v>37.086375800881903</v>
      </c>
      <c r="R1222" s="53">
        <v>102.87473751282108</v>
      </c>
      <c r="S1222" s="53">
        <v>102.74363984812534</v>
      </c>
      <c r="T1222" s="53">
        <v>125.69403335656351</v>
      </c>
      <c r="U1222" s="53">
        <v>50.241763574093042</v>
      </c>
      <c r="V1222" s="54">
        <v>646.94464709516433</v>
      </c>
      <c r="W1222" s="54">
        <v>1375.7194656689876</v>
      </c>
      <c r="X1222" s="53">
        <v>150.83768012608144</v>
      </c>
      <c r="Y1222" s="55">
        <v>1525.9079815071082</v>
      </c>
      <c r="Z1222" s="17" t="str">
        <f>SUBSTITUTE(SUBSTITUTE(SUBSTITUTE(SUBSTITUTE(IF(E1222="","",VLOOKUP(E1222,[1]Esquemas_NORM!$A$2:$H$126,8,FALSE)),"PROVINCIA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22" s="17" t="str">
        <f>IF($E1222="","",INDEX([1]Esquemas_NORM!$H$2:$K$126,MATCH($E1222,[1]Esquemas_NORM!$A$2:$A$126,0),MATCH(AA$4,[1]Esquemas_NORM!$H$1:$K$1,0)))</f>
        <v>A la fecha no ha conformado un EAT Región</v>
      </c>
      <c r="AB1222" s="17" t="str">
        <f>IF($E1222="","",INDEX([1]Esquemas_NORM!$H$2:$K$126,MATCH($E1222,[1]Esquemas_NORM!$A$2:$A$126,0),MATCH(AB$4,[1]Esquemas_NORM!$H$1:$K$1,0)))</f>
        <v>A la fecha no ha conformado un EAT Área Metropolitana</v>
      </c>
      <c r="AC1222" s="17" t="str">
        <f>IF($E1222="","",INDEX([1]Esquemas_NORM!$H$2:$K$126,MATCH($E1222,[1]Esquemas_NORM!$A$2:$A$126,0),MATCH(AC$4,[1]Esquemas_NORM!$H$1:$K$1,0)))</f>
        <v>MUNICIPIOS ASOCIADOS DEL ALTIPLANO DEL ORIENTE ANTIOQUEÑO - MASORA</v>
      </c>
      <c r="AD1222" s="23"/>
    </row>
    <row r="1223" spans="1:30" x14ac:dyDescent="0.25">
      <c r="A1223" s="51">
        <v>2024</v>
      </c>
      <c r="B1223" s="52" t="s">
        <v>36</v>
      </c>
      <c r="C1223" s="52" t="s">
        <v>200</v>
      </c>
      <c r="D1223" s="52" t="s">
        <v>201</v>
      </c>
      <c r="E1223" s="52" t="s">
        <v>236</v>
      </c>
      <c r="F1223" s="52" t="s">
        <v>203</v>
      </c>
      <c r="G1223" s="52" t="s">
        <v>237</v>
      </c>
      <c r="H1223" s="53">
        <v>20.580797332298353</v>
      </c>
      <c r="I1223" s="53">
        <v>0</v>
      </c>
      <c r="J1223" s="54">
        <v>20.580797332298353</v>
      </c>
      <c r="K1223" s="53">
        <v>5.3170555591154605</v>
      </c>
      <c r="L1223" s="53">
        <v>0.43520859786415739</v>
      </c>
      <c r="M1223" s="54">
        <v>5.752264156979618</v>
      </c>
      <c r="N1223" s="53">
        <v>1.532758487327764</v>
      </c>
      <c r="O1223" s="53">
        <v>12.957370349457371</v>
      </c>
      <c r="P1223" s="53">
        <v>4.3743474065912391</v>
      </c>
      <c r="Q1223" s="53">
        <v>4.1655068870590641</v>
      </c>
      <c r="R1223" s="53">
        <v>11.724322091834731</v>
      </c>
      <c r="S1223" s="53">
        <v>9.1816434552730808</v>
      </c>
      <c r="T1223" s="53">
        <v>22.962640258500215</v>
      </c>
      <c r="U1223" s="53">
        <v>6.911924529040518</v>
      </c>
      <c r="V1223" s="54">
        <v>73.810513465083986</v>
      </c>
      <c r="W1223" s="54">
        <v>105.32085706733783</v>
      </c>
      <c r="X1223" s="53">
        <v>11.547669525198391</v>
      </c>
      <c r="Y1223" s="55">
        <v>116.81882856841737</v>
      </c>
      <c r="Z1223" s="17" t="str">
        <f>SUBSTITUTE(SUBSTITUTE(SUBSTITUTE(SUBSTITUTE(IF(E1223="","",VLOOKUP(E1223,[1]Esquemas_NORM!$A$2:$H$126,8,FALSE)),"PROVINCIA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223" s="17" t="str">
        <f>IF($E1223="","",INDEX([1]Esquemas_NORM!$H$2:$K$126,MATCH($E1223,[1]Esquemas_NORM!$A$2:$A$126,0),MATCH(AA$4,[1]Esquemas_NORM!$H$1:$K$1,0)))</f>
        <v>A la fecha no ha conformado un EAT Región</v>
      </c>
      <c r="AB1223" s="17" t="str">
        <f>IF($E1223="","",INDEX([1]Esquemas_NORM!$H$2:$K$126,MATCH($E1223,[1]Esquemas_NORM!$A$2:$A$126,0),MATCH(AB$4,[1]Esquemas_NORM!$H$1:$K$1,0)))</f>
        <v>A la fecha no ha conformado un EAT Área Metropolitana</v>
      </c>
      <c r="AC1223" s="17" t="str">
        <f>IF($E1223="","",INDEX([1]Esquemas_NORM!$H$2:$K$126,MATCH($E1223,[1]Esquemas_NORM!$A$2:$A$126,0),MATCH(AC$4,[1]Esquemas_NORM!$H$1:$K$1,0)))</f>
        <v>MUNICIPIOS UNIDOS DEL SUR DE ANTIOQUIA - MUSA</v>
      </c>
      <c r="AD1223" s="23"/>
    </row>
    <row r="1224" spans="1:30" x14ac:dyDescent="0.25">
      <c r="A1224" s="51">
        <v>2024</v>
      </c>
      <c r="B1224" s="52" t="s">
        <v>36</v>
      </c>
      <c r="C1224" s="52" t="s">
        <v>200</v>
      </c>
      <c r="D1224" s="52" t="s">
        <v>215</v>
      </c>
      <c r="E1224" s="52" t="s">
        <v>238</v>
      </c>
      <c r="F1224" s="52" t="s">
        <v>203</v>
      </c>
      <c r="G1224" s="52" t="s">
        <v>239</v>
      </c>
      <c r="H1224" s="53">
        <v>46.941759954414287</v>
      </c>
      <c r="I1224" s="53">
        <v>0.47826674304771205</v>
      </c>
      <c r="J1224" s="54">
        <v>47.420026697461999</v>
      </c>
      <c r="K1224" s="53">
        <v>1280.4566979932576</v>
      </c>
      <c r="L1224" s="53">
        <v>495.69694822560831</v>
      </c>
      <c r="M1224" s="54">
        <v>1776.153646218866</v>
      </c>
      <c r="N1224" s="53">
        <v>120.8777038606936</v>
      </c>
      <c r="O1224" s="53">
        <v>738.55633636849961</v>
      </c>
      <c r="P1224" s="53">
        <v>91.03444888663428</v>
      </c>
      <c r="Q1224" s="53">
        <v>120.08213567141543</v>
      </c>
      <c r="R1224" s="53">
        <v>255.8829740309998</v>
      </c>
      <c r="S1224" s="53">
        <v>283.56588190030726</v>
      </c>
      <c r="T1224" s="53">
        <v>293.14841831917045</v>
      </c>
      <c r="U1224" s="53">
        <v>97.047701685022304</v>
      </c>
      <c r="V1224" s="54">
        <v>2000.1956007227427</v>
      </c>
      <c r="W1224" s="54">
        <v>3647.6039953986647</v>
      </c>
      <c r="X1224" s="53">
        <v>399.93337189363933</v>
      </c>
      <c r="Y1224" s="55">
        <v>4045.8161629991755</v>
      </c>
      <c r="Z1224" s="17" t="str">
        <f>SUBSTITUTE(SUBSTITUTE(SUBSTITUTE(SUBSTITUTE(IF(E1224="","",VLOOKUP(E1224,[1]Esquemas_NORM!$A$2:$H$126,8,FALSE)),"PROVINCIA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24" s="17" t="str">
        <f>IF($E1224="","",INDEX([1]Esquemas_NORM!$H$2:$K$126,MATCH($E1224,[1]Esquemas_NORM!$A$2:$A$126,0),MATCH(AA$4,[1]Esquemas_NORM!$H$1:$K$1,0)))</f>
        <v>Región de Planeación y Gestión Aeroportuaria de Oriente</v>
      </c>
      <c r="AB1224" s="17" t="str">
        <f>IF($E1224="","",INDEX([1]Esquemas_NORM!$H$2:$K$126,MATCH($E1224,[1]Esquemas_NORM!$A$2:$A$126,0),MATCH(AB$4,[1]Esquemas_NORM!$H$1:$K$1,0)))</f>
        <v>A la fecha no ha conformado un EAT Área Metropolitana</v>
      </c>
      <c r="AC1224" s="17" t="str">
        <f>IF($E1224="","",INDEX([1]Esquemas_NORM!$H$2:$K$126,MATCH($E1224,[1]Esquemas_NORM!$A$2:$A$126,0),MATCH(AC$4,[1]Esquemas_NORM!$H$1:$K$1,0)))</f>
        <v>MUNICIPIOS ASOCIADOS DEL ALTIPLANO DEL ORIENTE ANTIOQUEÑO - MASORA</v>
      </c>
      <c r="AD1224" s="23"/>
    </row>
    <row r="1225" spans="1:30" x14ac:dyDescent="0.25">
      <c r="A1225" s="51">
        <v>2024</v>
      </c>
      <c r="B1225" s="52" t="s">
        <v>36</v>
      </c>
      <c r="C1225" s="52" t="s">
        <v>200</v>
      </c>
      <c r="D1225" s="52" t="s">
        <v>205</v>
      </c>
      <c r="E1225" s="52" t="s">
        <v>240</v>
      </c>
      <c r="F1225" s="52" t="s">
        <v>203</v>
      </c>
      <c r="G1225" s="52" t="s">
        <v>241</v>
      </c>
      <c r="H1225" s="53">
        <v>16.259581096525917</v>
      </c>
      <c r="I1225" s="53">
        <v>1.3005710778762681E-2</v>
      </c>
      <c r="J1225" s="54">
        <v>16.27258680730468</v>
      </c>
      <c r="K1225" s="53">
        <v>13.644853508514098</v>
      </c>
      <c r="L1225" s="53">
        <v>28.591913447754639</v>
      </c>
      <c r="M1225" s="54">
        <v>42.236766956268738</v>
      </c>
      <c r="N1225" s="53">
        <v>572.62232205243026</v>
      </c>
      <c r="O1225" s="53">
        <v>14.014579333900119</v>
      </c>
      <c r="P1225" s="53">
        <v>5.6043936315195104</v>
      </c>
      <c r="Q1225" s="53">
        <v>2.9944666238765971</v>
      </c>
      <c r="R1225" s="53">
        <v>8.7036533063558696</v>
      </c>
      <c r="S1225" s="53">
        <v>32.500185028574471</v>
      </c>
      <c r="T1225" s="53">
        <v>20.915961306842199</v>
      </c>
      <c r="U1225" s="53">
        <v>5.5593167755974164</v>
      </c>
      <c r="V1225" s="54">
        <v>662.9148780590964</v>
      </c>
      <c r="W1225" s="54">
        <v>934.29291244888816</v>
      </c>
      <c r="X1225" s="53">
        <v>102.43845419715319</v>
      </c>
      <c r="Y1225" s="55">
        <v>1036.2904994428104</v>
      </c>
      <c r="Z1225" s="17" t="str">
        <f>SUBSTITUTE(SUBSTITUTE(SUBSTITUTE(SUBSTITUTE(IF(E1225="","",VLOOKUP(E1225,[1]Esquemas_NORM!$A$2:$H$126,8,FALSE)),"PROVINCIA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25" s="17" t="str">
        <f>IF($E1225="","",INDEX([1]Esquemas_NORM!$H$2:$K$126,MATCH($E1225,[1]Esquemas_NORM!$A$2:$A$126,0),MATCH(AA$4,[1]Esquemas_NORM!$H$1:$K$1,0)))</f>
        <v>A la fecha no ha conformado un EAT Región</v>
      </c>
      <c r="AB1225" s="17" t="str">
        <f>IF($E1225="","",INDEX([1]Esquemas_NORM!$H$2:$K$126,MATCH($E1225,[1]Esquemas_NORM!$A$2:$A$126,0),MATCH(AB$4,[1]Esquemas_NORM!$H$1:$K$1,0)))</f>
        <v>A la fecha no ha conformado un EAT Área Metropolitana</v>
      </c>
      <c r="AC1225" s="17" t="str">
        <f>IF($E1225="","",INDEX([1]Esquemas_NORM!$H$2:$K$126,MATCH($E1225,[1]Esquemas_NORM!$A$2:$A$126,0),MATCH(AC$4,[1]Esquemas_NORM!$H$1:$K$1,0)))</f>
        <v>A la fecha no ha conformado un EAT asociación - unión</v>
      </c>
      <c r="AD1225" s="23"/>
    </row>
    <row r="1226" spans="1:30" x14ac:dyDescent="0.25">
      <c r="A1226" s="51">
        <v>2024</v>
      </c>
      <c r="B1226" s="52" t="s">
        <v>36</v>
      </c>
      <c r="C1226" s="52" t="s">
        <v>200</v>
      </c>
      <c r="D1226" s="52" t="s">
        <v>210</v>
      </c>
      <c r="E1226" s="52" t="s">
        <v>242</v>
      </c>
      <c r="F1226" s="52" t="s">
        <v>203</v>
      </c>
      <c r="G1226" s="52" t="s">
        <v>243</v>
      </c>
      <c r="H1226" s="53">
        <v>5.9773529089908379</v>
      </c>
      <c r="I1226" s="53">
        <v>0</v>
      </c>
      <c r="J1226" s="54">
        <v>5.9773529089908379</v>
      </c>
      <c r="K1226" s="53">
        <v>0.3627119030687303</v>
      </c>
      <c r="L1226" s="53">
        <v>2.4444549341055954</v>
      </c>
      <c r="M1226" s="54">
        <v>2.8071668371743259</v>
      </c>
      <c r="N1226" s="53">
        <v>19.435456491274103</v>
      </c>
      <c r="O1226" s="53">
        <v>4.0174744187328306</v>
      </c>
      <c r="P1226" s="53">
        <v>1.1383923619228684</v>
      </c>
      <c r="Q1226" s="53">
        <v>0.64073772637674609</v>
      </c>
      <c r="R1226" s="53">
        <v>2.5619844274079711</v>
      </c>
      <c r="S1226" s="53">
        <v>2.7230760598367016</v>
      </c>
      <c r="T1226" s="53">
        <v>4.4142721263030431</v>
      </c>
      <c r="U1226" s="53">
        <v>1.8503893007683589</v>
      </c>
      <c r="V1226" s="54">
        <v>36.781782912622617</v>
      </c>
      <c r="W1226" s="54">
        <v>54.61004465621221</v>
      </c>
      <c r="X1226" s="53">
        <v>5.9875960565260344</v>
      </c>
      <c r="Y1226" s="55">
        <v>60.571871730297033</v>
      </c>
      <c r="Z1226" s="17" t="str">
        <f>SUBSTITUTE(SUBSTITUTE(SUBSTITUTE(SUBSTITUTE(IF(E1226="","",VLOOKUP(E1226,[1]Esquemas_NORM!$A$2:$H$126,8,FALSE)),"PROVINCIA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26" s="17" t="str">
        <f>IF($E1226="","",INDEX([1]Esquemas_NORM!$H$2:$K$126,MATCH($E1226,[1]Esquemas_NORM!$A$2:$A$126,0),MATCH(AA$4,[1]Esquemas_NORM!$H$1:$K$1,0)))</f>
        <v>A la fecha no ha conformado un EAT Región</v>
      </c>
      <c r="AB1226" s="17" t="str">
        <f>IF($E1226="","",INDEX([1]Esquemas_NORM!$H$2:$K$126,MATCH($E1226,[1]Esquemas_NORM!$A$2:$A$126,0),MATCH(AB$4,[1]Esquemas_NORM!$H$1:$K$1,0)))</f>
        <v>A la fecha no ha conformado un EAT Área Metropolitana</v>
      </c>
      <c r="AC1226" s="17" t="str">
        <f>IF($E1226="","",INDEX([1]Esquemas_NORM!$H$2:$K$126,MATCH($E1226,[1]Esquemas_NORM!$A$2:$A$126,0),MATCH(AC$4,[1]Esquemas_NORM!$H$1:$K$1,0)))</f>
        <v>A la fecha no ha conformado un EAT asociación - unión</v>
      </c>
      <c r="AD1226" s="23"/>
    </row>
    <row r="1227" spans="1:30" x14ac:dyDescent="0.25">
      <c r="A1227" s="51">
        <v>2024</v>
      </c>
      <c r="B1227" s="52" t="s">
        <v>36</v>
      </c>
      <c r="C1227" s="52" t="s">
        <v>200</v>
      </c>
      <c r="D1227" s="52" t="s">
        <v>210</v>
      </c>
      <c r="E1227" s="52" t="s">
        <v>244</v>
      </c>
      <c r="F1227" s="52" t="s">
        <v>203</v>
      </c>
      <c r="G1227" s="52" t="s">
        <v>245</v>
      </c>
      <c r="H1227" s="53">
        <v>6.8458293263034546</v>
      </c>
      <c r="I1227" s="53">
        <v>0.27734109401928142</v>
      </c>
      <c r="J1227" s="54">
        <v>7.1231704203227357</v>
      </c>
      <c r="K1227" s="53">
        <v>2.4522220852892831</v>
      </c>
      <c r="L1227" s="53">
        <v>3.9195264956271161</v>
      </c>
      <c r="M1227" s="54">
        <v>6.3717485809163996</v>
      </c>
      <c r="N1227" s="53">
        <v>2.7659597181690323</v>
      </c>
      <c r="O1227" s="53">
        <v>34.152836585405105</v>
      </c>
      <c r="P1227" s="53">
        <v>5.6893012560527882</v>
      </c>
      <c r="Q1227" s="53">
        <v>4.0984404492090336</v>
      </c>
      <c r="R1227" s="53">
        <v>10.368729597094955</v>
      </c>
      <c r="S1227" s="53">
        <v>13.960877884227662</v>
      </c>
      <c r="T1227" s="53">
        <v>26.072240115926078</v>
      </c>
      <c r="U1227" s="53">
        <v>8.7865499891572583</v>
      </c>
      <c r="V1227" s="54">
        <v>105.89493559524192</v>
      </c>
      <c r="W1227" s="54">
        <v>120.50318712982676</v>
      </c>
      <c r="X1227" s="53">
        <v>13.21230210668508</v>
      </c>
      <c r="Y1227" s="55">
        <v>133.65862708719823</v>
      </c>
      <c r="Z1227" s="17" t="str">
        <f>SUBSTITUTE(SUBSTITUTE(SUBSTITUTE(SUBSTITUTE(IF(E1227="","",VLOOKUP(E1227,[1]Esquemas_NORM!$A$2:$H$126,8,FALSE)),"PROVINCIA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27" s="17" t="str">
        <f>IF($E1227="","",INDEX([1]Esquemas_NORM!$H$2:$K$126,MATCH($E1227,[1]Esquemas_NORM!$A$2:$A$126,0),MATCH(AA$4,[1]Esquemas_NORM!$H$1:$K$1,0)))</f>
        <v>A la fecha no ha conformado un EAT Región</v>
      </c>
      <c r="AB1227" s="17" t="str">
        <f>IF($E1227="","",INDEX([1]Esquemas_NORM!$H$2:$K$126,MATCH($E1227,[1]Esquemas_NORM!$A$2:$A$126,0),MATCH(AB$4,[1]Esquemas_NORM!$H$1:$K$1,0)))</f>
        <v>A la fecha no ha conformado un EAT Área Metropolitana</v>
      </c>
      <c r="AC1227" s="17" t="str">
        <f>IF($E1227="","",INDEX([1]Esquemas_NORM!$H$2:$K$126,MATCH($E1227,[1]Esquemas_NORM!$A$2:$A$126,0),MATCH(AC$4,[1]Esquemas_NORM!$H$1:$K$1,0)))</f>
        <v>A la fecha no ha conformado un EAT asociación - unión</v>
      </c>
      <c r="AD1227" s="23"/>
    </row>
    <row r="1228" spans="1:30" x14ac:dyDescent="0.25">
      <c r="A1228" s="51">
        <v>2024</v>
      </c>
      <c r="B1228" s="52" t="s">
        <v>36</v>
      </c>
      <c r="C1228" s="52" t="s">
        <v>200</v>
      </c>
      <c r="D1228" s="52" t="s">
        <v>205</v>
      </c>
      <c r="E1228" s="52" t="s">
        <v>246</v>
      </c>
      <c r="F1228" s="52" t="s">
        <v>203</v>
      </c>
      <c r="G1228" s="52" t="s">
        <v>247</v>
      </c>
      <c r="H1228" s="53">
        <v>6.4319901016404364</v>
      </c>
      <c r="I1228" s="53">
        <v>0.34987635835354514</v>
      </c>
      <c r="J1228" s="54">
        <v>6.7818664599939815</v>
      </c>
      <c r="K1228" s="53">
        <v>2.0377562992861993</v>
      </c>
      <c r="L1228" s="53">
        <v>4.976616603949938</v>
      </c>
      <c r="M1228" s="54">
        <v>7.0143729032361373</v>
      </c>
      <c r="N1228" s="53">
        <v>70.555319824229926</v>
      </c>
      <c r="O1228" s="53">
        <v>3.1594472490212744</v>
      </c>
      <c r="P1228" s="53">
        <v>0.80075705350516346</v>
      </c>
      <c r="Q1228" s="53">
        <v>0.65944084511817325</v>
      </c>
      <c r="R1228" s="53">
        <v>2.2976901925325475</v>
      </c>
      <c r="S1228" s="53">
        <v>4.6042294823047705</v>
      </c>
      <c r="T1228" s="53">
        <v>3.3814908987018018</v>
      </c>
      <c r="U1228" s="53">
        <v>1.4597562111026157</v>
      </c>
      <c r="V1228" s="54">
        <v>86.91813175651626</v>
      </c>
      <c r="W1228" s="54">
        <v>128.92338659315539</v>
      </c>
      <c r="X1228" s="53">
        <v>14.135516021252792</v>
      </c>
      <c r="Y1228" s="55">
        <v>142.99806720388432</v>
      </c>
      <c r="Z1228" s="17" t="str">
        <f>SUBSTITUTE(SUBSTITUTE(SUBSTITUTE(SUBSTITUTE(IF(E1228="","",VLOOKUP(E1228,[1]Esquemas_NORM!$A$2:$H$126,8,FALSE)),"PROVINCIA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28" s="17" t="str">
        <f>IF($E1228="","",INDEX([1]Esquemas_NORM!$H$2:$K$126,MATCH($E1228,[1]Esquemas_NORM!$A$2:$A$126,0),MATCH(AA$4,[1]Esquemas_NORM!$H$1:$K$1,0)))</f>
        <v>A la fecha no ha conformado un EAT Región</v>
      </c>
      <c r="AB1228" s="17" t="str">
        <f>IF($E1228="","",INDEX([1]Esquemas_NORM!$H$2:$K$126,MATCH($E1228,[1]Esquemas_NORM!$A$2:$A$126,0),MATCH(AB$4,[1]Esquemas_NORM!$H$1:$K$1,0)))</f>
        <v>A la fecha no ha conformado un EAT Área Metropolitana</v>
      </c>
      <c r="AC1228" s="17" t="str">
        <f>IF($E1228="","",INDEX([1]Esquemas_NORM!$H$2:$K$126,MATCH($E1228,[1]Esquemas_NORM!$A$2:$A$126,0),MATCH(AC$4,[1]Esquemas_NORM!$H$1:$K$1,0)))</f>
        <v>A la fecha no ha conformado un EAT asociación - unión</v>
      </c>
      <c r="AD1228" s="23"/>
    </row>
    <row r="1229" spans="1:30" x14ac:dyDescent="0.25">
      <c r="A1229" s="51">
        <v>2024</v>
      </c>
      <c r="B1229" s="52" t="s">
        <v>36</v>
      </c>
      <c r="C1229" s="52" t="s">
        <v>200</v>
      </c>
      <c r="D1229" s="52" t="s">
        <v>215</v>
      </c>
      <c r="E1229" s="52" t="s">
        <v>248</v>
      </c>
      <c r="F1229" s="52" t="s">
        <v>203</v>
      </c>
      <c r="G1229" s="52" t="s">
        <v>249</v>
      </c>
      <c r="H1229" s="53">
        <v>122.00346914860454</v>
      </c>
      <c r="I1229" s="53">
        <v>5.4071294528510267E-3</v>
      </c>
      <c r="J1229" s="54">
        <v>122.00887627805739</v>
      </c>
      <c r="K1229" s="53">
        <v>9.3533935123976644</v>
      </c>
      <c r="L1229" s="53">
        <v>9.4024120208181028</v>
      </c>
      <c r="M1229" s="54">
        <v>18.755805533215767</v>
      </c>
      <c r="N1229" s="53">
        <v>3.8256510330969515</v>
      </c>
      <c r="O1229" s="53">
        <v>50.535939232178087</v>
      </c>
      <c r="P1229" s="53">
        <v>7.2081987267677032</v>
      </c>
      <c r="Q1229" s="53">
        <v>6.9586838282760848</v>
      </c>
      <c r="R1229" s="53">
        <v>44.971238527031829</v>
      </c>
      <c r="S1229" s="53">
        <v>22.888924111386757</v>
      </c>
      <c r="T1229" s="53">
        <v>35.155460292824088</v>
      </c>
      <c r="U1229" s="53">
        <v>16.009851430063101</v>
      </c>
      <c r="V1229" s="54">
        <v>187.55394718162458</v>
      </c>
      <c r="W1229" s="54">
        <v>378.21503856037924</v>
      </c>
      <c r="X1229" s="53">
        <v>41.468540955389976</v>
      </c>
      <c r="Y1229" s="55">
        <v>419.50511021128671</v>
      </c>
      <c r="Z1229" s="17" t="str">
        <f>SUBSTITUTE(SUBSTITUTE(SUBSTITUTE(SUBSTITUTE(IF(E1229="","",VLOOKUP(E1229,[1]Esquemas_NORM!$A$2:$H$126,8,FALSE)),"PROVINCIA ADMINISTRATIVA Y DE PLANIFICACIÓN","PAT"),"PROVINCIA ADMINISTRATIVA Y DE PLANIFICACION","PAT"),"PROVINCIA ADMINISTRATIVA DE PLANIFICACION","PAT"),"PROVINCIA ADMINISTRATIVA Y PLANIFICACION","PAT")</f>
        <v>PAT DEL AGUA, BOSQUES Y EL TURISMO</v>
      </c>
      <c r="AA1229" s="17" t="str">
        <f>IF($E1229="","",INDEX([1]Esquemas_NORM!$H$2:$K$126,MATCH($E1229,[1]Esquemas_NORM!$A$2:$A$126,0),MATCH(AA$4,[1]Esquemas_NORM!$H$1:$K$1,0)))</f>
        <v>A la fecha no ha conformado un EAT Región</v>
      </c>
      <c r="AB1229" s="17" t="str">
        <f>IF($E1229="","",INDEX([1]Esquemas_NORM!$H$2:$K$126,MATCH($E1229,[1]Esquemas_NORM!$A$2:$A$126,0),MATCH(AB$4,[1]Esquemas_NORM!$H$1:$K$1,0)))</f>
        <v>A la fecha no ha conformado un EAT Área Metropolitana</v>
      </c>
      <c r="AC1229" s="17" t="str">
        <f>IF($E1229="","",INDEX([1]Esquemas_NORM!$H$2:$K$126,MATCH($E1229,[1]Esquemas_NORM!$A$2:$A$126,0),MATCH(AC$4,[1]Esquemas_NORM!$H$1:$K$1,0)))</f>
        <v>MUNICIPIOS ASOCIADOS DEL ALTIPLANO DEL ORIENTE ANTIOQUEÑO - MASORA</v>
      </c>
      <c r="AD1229" s="23"/>
    </row>
    <row r="1230" spans="1:30" x14ac:dyDescent="0.25">
      <c r="A1230" s="51">
        <v>2024</v>
      </c>
      <c r="B1230" s="52" t="s">
        <v>36</v>
      </c>
      <c r="C1230" s="52" t="s">
        <v>200</v>
      </c>
      <c r="D1230" s="52" t="s">
        <v>201</v>
      </c>
      <c r="E1230" s="52" t="s">
        <v>250</v>
      </c>
      <c r="F1230" s="52" t="s">
        <v>203</v>
      </c>
      <c r="G1230" s="52" t="s">
        <v>251</v>
      </c>
      <c r="H1230" s="53">
        <v>329.70137030699618</v>
      </c>
      <c r="I1230" s="53">
        <v>8.6871541106794083</v>
      </c>
      <c r="J1230" s="54">
        <v>338.38852441767557</v>
      </c>
      <c r="K1230" s="53">
        <v>274.43214478589795</v>
      </c>
      <c r="L1230" s="53">
        <v>1.9441264415274506</v>
      </c>
      <c r="M1230" s="54">
        <v>276.37627122742538</v>
      </c>
      <c r="N1230" s="53">
        <v>48.554496563108913</v>
      </c>
      <c r="O1230" s="53">
        <v>50.528056999760828</v>
      </c>
      <c r="P1230" s="53">
        <v>17.337295123460105</v>
      </c>
      <c r="Q1230" s="53">
        <v>17.107369989582935</v>
      </c>
      <c r="R1230" s="53">
        <v>41.563340941678149</v>
      </c>
      <c r="S1230" s="53">
        <v>84.176103965258648</v>
      </c>
      <c r="T1230" s="53">
        <v>80.649532461190063</v>
      </c>
      <c r="U1230" s="53">
        <v>22.002270318368435</v>
      </c>
      <c r="V1230" s="54">
        <v>361.91846636240808</v>
      </c>
      <c r="W1230" s="54">
        <v>1103.0474999592757</v>
      </c>
      <c r="X1230" s="53">
        <v>120.94117304778727</v>
      </c>
      <c r="Y1230" s="55">
        <v>1223.4681751419364</v>
      </c>
      <c r="Z1230" s="17" t="str">
        <f>SUBSTITUTE(SUBSTITUTE(SUBSTITUTE(SUBSTITUTE(IF(E1230="","",VLOOKUP(E1230,[1]Esquemas_NORM!$A$2:$H$126,8,FALSE)),"PROVINCIA ADMINISTRATIVA Y DE PLANIFICACIÓN","PAT"),"PROVINCIA ADMINISTRATIVA Y DE PLANIFICACION","PAT"),"PROVINCIA ADMINISTRATIVA DE PLANIFICACION","PAT"),"PROVINCIA ADMINISTRATIVA Y PLANIFICACION","PAT")</f>
        <v>PAT DE LA PAZ</v>
      </c>
      <c r="AA1230" s="17" t="str">
        <f>IF($E1230="","",INDEX([1]Esquemas_NORM!$H$2:$K$126,MATCH($E1230,[1]Esquemas_NORM!$A$2:$A$126,0),MATCH(AA$4,[1]Esquemas_NORM!$H$1:$K$1,0)))</f>
        <v>A la fecha no ha conformado un EAT Región</v>
      </c>
      <c r="AB1230" s="17" t="str">
        <f>IF($E1230="","",INDEX([1]Esquemas_NORM!$H$2:$K$126,MATCH($E1230,[1]Esquemas_NORM!$A$2:$A$126,0),MATCH(AB$4,[1]Esquemas_NORM!$H$1:$K$1,0)))</f>
        <v>A la fecha no ha conformado un EAT Área Metropolitana</v>
      </c>
      <c r="AC1230" s="17" t="str">
        <f>IF($E1230="","",INDEX([1]Esquemas_NORM!$H$2:$K$126,MATCH($E1230,[1]Esquemas_NORM!$A$2:$A$126,0),MATCH(AC$4,[1]Esquemas_NORM!$H$1:$K$1,0)))</f>
        <v>A la fecha no ha conformado un EAT asociación - unión</v>
      </c>
      <c r="AD1230" s="23"/>
    </row>
    <row r="1231" spans="1:30" x14ac:dyDescent="0.25">
      <c r="A1231" s="51">
        <v>2024</v>
      </c>
      <c r="B1231" s="52" t="s">
        <v>36</v>
      </c>
      <c r="C1231" s="52" t="s">
        <v>252</v>
      </c>
      <c r="D1231" s="52" t="s">
        <v>253</v>
      </c>
      <c r="E1231" s="52" t="s">
        <v>254</v>
      </c>
      <c r="F1231" s="52" t="s">
        <v>255</v>
      </c>
      <c r="G1231" s="52" t="s">
        <v>256</v>
      </c>
      <c r="H1231" s="53">
        <v>34.52807951515036</v>
      </c>
      <c r="I1231" s="53">
        <v>4.1030417823856737</v>
      </c>
      <c r="J1231" s="54">
        <v>38.631121297536033</v>
      </c>
      <c r="K1231" s="53">
        <v>194.66981088165156</v>
      </c>
      <c r="L1231" s="53">
        <v>52.443488491580396</v>
      </c>
      <c r="M1231" s="54">
        <v>247.11329937323194</v>
      </c>
      <c r="N1231" s="53">
        <v>16.227735197008819</v>
      </c>
      <c r="O1231" s="53">
        <v>83.509547518546668</v>
      </c>
      <c r="P1231" s="53">
        <v>14.907849322330348</v>
      </c>
      <c r="Q1231" s="53">
        <v>12.628760164879113</v>
      </c>
      <c r="R1231" s="53">
        <v>35.985285791991913</v>
      </c>
      <c r="S1231" s="53">
        <v>40.736115538252605</v>
      </c>
      <c r="T1231" s="53">
        <v>40.710833379487433</v>
      </c>
      <c r="U1231" s="53">
        <v>22.360532859749625</v>
      </c>
      <c r="V1231" s="54">
        <v>267.06665977224657</v>
      </c>
      <c r="W1231" s="54">
        <v>539.88585099028467</v>
      </c>
      <c r="X1231" s="53">
        <v>59.194575150310307</v>
      </c>
      <c r="Y1231" s="55">
        <v>598.82566881340279</v>
      </c>
      <c r="Z1231" s="17" t="str">
        <f>SUBSTITUTE(SUBSTITUTE(SUBSTITUTE(SUBSTITUTE(IF(E1231="","",VLOOKUP(E1231,[1]Esquemas_NORM!$A$2:$H$126,8,FALSE)),"PROVINCIA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231" s="17" t="str">
        <f>IF($E1231="","",INDEX([1]Esquemas_NORM!$H$2:$K$126,MATCH($E1231,[1]Esquemas_NORM!$A$2:$A$126,0),MATCH(AA$4,[1]Esquemas_NORM!$H$1:$K$1,0)))</f>
        <v>A la fecha no ha conformado un EAT Región</v>
      </c>
      <c r="AB1231" s="17" t="str">
        <f>IF($E1231="","",INDEX([1]Esquemas_NORM!$H$2:$K$126,MATCH($E1231,[1]Esquemas_NORM!$A$2:$A$126,0),MATCH(AB$4,[1]Esquemas_NORM!$H$1:$K$1,0)))</f>
        <v>A la fecha no ha conformado un EAT Área Metropolitana</v>
      </c>
      <c r="AC1231" s="17" t="str">
        <f>IF($E1231="","",INDEX([1]Esquemas_NORM!$H$2:$K$126,MATCH($E1231,[1]Esquemas_NORM!$A$2:$A$126,0),MATCH(AC$4,[1]Esquemas_NORM!$H$1:$K$1,0)))</f>
        <v>A la fecha no ha conformado un EAT asociación - unión</v>
      </c>
      <c r="AD1231" s="23"/>
    </row>
    <row r="1232" spans="1:30" x14ac:dyDescent="0.25">
      <c r="A1232" s="51">
        <v>2024</v>
      </c>
      <c r="B1232" s="52" t="s">
        <v>36</v>
      </c>
      <c r="C1232" s="52" t="s">
        <v>252</v>
      </c>
      <c r="D1232" s="52" t="s">
        <v>257</v>
      </c>
      <c r="E1232" s="52" t="s">
        <v>258</v>
      </c>
      <c r="F1232" s="52" t="s">
        <v>255</v>
      </c>
      <c r="G1232" s="52" t="s">
        <v>259</v>
      </c>
      <c r="H1232" s="53">
        <v>78.91308894681579</v>
      </c>
      <c r="I1232" s="53">
        <v>6.4180091801564343</v>
      </c>
      <c r="J1232" s="54">
        <v>85.331098126972222</v>
      </c>
      <c r="K1232" s="53">
        <v>24.209392172751667</v>
      </c>
      <c r="L1232" s="53">
        <v>32.144258243540612</v>
      </c>
      <c r="M1232" s="54">
        <v>56.353650416292282</v>
      </c>
      <c r="N1232" s="53">
        <v>14.687499957457526</v>
      </c>
      <c r="O1232" s="53">
        <v>90.96457134577588</v>
      </c>
      <c r="P1232" s="53">
        <v>22.349805428881957</v>
      </c>
      <c r="Q1232" s="53">
        <v>28.847924953066524</v>
      </c>
      <c r="R1232" s="53">
        <v>50.540163284427599</v>
      </c>
      <c r="S1232" s="53">
        <v>53.648769040214695</v>
      </c>
      <c r="T1232" s="53">
        <v>100.82828487745543</v>
      </c>
      <c r="U1232" s="53">
        <v>31.864802431840303</v>
      </c>
      <c r="V1232" s="54">
        <v>393.73182131911989</v>
      </c>
      <c r="W1232" s="54">
        <v>558.1529772460741</v>
      </c>
      <c r="X1232" s="53">
        <v>61.197433302530186</v>
      </c>
      <c r="Y1232" s="55">
        <v>619.08703346549248</v>
      </c>
      <c r="Z1232" s="17" t="str">
        <f>SUBSTITUTE(SUBSTITUTE(SUBSTITUTE(SUBSTITUTE(IF(E1232="","",VLOOKUP(E1232,[1]Esquemas_NORM!$A$2:$H$126,8,FALSE)),"PROVINCIA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232" s="17" t="str">
        <f>IF($E1232="","",INDEX([1]Esquemas_NORM!$H$2:$K$126,MATCH($E1232,[1]Esquemas_NORM!$A$2:$A$126,0),MATCH(AA$4,[1]Esquemas_NORM!$H$1:$K$1,0)))</f>
        <v>A la fecha no ha conformado un EAT Región</v>
      </c>
      <c r="AB1232" s="17" t="str">
        <f>IF($E1232="","",INDEX([1]Esquemas_NORM!$H$2:$K$126,MATCH($E1232,[1]Esquemas_NORM!$A$2:$A$126,0),MATCH(AB$4,[1]Esquemas_NORM!$H$1:$K$1,0)))</f>
        <v>A la fecha no ha conformado un EAT Área Metropolitana</v>
      </c>
      <c r="AC1232" s="17" t="str">
        <f>IF($E1232="","",INDEX([1]Esquemas_NORM!$H$2:$K$126,MATCH($E1232,[1]Esquemas_NORM!$A$2:$A$126,0),MATCH(AC$4,[1]Esquemas_NORM!$H$1:$K$1,0)))</f>
        <v>A la fecha no ha conformado un EAT asociación - unión</v>
      </c>
      <c r="AD1232" s="23"/>
    </row>
    <row r="1233" spans="1:30" x14ac:dyDescent="0.25">
      <c r="A1233" s="51">
        <v>2024</v>
      </c>
      <c r="B1233" s="52" t="s">
        <v>36</v>
      </c>
      <c r="C1233" s="52" t="s">
        <v>252</v>
      </c>
      <c r="D1233" s="52" t="s">
        <v>253</v>
      </c>
      <c r="E1233" s="52" t="s">
        <v>260</v>
      </c>
      <c r="F1233" s="52" t="s">
        <v>255</v>
      </c>
      <c r="G1233" s="52" t="s">
        <v>261</v>
      </c>
      <c r="H1233" s="53">
        <v>21.595693351619399</v>
      </c>
      <c r="I1233" s="53">
        <v>1.1464379214402229</v>
      </c>
      <c r="J1233" s="54">
        <v>22.742131273059623</v>
      </c>
      <c r="K1233" s="53">
        <v>3.8636138612215665</v>
      </c>
      <c r="L1233" s="53">
        <v>0.54843960415935444</v>
      </c>
      <c r="M1233" s="54">
        <v>4.4120534653809207</v>
      </c>
      <c r="N1233" s="53">
        <v>3.4434874455747635</v>
      </c>
      <c r="O1233" s="53">
        <v>10.084143225781229</v>
      </c>
      <c r="P1233" s="53">
        <v>2.9742263493672425</v>
      </c>
      <c r="Q1233" s="53">
        <v>2.0052925907502139</v>
      </c>
      <c r="R1233" s="53">
        <v>7.2234140088320968</v>
      </c>
      <c r="S1233" s="53">
        <v>7.183163618801415</v>
      </c>
      <c r="T1233" s="53">
        <v>11.146282947810038</v>
      </c>
      <c r="U1233" s="53">
        <v>4.6098817875560583</v>
      </c>
      <c r="V1233" s="54">
        <v>48.669891974473053</v>
      </c>
      <c r="W1233" s="54">
        <v>85.221107082539717</v>
      </c>
      <c r="X1233" s="53">
        <v>9.3438774480477562</v>
      </c>
      <c r="Y1233" s="55">
        <v>94.524771027268756</v>
      </c>
      <c r="Z1233" s="17" t="str">
        <f>SUBSTITUTE(SUBSTITUTE(SUBSTITUTE(SUBSTITUTE(IF(E1233="","",VLOOKUP(E1233,[1]Esquemas_NORM!$A$2:$H$126,8,FALSE)),"PROVINCIA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233" s="17" t="str">
        <f>IF($E1233="","",INDEX([1]Esquemas_NORM!$H$2:$K$126,MATCH($E1233,[1]Esquemas_NORM!$A$2:$A$126,0),MATCH(AA$4,[1]Esquemas_NORM!$H$1:$K$1,0)))</f>
        <v>A la fecha no ha conformado un EAT Región</v>
      </c>
      <c r="AB1233" s="17" t="str">
        <f>IF($E1233="","",INDEX([1]Esquemas_NORM!$H$2:$K$126,MATCH($E1233,[1]Esquemas_NORM!$A$2:$A$126,0),MATCH(AB$4,[1]Esquemas_NORM!$H$1:$K$1,0)))</f>
        <v>A la fecha no ha conformado un EAT Área Metropolitana</v>
      </c>
      <c r="AC1233" s="17" t="str">
        <f>IF($E1233="","",INDEX([1]Esquemas_NORM!$H$2:$K$126,MATCH($E1233,[1]Esquemas_NORM!$A$2:$A$126,0),MATCH(AC$4,[1]Esquemas_NORM!$H$1:$K$1,0)))</f>
        <v>A la fecha no ha conformado un EAT asociación - unión</v>
      </c>
      <c r="AD1233" s="23"/>
    </row>
    <row r="1234" spans="1:30" x14ac:dyDescent="0.25">
      <c r="A1234" s="51">
        <v>2024</v>
      </c>
      <c r="B1234" s="52" t="s">
        <v>36</v>
      </c>
      <c r="C1234" s="52" t="s">
        <v>252</v>
      </c>
      <c r="D1234" s="52" t="s">
        <v>257</v>
      </c>
      <c r="E1234" s="52" t="s">
        <v>262</v>
      </c>
      <c r="F1234" s="52" t="s">
        <v>255</v>
      </c>
      <c r="G1234" s="52" t="s">
        <v>263</v>
      </c>
      <c r="H1234" s="53">
        <v>67.82352734310831</v>
      </c>
      <c r="I1234" s="53">
        <v>0</v>
      </c>
      <c r="J1234" s="54">
        <v>67.82352734310831</v>
      </c>
      <c r="K1234" s="53">
        <v>4.4833297813213555</v>
      </c>
      <c r="L1234" s="53">
        <v>4.7982539027469056</v>
      </c>
      <c r="M1234" s="54">
        <v>9.2815836840682611</v>
      </c>
      <c r="N1234" s="53">
        <v>3.2979489181022226</v>
      </c>
      <c r="O1234" s="53">
        <v>15.346430970637895</v>
      </c>
      <c r="P1234" s="53">
        <v>5.6231366522207367</v>
      </c>
      <c r="Q1234" s="53">
        <v>4.3229870321944048</v>
      </c>
      <c r="R1234" s="53">
        <v>13.630787821496174</v>
      </c>
      <c r="S1234" s="53">
        <v>11.278996247027615</v>
      </c>
      <c r="T1234" s="53">
        <v>23.860149065301446</v>
      </c>
      <c r="U1234" s="53">
        <v>7.21724248601023</v>
      </c>
      <c r="V1234" s="54">
        <v>84.577679192990729</v>
      </c>
      <c r="W1234" s="54">
        <v>189.67260282448726</v>
      </c>
      <c r="X1234" s="53">
        <v>20.79622779750116</v>
      </c>
      <c r="Y1234" s="55">
        <v>210.37932932231959</v>
      </c>
      <c r="Z1234" s="17" t="str">
        <f>SUBSTITUTE(SUBSTITUTE(SUBSTITUTE(SUBSTITUTE(IF(E1234="","",VLOOKUP(E1234,[1]Esquemas_NORM!$A$2:$H$126,8,FALSE)),"PROVINCIA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234" s="17" t="str">
        <f>IF($E1234="","",INDEX([1]Esquemas_NORM!$H$2:$K$126,MATCH($E1234,[1]Esquemas_NORM!$A$2:$A$126,0),MATCH(AA$4,[1]Esquemas_NORM!$H$1:$K$1,0)))</f>
        <v>A la fecha no ha conformado un EAT Región</v>
      </c>
      <c r="AB1234" s="17" t="str">
        <f>IF($E1234="","",INDEX([1]Esquemas_NORM!$H$2:$K$126,MATCH($E1234,[1]Esquemas_NORM!$A$2:$A$126,0),MATCH(AB$4,[1]Esquemas_NORM!$H$1:$K$1,0)))</f>
        <v>A la fecha no ha conformado un EAT Área Metropolitana</v>
      </c>
      <c r="AC1234" s="17" t="str">
        <f>IF($E1234="","",INDEX([1]Esquemas_NORM!$H$2:$K$126,MATCH($E1234,[1]Esquemas_NORM!$A$2:$A$126,0),MATCH(AC$4,[1]Esquemas_NORM!$H$1:$K$1,0)))</f>
        <v>A la fecha no ha conformado un EAT asociación - unión</v>
      </c>
      <c r="AD1234" s="23"/>
    </row>
    <row r="1235" spans="1:30" x14ac:dyDescent="0.25">
      <c r="A1235" s="51">
        <v>2024</v>
      </c>
      <c r="B1235" s="52" t="s">
        <v>36</v>
      </c>
      <c r="C1235" s="52" t="s">
        <v>252</v>
      </c>
      <c r="D1235" s="52" t="s">
        <v>264</v>
      </c>
      <c r="E1235" s="52" t="s">
        <v>265</v>
      </c>
      <c r="F1235" s="52" t="s">
        <v>255</v>
      </c>
      <c r="G1235" s="52" t="s">
        <v>266</v>
      </c>
      <c r="H1235" s="53">
        <v>65.656961615100897</v>
      </c>
      <c r="I1235" s="53">
        <v>0</v>
      </c>
      <c r="J1235" s="54">
        <v>65.656961615100897</v>
      </c>
      <c r="K1235" s="53">
        <v>4.6779891947771679</v>
      </c>
      <c r="L1235" s="53">
        <v>6.4108467716429685</v>
      </c>
      <c r="M1235" s="54">
        <v>11.088835966420136</v>
      </c>
      <c r="N1235" s="53">
        <v>3.2678116570279565</v>
      </c>
      <c r="O1235" s="53">
        <v>21.80662573792792</v>
      </c>
      <c r="P1235" s="53">
        <v>7.5655138873221421</v>
      </c>
      <c r="Q1235" s="53">
        <v>7.3493536931595056</v>
      </c>
      <c r="R1235" s="53">
        <v>16.574718250957186</v>
      </c>
      <c r="S1235" s="53">
        <v>16.302934317123469</v>
      </c>
      <c r="T1235" s="53">
        <v>37.228518368070063</v>
      </c>
      <c r="U1235" s="53">
        <v>10.038839628966594</v>
      </c>
      <c r="V1235" s="54">
        <v>120.13431554055484</v>
      </c>
      <c r="W1235" s="54">
        <v>221.63574519133732</v>
      </c>
      <c r="X1235" s="53">
        <v>24.300754966354059</v>
      </c>
      <c r="Y1235" s="55">
        <v>245.83191632770036</v>
      </c>
      <c r="Z1235" s="17" t="str">
        <f>SUBSTITUTE(SUBSTITUTE(SUBSTITUTE(SUBSTITUTE(IF(E1235="","",VLOOKUP(E1235,[1]Esquemas_NORM!$A$2:$H$126,8,FALSE)),"PROVINCIA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235" s="17" t="str">
        <f>IF($E1235="","",INDEX([1]Esquemas_NORM!$H$2:$K$126,MATCH($E1235,[1]Esquemas_NORM!$A$2:$A$126,0),MATCH(AA$4,[1]Esquemas_NORM!$H$1:$K$1,0)))</f>
        <v>A la fecha no ha conformado un EAT Región</v>
      </c>
      <c r="AB1235" s="17" t="str">
        <f>IF($E1235="","",INDEX([1]Esquemas_NORM!$H$2:$K$126,MATCH($E1235,[1]Esquemas_NORM!$A$2:$A$126,0),MATCH(AB$4,[1]Esquemas_NORM!$H$1:$K$1,0)))</f>
        <v>A la fecha no ha conformado un EAT Área Metropolitana</v>
      </c>
      <c r="AC1235" s="17" t="str">
        <f>IF($E1235="","",INDEX([1]Esquemas_NORM!$H$2:$K$126,MATCH($E1235,[1]Esquemas_NORM!$A$2:$A$126,0),MATCH(AC$4,[1]Esquemas_NORM!$H$1:$K$1,0)))</f>
        <v>A la fecha no ha conformado un EAT asociación - unión</v>
      </c>
      <c r="AD1235" s="23"/>
    </row>
    <row r="1236" spans="1:30" x14ac:dyDescent="0.25">
      <c r="A1236" s="51">
        <v>2024</v>
      </c>
      <c r="B1236" s="52" t="s">
        <v>36</v>
      </c>
      <c r="C1236" s="52" t="s">
        <v>252</v>
      </c>
      <c r="D1236" s="52" t="s">
        <v>267</v>
      </c>
      <c r="E1236" s="52" t="s">
        <v>268</v>
      </c>
      <c r="F1236" s="52" t="s">
        <v>255</v>
      </c>
      <c r="G1236" s="52" t="s">
        <v>269</v>
      </c>
      <c r="H1236" s="53">
        <v>16.853284565884753</v>
      </c>
      <c r="I1236" s="53">
        <v>0</v>
      </c>
      <c r="J1236" s="54">
        <v>16.853284565884753</v>
      </c>
      <c r="K1236" s="53">
        <v>1.8040276470532282</v>
      </c>
      <c r="L1236" s="53">
        <v>1.668898557735532</v>
      </c>
      <c r="M1236" s="54">
        <v>3.4729262047887604</v>
      </c>
      <c r="N1236" s="53">
        <v>1.2132122097493394</v>
      </c>
      <c r="O1236" s="53">
        <v>8.7746350231413341</v>
      </c>
      <c r="P1236" s="53">
        <v>2.1388248485424497</v>
      </c>
      <c r="Q1236" s="53">
        <v>2.0572452678846691</v>
      </c>
      <c r="R1236" s="53">
        <v>5.1402525739123703</v>
      </c>
      <c r="S1236" s="53">
        <v>6.222515289051092</v>
      </c>
      <c r="T1236" s="53">
        <v>13.223079013630693</v>
      </c>
      <c r="U1236" s="53">
        <v>3.0553729130150313</v>
      </c>
      <c r="V1236" s="54">
        <v>41.825137138926983</v>
      </c>
      <c r="W1236" s="54">
        <v>68.360656755587542</v>
      </c>
      <c r="X1236" s="53">
        <v>7.4952511280288938</v>
      </c>
      <c r="Y1236" s="55">
        <v>75.82365036442404</v>
      </c>
      <c r="Z1236" s="17" t="str">
        <f>SUBSTITUTE(SUBSTITUTE(SUBSTITUTE(SUBSTITUTE(IF(E1236="","",VLOOKUP(E1236,[1]Esquemas_NORM!$A$2:$H$126,8,FALSE)),"PROVINCIA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36" s="17" t="str">
        <f>IF($E1236="","",INDEX([1]Esquemas_NORM!$H$2:$K$126,MATCH($E1236,[1]Esquemas_NORM!$A$2:$A$126,0),MATCH(AA$4,[1]Esquemas_NORM!$H$1:$K$1,0)))</f>
        <v>A la fecha no ha conformado un EAT Región</v>
      </c>
      <c r="AB1236" s="17" t="str">
        <f>IF($E1236="","",INDEX([1]Esquemas_NORM!$H$2:$K$126,MATCH($E1236,[1]Esquemas_NORM!$A$2:$A$126,0),MATCH(AB$4,[1]Esquemas_NORM!$H$1:$K$1,0)))</f>
        <v>A la fecha no ha conformado un EAT Área Metropolitana</v>
      </c>
      <c r="AC1236" s="17" t="str">
        <f>IF($E1236="","",INDEX([1]Esquemas_NORM!$H$2:$K$126,MATCH($E1236,[1]Esquemas_NORM!$A$2:$A$126,0),MATCH(AC$4,[1]Esquemas_NORM!$H$1:$K$1,0)))</f>
        <v>A la fecha no ha conformado un EAT asociación - unión</v>
      </c>
      <c r="AD1236" s="23"/>
    </row>
    <row r="1237" spans="1:30" x14ac:dyDescent="0.25">
      <c r="A1237" s="51">
        <v>2024</v>
      </c>
      <c r="B1237" s="52" t="s">
        <v>36</v>
      </c>
      <c r="C1237" s="52" t="s">
        <v>252</v>
      </c>
      <c r="D1237" s="52" t="s">
        <v>257</v>
      </c>
      <c r="E1237" s="52" t="s">
        <v>270</v>
      </c>
      <c r="F1237" s="52" t="s">
        <v>255</v>
      </c>
      <c r="G1237" s="52" t="s">
        <v>271</v>
      </c>
      <c r="H1237" s="53">
        <v>72.808833664731779</v>
      </c>
      <c r="I1237" s="53">
        <v>0</v>
      </c>
      <c r="J1237" s="54">
        <v>72.808833664731779</v>
      </c>
      <c r="K1237" s="53">
        <v>7.0002850020206502</v>
      </c>
      <c r="L1237" s="53">
        <v>9.5321603248467639</v>
      </c>
      <c r="M1237" s="54">
        <v>16.532445326867414</v>
      </c>
      <c r="N1237" s="53">
        <v>10.27658411574461</v>
      </c>
      <c r="O1237" s="53">
        <v>56.56633449095002</v>
      </c>
      <c r="P1237" s="53">
        <v>12.532145353335636</v>
      </c>
      <c r="Q1237" s="53">
        <v>17.539301679300717</v>
      </c>
      <c r="R1237" s="53">
        <v>25.227885166038792</v>
      </c>
      <c r="S1237" s="53">
        <v>31.909225142389822</v>
      </c>
      <c r="T1237" s="53">
        <v>79.259800930322513</v>
      </c>
      <c r="U1237" s="53">
        <v>19.130818902234871</v>
      </c>
      <c r="V1237" s="54">
        <v>252.44209578031698</v>
      </c>
      <c r="W1237" s="54">
        <v>367.72726874623049</v>
      </c>
      <c r="X1237" s="53">
        <v>40.318632919687317</v>
      </c>
      <c r="Y1237" s="55">
        <v>407.87238125239162</v>
      </c>
      <c r="Z1237" s="17" t="str">
        <f>SUBSTITUTE(SUBSTITUTE(SUBSTITUTE(SUBSTITUTE(IF(E1237="","",VLOOKUP(E1237,[1]Esquemas_NORM!$A$2:$H$126,8,FALSE)),"PROVINCIA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237" s="17" t="str">
        <f>IF($E1237="","",INDEX([1]Esquemas_NORM!$H$2:$K$126,MATCH($E1237,[1]Esquemas_NORM!$A$2:$A$126,0),MATCH(AA$4,[1]Esquemas_NORM!$H$1:$K$1,0)))</f>
        <v>A la fecha no ha conformado un EAT Región</v>
      </c>
      <c r="AB1237" s="17" t="str">
        <f>IF($E1237="","",INDEX([1]Esquemas_NORM!$H$2:$K$126,MATCH($E1237,[1]Esquemas_NORM!$A$2:$A$126,0),MATCH(AB$4,[1]Esquemas_NORM!$H$1:$K$1,0)))</f>
        <v>A la fecha no ha conformado un EAT Área Metropolitana</v>
      </c>
      <c r="AC1237" s="17" t="str">
        <f>IF($E1237="","",INDEX([1]Esquemas_NORM!$H$2:$K$126,MATCH($E1237,[1]Esquemas_NORM!$A$2:$A$126,0),MATCH(AC$4,[1]Esquemas_NORM!$H$1:$K$1,0)))</f>
        <v>A la fecha no ha conformado un EAT asociación - unión</v>
      </c>
      <c r="AD1237" s="23"/>
    </row>
    <row r="1238" spans="1:30" x14ac:dyDescent="0.25">
      <c r="A1238" s="51">
        <v>2024</v>
      </c>
      <c r="B1238" s="52" t="s">
        <v>36</v>
      </c>
      <c r="C1238" s="52" t="s">
        <v>252</v>
      </c>
      <c r="D1238" s="52" t="s">
        <v>264</v>
      </c>
      <c r="E1238" s="52" t="s">
        <v>272</v>
      </c>
      <c r="F1238" s="52" t="s">
        <v>255</v>
      </c>
      <c r="G1238" s="52" t="s">
        <v>273</v>
      </c>
      <c r="H1238" s="53">
        <v>141.14529080252504</v>
      </c>
      <c r="I1238" s="53">
        <v>0</v>
      </c>
      <c r="J1238" s="54">
        <v>141.14529080252504</v>
      </c>
      <c r="K1238" s="53">
        <v>10.739884293825718</v>
      </c>
      <c r="L1238" s="53">
        <v>8.3346334761224927</v>
      </c>
      <c r="M1238" s="54">
        <v>19.074517769948208</v>
      </c>
      <c r="N1238" s="53">
        <v>9.0262199266732193</v>
      </c>
      <c r="O1238" s="53">
        <v>33.177725466559622</v>
      </c>
      <c r="P1238" s="53">
        <v>8.4708250105382845</v>
      </c>
      <c r="Q1238" s="53">
        <v>9.1491568932304403</v>
      </c>
      <c r="R1238" s="53">
        <v>25.228374234348589</v>
      </c>
      <c r="S1238" s="53">
        <v>21.393863761154275</v>
      </c>
      <c r="T1238" s="53">
        <v>42.996942514809611</v>
      </c>
      <c r="U1238" s="53">
        <v>14.533787751671348</v>
      </c>
      <c r="V1238" s="54">
        <v>163.9768955589854</v>
      </c>
      <c r="W1238" s="54">
        <v>385.17008260648828</v>
      </c>
      <c r="X1238" s="53">
        <v>42.231111185195957</v>
      </c>
      <c r="Y1238" s="55">
        <v>427.21944259265263</v>
      </c>
      <c r="Z1238" s="17" t="str">
        <f>SUBSTITUTE(SUBSTITUTE(SUBSTITUTE(SUBSTITUTE(IF(E1238="","",VLOOKUP(E1238,[1]Esquemas_NORM!$A$2:$H$126,8,FALSE)),"PROVINCIA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238" s="17" t="str">
        <f>IF($E1238="","",INDEX([1]Esquemas_NORM!$H$2:$K$126,MATCH($E1238,[1]Esquemas_NORM!$A$2:$A$126,0),MATCH(AA$4,[1]Esquemas_NORM!$H$1:$K$1,0)))</f>
        <v>A la fecha no ha conformado un EAT Región</v>
      </c>
      <c r="AB1238" s="17" t="str">
        <f>IF($E1238="","",INDEX([1]Esquemas_NORM!$H$2:$K$126,MATCH($E1238,[1]Esquemas_NORM!$A$2:$A$126,0),MATCH(AB$4,[1]Esquemas_NORM!$H$1:$K$1,0)))</f>
        <v>A la fecha no ha conformado un EAT Área Metropolitana</v>
      </c>
      <c r="AC1238" s="17" t="str">
        <f>IF($E1238="","",INDEX([1]Esquemas_NORM!$H$2:$K$126,MATCH($E1238,[1]Esquemas_NORM!$A$2:$A$126,0),MATCH(AC$4,[1]Esquemas_NORM!$H$1:$K$1,0)))</f>
        <v>A la fecha no ha conformado un EAT asociación - unión</v>
      </c>
      <c r="AD1238" s="23"/>
    </row>
    <row r="1239" spans="1:30" x14ac:dyDescent="0.25">
      <c r="A1239" s="51">
        <v>2024</v>
      </c>
      <c r="B1239" s="52" t="s">
        <v>36</v>
      </c>
      <c r="C1239" s="52" t="s">
        <v>252</v>
      </c>
      <c r="D1239" s="52" t="s">
        <v>253</v>
      </c>
      <c r="E1239" s="52" t="s">
        <v>274</v>
      </c>
      <c r="F1239" s="52" t="s">
        <v>255</v>
      </c>
      <c r="G1239" s="52" t="s">
        <v>275</v>
      </c>
      <c r="H1239" s="53">
        <v>135.0949947054892</v>
      </c>
      <c r="I1239" s="53">
        <v>2.7519762296079211</v>
      </c>
      <c r="J1239" s="54">
        <v>137.84697093509712</v>
      </c>
      <c r="K1239" s="53">
        <v>11.118868754620676</v>
      </c>
      <c r="L1239" s="53">
        <v>11.217216417712828</v>
      </c>
      <c r="M1239" s="54">
        <v>22.336085172333505</v>
      </c>
      <c r="N1239" s="53">
        <v>6.5593822978269554</v>
      </c>
      <c r="O1239" s="53">
        <v>48.254701841798585</v>
      </c>
      <c r="P1239" s="53">
        <v>10.768692987747745</v>
      </c>
      <c r="Q1239" s="53">
        <v>10.028328587665932</v>
      </c>
      <c r="R1239" s="53">
        <v>36.817401568431059</v>
      </c>
      <c r="S1239" s="53">
        <v>28.783238512462951</v>
      </c>
      <c r="T1239" s="53">
        <v>41.484296497819045</v>
      </c>
      <c r="U1239" s="53">
        <v>20.117231291185245</v>
      </c>
      <c r="V1239" s="54">
        <v>202.81327358493752</v>
      </c>
      <c r="W1239" s="54">
        <v>419.99299389470349</v>
      </c>
      <c r="X1239" s="53">
        <v>46.049191313474267</v>
      </c>
      <c r="Y1239" s="55">
        <v>465.84400203229643</v>
      </c>
      <c r="Z1239" s="17" t="str">
        <f>SUBSTITUTE(SUBSTITUTE(SUBSTITUTE(SUBSTITUTE(IF(E1239="","",VLOOKUP(E1239,[1]Esquemas_NORM!$A$2:$H$126,8,FALSE)),"PROVINCIA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39" s="17" t="str">
        <f>IF($E1239="","",INDEX([1]Esquemas_NORM!$H$2:$K$126,MATCH($E1239,[1]Esquemas_NORM!$A$2:$A$126,0),MATCH(AA$4,[1]Esquemas_NORM!$H$1:$K$1,0)))</f>
        <v>A la fecha no ha conformado un EAT Región</v>
      </c>
      <c r="AB1239" s="17" t="str">
        <f>IF($E1239="","",INDEX([1]Esquemas_NORM!$H$2:$K$126,MATCH($E1239,[1]Esquemas_NORM!$A$2:$A$126,0),MATCH(AB$4,[1]Esquemas_NORM!$H$1:$K$1,0)))</f>
        <v>A la fecha no ha conformado un EAT Área Metropolitana</v>
      </c>
      <c r="AC1239" s="17" t="str">
        <f>IF($E1239="","",INDEX([1]Esquemas_NORM!$H$2:$K$126,MATCH($E1239,[1]Esquemas_NORM!$A$2:$A$126,0),MATCH(AC$4,[1]Esquemas_NORM!$H$1:$K$1,0)))</f>
        <v>A la fecha no ha conformado un EAT asociación - unión</v>
      </c>
      <c r="AD1239" s="23"/>
    </row>
    <row r="1240" spans="1:30" x14ac:dyDescent="0.25">
      <c r="A1240" s="51">
        <v>2024</v>
      </c>
      <c r="B1240" s="52" t="s">
        <v>36</v>
      </c>
      <c r="C1240" s="52" t="s">
        <v>252</v>
      </c>
      <c r="D1240" s="52" t="s">
        <v>257</v>
      </c>
      <c r="E1240" s="52" t="s">
        <v>276</v>
      </c>
      <c r="F1240" s="52" t="s">
        <v>255</v>
      </c>
      <c r="G1240" s="52" t="s">
        <v>277</v>
      </c>
      <c r="H1240" s="53">
        <v>21.323532005467122</v>
      </c>
      <c r="I1240" s="53">
        <v>0</v>
      </c>
      <c r="J1240" s="54">
        <v>21.323532005467122</v>
      </c>
      <c r="K1240" s="53">
        <v>2.5420884570449225</v>
      </c>
      <c r="L1240" s="53">
        <v>1.4946240010499936</v>
      </c>
      <c r="M1240" s="54">
        <v>4.0367124580949163</v>
      </c>
      <c r="N1240" s="53">
        <v>2.2649013136001348</v>
      </c>
      <c r="O1240" s="53">
        <v>9.8043944814267689</v>
      </c>
      <c r="P1240" s="53">
        <v>2.7107610297654054</v>
      </c>
      <c r="Q1240" s="53">
        <v>1.838436570315116</v>
      </c>
      <c r="R1240" s="53">
        <v>6.0331648818260373</v>
      </c>
      <c r="S1240" s="53">
        <v>6.1863619467881907</v>
      </c>
      <c r="T1240" s="53">
        <v>12.599408291880653</v>
      </c>
      <c r="U1240" s="53">
        <v>3.4908391600030719</v>
      </c>
      <c r="V1240" s="54">
        <v>44.928267675605376</v>
      </c>
      <c r="W1240" s="54">
        <v>78.836263642737961</v>
      </c>
      <c r="X1240" s="53">
        <v>8.6438255868496405</v>
      </c>
      <c r="Y1240" s="55">
        <v>87.442888558789477</v>
      </c>
      <c r="Z1240" s="17" t="str">
        <f>SUBSTITUTE(SUBSTITUTE(SUBSTITUTE(SUBSTITUTE(IF(E1240="","",VLOOKUP(E1240,[1]Esquemas_NORM!$A$2:$H$126,8,FALSE)),"PROVINCIA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240" s="17" t="str">
        <f>IF($E1240="","",INDEX([1]Esquemas_NORM!$H$2:$K$126,MATCH($E1240,[1]Esquemas_NORM!$A$2:$A$126,0),MATCH(AA$4,[1]Esquemas_NORM!$H$1:$K$1,0)))</f>
        <v>A la fecha no ha conformado un EAT Región</v>
      </c>
      <c r="AB1240" s="17" t="str">
        <f>IF($E1240="","",INDEX([1]Esquemas_NORM!$H$2:$K$126,MATCH($E1240,[1]Esquemas_NORM!$A$2:$A$126,0),MATCH(AB$4,[1]Esquemas_NORM!$H$1:$K$1,0)))</f>
        <v>A la fecha no ha conformado un EAT Área Metropolitana</v>
      </c>
      <c r="AC1240" s="17" t="str">
        <f>IF($E1240="","",INDEX([1]Esquemas_NORM!$H$2:$K$126,MATCH($E1240,[1]Esquemas_NORM!$A$2:$A$126,0),MATCH(AC$4,[1]Esquemas_NORM!$H$1:$K$1,0)))</f>
        <v>A la fecha no ha conformado un EAT asociación - unión</v>
      </c>
      <c r="AD1240" s="23"/>
    </row>
    <row r="1241" spans="1:30" x14ac:dyDescent="0.25">
      <c r="A1241" s="51">
        <v>2024</v>
      </c>
      <c r="B1241" s="52" t="s">
        <v>36</v>
      </c>
      <c r="C1241" s="52" t="s">
        <v>252</v>
      </c>
      <c r="D1241" s="52" t="s">
        <v>257</v>
      </c>
      <c r="E1241" s="52" t="s">
        <v>278</v>
      </c>
      <c r="F1241" s="52" t="s">
        <v>255</v>
      </c>
      <c r="G1241" s="52" t="s">
        <v>279</v>
      </c>
      <c r="H1241" s="53">
        <v>63.31382179136336</v>
      </c>
      <c r="I1241" s="53">
        <v>0</v>
      </c>
      <c r="J1241" s="54">
        <v>63.31382179136336</v>
      </c>
      <c r="K1241" s="53">
        <v>6.9676806320810973</v>
      </c>
      <c r="L1241" s="53">
        <v>5.8588946398484296</v>
      </c>
      <c r="M1241" s="54">
        <v>12.826575271929528</v>
      </c>
      <c r="N1241" s="53">
        <v>6.9931480493500739</v>
      </c>
      <c r="O1241" s="53">
        <v>44.525792391709878</v>
      </c>
      <c r="P1241" s="53">
        <v>9.0566415506717135</v>
      </c>
      <c r="Q1241" s="53">
        <v>8.812199168750146</v>
      </c>
      <c r="R1241" s="53">
        <v>22.508385177159276</v>
      </c>
      <c r="S1241" s="53">
        <v>20.781182035655839</v>
      </c>
      <c r="T1241" s="53">
        <v>31.801482588227479</v>
      </c>
      <c r="U1241" s="53">
        <v>11.527755462515612</v>
      </c>
      <c r="V1241" s="54">
        <v>156.00658642404002</v>
      </c>
      <c r="W1241" s="54">
        <v>257.90702084519097</v>
      </c>
      <c r="X1241" s="53">
        <v>28.277637762137889</v>
      </c>
      <c r="Y1241" s="55">
        <v>286.06295935706424</v>
      </c>
      <c r="Z1241" s="17" t="str">
        <f>SUBSTITUTE(SUBSTITUTE(SUBSTITUTE(SUBSTITUTE(IF(E1241="","",VLOOKUP(E1241,[1]Esquemas_NORM!$A$2:$H$126,8,FALSE)),"PROVINCIA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241" s="17" t="str">
        <f>IF($E1241="","",INDEX([1]Esquemas_NORM!$H$2:$K$126,MATCH($E1241,[1]Esquemas_NORM!$A$2:$A$126,0),MATCH(AA$4,[1]Esquemas_NORM!$H$1:$K$1,0)))</f>
        <v>A la fecha no ha conformado un EAT Región</v>
      </c>
      <c r="AB1241" s="17" t="str">
        <f>IF($E1241="","",INDEX([1]Esquemas_NORM!$H$2:$K$126,MATCH($E1241,[1]Esquemas_NORM!$A$2:$A$126,0),MATCH(AB$4,[1]Esquemas_NORM!$H$1:$K$1,0)))</f>
        <v>A la fecha no ha conformado un EAT Área Metropolitana</v>
      </c>
      <c r="AC1241" s="17" t="str">
        <f>IF($E1241="","",INDEX([1]Esquemas_NORM!$H$2:$K$126,MATCH($E1241,[1]Esquemas_NORM!$A$2:$A$126,0),MATCH(AC$4,[1]Esquemas_NORM!$H$1:$K$1,0)))</f>
        <v>A la fecha no ha conformado un EAT asociación - unión</v>
      </c>
      <c r="AD1241" s="23"/>
    </row>
    <row r="1242" spans="1:30" x14ac:dyDescent="0.25">
      <c r="A1242" s="51">
        <v>2024</v>
      </c>
      <c r="B1242" s="52" t="s">
        <v>36</v>
      </c>
      <c r="C1242" s="52" t="s">
        <v>252</v>
      </c>
      <c r="D1242" s="52" t="s">
        <v>267</v>
      </c>
      <c r="E1242" s="52" t="s">
        <v>280</v>
      </c>
      <c r="F1242" s="52" t="s">
        <v>255</v>
      </c>
      <c r="G1242" s="52" t="s">
        <v>281</v>
      </c>
      <c r="H1242" s="53">
        <v>109.16055184474662</v>
      </c>
      <c r="I1242" s="53">
        <v>0</v>
      </c>
      <c r="J1242" s="54">
        <v>109.16055184474662</v>
      </c>
      <c r="K1242" s="53">
        <v>4.7884685391697026</v>
      </c>
      <c r="L1242" s="53">
        <v>9.2422119201717177</v>
      </c>
      <c r="M1242" s="54">
        <v>14.03068045934142</v>
      </c>
      <c r="N1242" s="53">
        <v>24.773426597270447</v>
      </c>
      <c r="O1242" s="53">
        <v>27.314890068511154</v>
      </c>
      <c r="P1242" s="53">
        <v>4.9594148422062272</v>
      </c>
      <c r="Q1242" s="53">
        <v>4.4601855864135711</v>
      </c>
      <c r="R1242" s="53">
        <v>14.432869720294876</v>
      </c>
      <c r="S1242" s="53">
        <v>12.374177722198354</v>
      </c>
      <c r="T1242" s="53">
        <v>15.700238282962157</v>
      </c>
      <c r="U1242" s="53">
        <v>7.1208481957012282</v>
      </c>
      <c r="V1242" s="54">
        <v>111.13605101555802</v>
      </c>
      <c r="W1242" s="54">
        <v>291.90602213226572</v>
      </c>
      <c r="X1242" s="53">
        <v>32.005382123331209</v>
      </c>
      <c r="Y1242" s="55">
        <v>323.77366180901839</v>
      </c>
      <c r="Z1242" s="17" t="str">
        <f>SUBSTITUTE(SUBSTITUTE(SUBSTITUTE(SUBSTITUTE(IF(E1242="","",VLOOKUP(E1242,[1]Esquemas_NORM!$A$2:$H$126,8,FALSE)),"PROVINCIA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42" s="17" t="str">
        <f>IF($E1242="","",INDEX([1]Esquemas_NORM!$H$2:$K$126,MATCH($E1242,[1]Esquemas_NORM!$A$2:$A$126,0),MATCH(AA$4,[1]Esquemas_NORM!$H$1:$K$1,0)))</f>
        <v>A la fecha no ha conformado un EAT Región</v>
      </c>
      <c r="AB1242" s="17" t="str">
        <f>IF($E1242="","",INDEX([1]Esquemas_NORM!$H$2:$K$126,MATCH($E1242,[1]Esquemas_NORM!$A$2:$A$126,0),MATCH(AB$4,[1]Esquemas_NORM!$H$1:$K$1,0)))</f>
        <v>A la fecha no ha conformado un EAT Área Metropolitana</v>
      </c>
      <c r="AC1242" s="17" t="str">
        <f>IF($E1242="","",INDEX([1]Esquemas_NORM!$H$2:$K$126,MATCH($E1242,[1]Esquemas_NORM!$A$2:$A$126,0),MATCH(AC$4,[1]Esquemas_NORM!$H$1:$K$1,0)))</f>
        <v>A la fecha no ha conformado un EAT asociación - unión</v>
      </c>
      <c r="AD1242" s="23"/>
    </row>
    <row r="1243" spans="1:30" x14ac:dyDescent="0.25">
      <c r="A1243" s="51">
        <v>2024</v>
      </c>
      <c r="B1243" s="52" t="s">
        <v>36</v>
      </c>
      <c r="C1243" s="52" t="s">
        <v>252</v>
      </c>
      <c r="D1243" s="52" t="s">
        <v>267</v>
      </c>
      <c r="E1243" s="52" t="s">
        <v>282</v>
      </c>
      <c r="F1243" s="52" t="s">
        <v>255</v>
      </c>
      <c r="G1243" s="52" t="s">
        <v>283</v>
      </c>
      <c r="H1243" s="53">
        <v>14.131512240939239</v>
      </c>
      <c r="I1243" s="53">
        <v>3.5438085607642149</v>
      </c>
      <c r="J1243" s="54">
        <v>17.675320801703453</v>
      </c>
      <c r="K1243" s="53">
        <v>18.781361114403484</v>
      </c>
      <c r="L1243" s="53">
        <v>19.31371293718491</v>
      </c>
      <c r="M1243" s="54">
        <v>38.095074051588398</v>
      </c>
      <c r="N1243" s="53">
        <v>3.859479362225287</v>
      </c>
      <c r="O1243" s="53">
        <v>46.991549065719404</v>
      </c>
      <c r="P1243" s="53">
        <v>4.0250649784354575</v>
      </c>
      <c r="Q1243" s="53">
        <v>2.7593999393035893</v>
      </c>
      <c r="R1243" s="53">
        <v>7.1925047615420024</v>
      </c>
      <c r="S1243" s="53">
        <v>13.162699256006967</v>
      </c>
      <c r="T1243" s="53">
        <v>15.917869283743837</v>
      </c>
      <c r="U1243" s="53">
        <v>5.168109398762585</v>
      </c>
      <c r="V1243" s="54">
        <v>99.07667604573912</v>
      </c>
      <c r="W1243" s="54">
        <v>162.52598815949912</v>
      </c>
      <c r="X1243" s="53">
        <v>17.819798022748568</v>
      </c>
      <c r="Y1243" s="55">
        <v>180.26909462556605</v>
      </c>
      <c r="Z1243" s="17" t="str">
        <f>SUBSTITUTE(SUBSTITUTE(SUBSTITUTE(SUBSTITUTE(IF(E1243="","",VLOOKUP(E1243,[1]Esquemas_NORM!$A$2:$H$126,8,FALSE)),"PROVINCIA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43" s="17" t="str">
        <f>IF($E1243="","",INDEX([1]Esquemas_NORM!$H$2:$K$126,MATCH($E1243,[1]Esquemas_NORM!$A$2:$A$126,0),MATCH(AA$4,[1]Esquemas_NORM!$H$1:$K$1,0)))</f>
        <v>A la fecha no ha conformado un EAT Región</v>
      </c>
      <c r="AB1243" s="17" t="str">
        <f>IF($E1243="","",INDEX([1]Esquemas_NORM!$H$2:$K$126,MATCH($E1243,[1]Esquemas_NORM!$A$2:$A$126,0),MATCH(AB$4,[1]Esquemas_NORM!$H$1:$K$1,0)))</f>
        <v>A la fecha no ha conformado un EAT Área Metropolitana</v>
      </c>
      <c r="AC1243" s="17" t="str">
        <f>IF($E1243="","",INDEX([1]Esquemas_NORM!$H$2:$K$126,MATCH($E1243,[1]Esquemas_NORM!$A$2:$A$126,0),MATCH(AC$4,[1]Esquemas_NORM!$H$1:$K$1,0)))</f>
        <v>A la fecha no ha conformado un EAT asociación - unión</v>
      </c>
      <c r="AD1243" s="23"/>
    </row>
    <row r="1244" spans="1:30" x14ac:dyDescent="0.25">
      <c r="A1244" s="51">
        <v>2024</v>
      </c>
      <c r="B1244" s="52" t="s">
        <v>36</v>
      </c>
      <c r="C1244" s="52" t="s">
        <v>252</v>
      </c>
      <c r="D1244" s="52" t="s">
        <v>267</v>
      </c>
      <c r="E1244" s="52" t="s">
        <v>284</v>
      </c>
      <c r="F1244" s="52" t="s">
        <v>255</v>
      </c>
      <c r="G1244" s="52" t="s">
        <v>285</v>
      </c>
      <c r="H1244" s="53">
        <v>16.627213086386085</v>
      </c>
      <c r="I1244" s="53">
        <v>0.25947475510233564</v>
      </c>
      <c r="J1244" s="54">
        <v>16.886687841488421</v>
      </c>
      <c r="K1244" s="53">
        <v>0.40477838596586568</v>
      </c>
      <c r="L1244" s="53">
        <v>3.9744334740023928</v>
      </c>
      <c r="M1244" s="54">
        <v>4.3792118599682581</v>
      </c>
      <c r="N1244" s="53">
        <v>1.4114552269379195</v>
      </c>
      <c r="O1244" s="53">
        <v>14.393042834357033</v>
      </c>
      <c r="P1244" s="53">
        <v>2.5683224584218127</v>
      </c>
      <c r="Q1244" s="53">
        <v>2.7176253501503789</v>
      </c>
      <c r="R1244" s="53">
        <v>10.846332555203722</v>
      </c>
      <c r="S1244" s="53">
        <v>7.6366383692153335</v>
      </c>
      <c r="T1244" s="53">
        <v>17.416259515043535</v>
      </c>
      <c r="U1244" s="53">
        <v>4.3043542717943231</v>
      </c>
      <c r="V1244" s="54">
        <v>61.294030581124055</v>
      </c>
      <c r="W1244" s="54">
        <v>88.097075330453336</v>
      </c>
      <c r="X1244" s="53">
        <v>9.6592065463546302</v>
      </c>
      <c r="Y1244" s="55">
        <v>97.714711282943881</v>
      </c>
      <c r="Z1244" s="17" t="str">
        <f>SUBSTITUTE(SUBSTITUTE(SUBSTITUTE(SUBSTITUTE(IF(E1244="","",VLOOKUP(E1244,[1]Esquemas_NORM!$A$2:$H$126,8,FALSE)),"PROVINCIA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44" s="17" t="str">
        <f>IF($E1244="","",INDEX([1]Esquemas_NORM!$H$2:$K$126,MATCH($E1244,[1]Esquemas_NORM!$A$2:$A$126,0),MATCH(AA$4,[1]Esquemas_NORM!$H$1:$K$1,0)))</f>
        <v>A la fecha no ha conformado un EAT Región</v>
      </c>
      <c r="AB1244" s="17" t="str">
        <f>IF($E1244="","",INDEX([1]Esquemas_NORM!$H$2:$K$126,MATCH($E1244,[1]Esquemas_NORM!$A$2:$A$126,0),MATCH(AB$4,[1]Esquemas_NORM!$H$1:$K$1,0)))</f>
        <v>A la fecha no ha conformado un EAT Área Metropolitana</v>
      </c>
      <c r="AC1244" s="17" t="str">
        <f>IF($E1244="","",INDEX([1]Esquemas_NORM!$H$2:$K$126,MATCH($E1244,[1]Esquemas_NORM!$A$2:$A$126,0),MATCH(AC$4,[1]Esquemas_NORM!$H$1:$K$1,0)))</f>
        <v>A la fecha no ha conformado un EAT asociación - unión</v>
      </c>
      <c r="AD1244" s="23"/>
    </row>
    <row r="1245" spans="1:30" x14ac:dyDescent="0.25">
      <c r="A1245" s="51">
        <v>2024</v>
      </c>
      <c r="B1245" s="52" t="s">
        <v>36</v>
      </c>
      <c r="C1245" s="52" t="s">
        <v>252</v>
      </c>
      <c r="D1245" s="52" t="s">
        <v>267</v>
      </c>
      <c r="E1245" s="52" t="s">
        <v>286</v>
      </c>
      <c r="F1245" s="52" t="s">
        <v>255</v>
      </c>
      <c r="G1245" s="52" t="s">
        <v>287</v>
      </c>
      <c r="H1245" s="53">
        <v>31.148873160635873</v>
      </c>
      <c r="I1245" s="53">
        <v>0</v>
      </c>
      <c r="J1245" s="54">
        <v>31.148873160635873</v>
      </c>
      <c r="K1245" s="53">
        <v>1.9018167293425723</v>
      </c>
      <c r="L1245" s="53">
        <v>3.9856884181574599</v>
      </c>
      <c r="M1245" s="54">
        <v>5.8875051475000326</v>
      </c>
      <c r="N1245" s="53">
        <v>2.2073839987607604</v>
      </c>
      <c r="O1245" s="53">
        <v>15.042155474797752</v>
      </c>
      <c r="P1245" s="53">
        <v>3.5592914581981328</v>
      </c>
      <c r="Q1245" s="53">
        <v>2.9980601344134259</v>
      </c>
      <c r="R1245" s="53">
        <v>10.456138709672064</v>
      </c>
      <c r="S1245" s="53">
        <v>8.8170229239881426</v>
      </c>
      <c r="T1245" s="53">
        <v>19.730474117649496</v>
      </c>
      <c r="U1245" s="53">
        <v>5.3439732407115121</v>
      </c>
      <c r="V1245" s="54">
        <v>68.154500058191275</v>
      </c>
      <c r="W1245" s="54">
        <v>117.20897925783011</v>
      </c>
      <c r="X1245" s="53">
        <v>12.851116061365648</v>
      </c>
      <c r="Y1245" s="55">
        <v>130.0047876162368</v>
      </c>
      <c r="Z1245" s="17" t="str">
        <f>SUBSTITUTE(SUBSTITUTE(SUBSTITUTE(SUBSTITUTE(IF(E1245="","",VLOOKUP(E1245,[1]Esquemas_NORM!$A$2:$H$126,8,FALSE)),"PROVINCIA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45" s="17" t="str">
        <f>IF($E1245="","",INDEX([1]Esquemas_NORM!$H$2:$K$126,MATCH($E1245,[1]Esquemas_NORM!$A$2:$A$126,0),MATCH(AA$4,[1]Esquemas_NORM!$H$1:$K$1,0)))</f>
        <v>A la fecha no ha conformado un EAT Región</v>
      </c>
      <c r="AB1245" s="17" t="str">
        <f>IF($E1245="","",INDEX([1]Esquemas_NORM!$H$2:$K$126,MATCH($E1245,[1]Esquemas_NORM!$A$2:$A$126,0),MATCH(AB$4,[1]Esquemas_NORM!$H$1:$K$1,0)))</f>
        <v>A la fecha no ha conformado un EAT Área Metropolitana</v>
      </c>
      <c r="AC1245" s="17" t="str">
        <f>IF($E1245="","",INDEX([1]Esquemas_NORM!$H$2:$K$126,MATCH($E1245,[1]Esquemas_NORM!$A$2:$A$126,0),MATCH(AC$4,[1]Esquemas_NORM!$H$1:$K$1,0)))</f>
        <v>A la fecha no ha conformado un EAT asociación - unión</v>
      </c>
      <c r="AD1245" s="23"/>
    </row>
    <row r="1246" spans="1:30" x14ac:dyDescent="0.25">
      <c r="A1246" s="51">
        <v>2024</v>
      </c>
      <c r="B1246" s="52" t="s">
        <v>36</v>
      </c>
      <c r="C1246" s="52" t="s">
        <v>252</v>
      </c>
      <c r="D1246" s="52" t="s">
        <v>264</v>
      </c>
      <c r="E1246" s="52" t="s">
        <v>288</v>
      </c>
      <c r="F1246" s="52" t="s">
        <v>255</v>
      </c>
      <c r="G1246" s="52" t="s">
        <v>289</v>
      </c>
      <c r="H1246" s="53">
        <v>91.083339462730635</v>
      </c>
      <c r="I1246" s="53">
        <v>0</v>
      </c>
      <c r="J1246" s="54">
        <v>91.083339462730635</v>
      </c>
      <c r="K1246" s="53">
        <v>7.2320654204850365</v>
      </c>
      <c r="L1246" s="53">
        <v>7.5334580216676814</v>
      </c>
      <c r="M1246" s="54">
        <v>14.765523442152718</v>
      </c>
      <c r="N1246" s="53">
        <v>20.650874384891846</v>
      </c>
      <c r="O1246" s="53">
        <v>31.159601099081588</v>
      </c>
      <c r="P1246" s="53">
        <v>7.5001604399705908</v>
      </c>
      <c r="Q1246" s="53">
        <v>8.1664161400309645</v>
      </c>
      <c r="R1246" s="53">
        <v>17.028851336877423</v>
      </c>
      <c r="S1246" s="53">
        <v>17.747561058445577</v>
      </c>
      <c r="T1246" s="53">
        <v>32.065413883948928</v>
      </c>
      <c r="U1246" s="53">
        <v>12.824487685317902</v>
      </c>
      <c r="V1246" s="54">
        <v>147.14336602856483</v>
      </c>
      <c r="W1246" s="54">
        <v>296.98197627263653</v>
      </c>
      <c r="X1246" s="53">
        <v>32.561923748330493</v>
      </c>
      <c r="Y1246" s="55">
        <v>329.40376237083274</v>
      </c>
      <c r="Z1246" s="17" t="str">
        <f>SUBSTITUTE(SUBSTITUTE(SUBSTITUTE(SUBSTITUTE(IF(E1246="","",VLOOKUP(E1246,[1]Esquemas_NORM!$A$2:$H$126,8,FALSE)),"PROVINCIA ADMINISTRATIVA Y DE PLANIFICACIÓN","PAT"),"PROVINCIA ADMINISTRATIVA Y DE PLANIFICACION","PAT"),"PROVINCIA ADMINISTRATIVA DE PLANIFICACION","PAT"),"PROVINCIA ADMINISTRATIVA Y PLANIFICACION","PAT")</f>
        <v>PAT SAN JUAN</v>
      </c>
      <c r="AA1246" s="17" t="str">
        <f>IF($E1246="","",INDEX([1]Esquemas_NORM!$H$2:$K$126,MATCH($E1246,[1]Esquemas_NORM!$A$2:$A$126,0),MATCH(AA$4,[1]Esquemas_NORM!$H$1:$K$1,0)))</f>
        <v>A la fecha no ha conformado un EAT Región</v>
      </c>
      <c r="AB1246" s="17" t="str">
        <f>IF($E1246="","",INDEX([1]Esquemas_NORM!$H$2:$K$126,MATCH($E1246,[1]Esquemas_NORM!$A$2:$A$126,0),MATCH(AB$4,[1]Esquemas_NORM!$H$1:$K$1,0)))</f>
        <v>A la fecha no ha conformado un EAT Área Metropolitana</v>
      </c>
      <c r="AC1246" s="17" t="str">
        <f>IF($E1246="","",INDEX([1]Esquemas_NORM!$H$2:$K$126,MATCH($E1246,[1]Esquemas_NORM!$A$2:$A$126,0),MATCH(AC$4,[1]Esquemas_NORM!$H$1:$K$1,0)))</f>
        <v>A la fecha no ha conformado un EAT asociación - unión</v>
      </c>
      <c r="AD1246" s="23"/>
    </row>
    <row r="1247" spans="1:30" x14ac:dyDescent="0.25">
      <c r="A1247" s="51">
        <v>2024</v>
      </c>
      <c r="B1247" s="52" t="s">
        <v>36</v>
      </c>
      <c r="C1247" s="52" t="s">
        <v>252</v>
      </c>
      <c r="D1247" s="52" t="s">
        <v>267</v>
      </c>
      <c r="E1247" s="52" t="s">
        <v>290</v>
      </c>
      <c r="F1247" s="52" t="s">
        <v>255</v>
      </c>
      <c r="G1247" s="52" t="s">
        <v>291</v>
      </c>
      <c r="H1247" s="53">
        <v>87.302247698676751</v>
      </c>
      <c r="I1247" s="53">
        <v>7.4159367352107528E-2</v>
      </c>
      <c r="J1247" s="54">
        <v>87.376407066028861</v>
      </c>
      <c r="K1247" s="53">
        <v>7.205328708274795</v>
      </c>
      <c r="L1247" s="53">
        <v>10.980074084167189</v>
      </c>
      <c r="M1247" s="54">
        <v>18.185402792441984</v>
      </c>
      <c r="N1247" s="53">
        <v>6.7690422690632648</v>
      </c>
      <c r="O1247" s="53">
        <v>61.607444420090793</v>
      </c>
      <c r="P1247" s="53">
        <v>11.090279965685575</v>
      </c>
      <c r="Q1247" s="53">
        <v>11.00710926381071</v>
      </c>
      <c r="R1247" s="53">
        <v>33.980698423551935</v>
      </c>
      <c r="S1247" s="53">
        <v>29.012191242527472</v>
      </c>
      <c r="T1247" s="53">
        <v>43.150262480663685</v>
      </c>
      <c r="U1247" s="53">
        <v>20.825595934367406</v>
      </c>
      <c r="V1247" s="54">
        <v>217.44262399976085</v>
      </c>
      <c r="W1247" s="54">
        <v>357.32679030558648</v>
      </c>
      <c r="X1247" s="53">
        <v>39.178295751141029</v>
      </c>
      <c r="Y1247" s="55">
        <v>396.33647334375388</v>
      </c>
      <c r="Z1247" s="17" t="str">
        <f>SUBSTITUTE(SUBSTITUTE(SUBSTITUTE(SUBSTITUTE(IF(E1247="","",VLOOKUP(E1247,[1]Esquemas_NORM!$A$2:$H$126,8,FALSE)),"PROVINCIA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47" s="17" t="str">
        <f>IF($E1247="","",INDEX([1]Esquemas_NORM!$H$2:$K$126,MATCH($E1247,[1]Esquemas_NORM!$A$2:$A$126,0),MATCH(AA$4,[1]Esquemas_NORM!$H$1:$K$1,0)))</f>
        <v>A la fecha no ha conformado un EAT Región</v>
      </c>
      <c r="AB1247" s="17" t="str">
        <f>IF($E1247="","",INDEX([1]Esquemas_NORM!$H$2:$K$126,MATCH($E1247,[1]Esquemas_NORM!$A$2:$A$126,0),MATCH(AB$4,[1]Esquemas_NORM!$H$1:$K$1,0)))</f>
        <v>A la fecha no ha conformado un EAT Área Metropolitana</v>
      </c>
      <c r="AC1247" s="17" t="str">
        <f>IF($E1247="","",INDEX([1]Esquemas_NORM!$H$2:$K$126,MATCH($E1247,[1]Esquemas_NORM!$A$2:$A$126,0),MATCH(AC$4,[1]Esquemas_NORM!$H$1:$K$1,0)))</f>
        <v>A la fecha no ha conformado un EAT asociación - unión</v>
      </c>
      <c r="AD1247" s="23"/>
    </row>
    <row r="1248" spans="1:30" x14ac:dyDescent="0.25">
      <c r="A1248" s="51">
        <v>2024</v>
      </c>
      <c r="B1248" s="52" t="s">
        <v>36</v>
      </c>
      <c r="C1248" s="52" t="s">
        <v>252</v>
      </c>
      <c r="D1248" s="52" t="s">
        <v>267</v>
      </c>
      <c r="E1248" s="52" t="s">
        <v>292</v>
      </c>
      <c r="F1248" s="52" t="s">
        <v>255</v>
      </c>
      <c r="G1248" s="52" t="s">
        <v>293</v>
      </c>
      <c r="H1248" s="53">
        <v>99.732946014481456</v>
      </c>
      <c r="I1248" s="53">
        <v>0</v>
      </c>
      <c r="J1248" s="54">
        <v>99.732946014481456</v>
      </c>
      <c r="K1248" s="53">
        <v>13.741454694429935</v>
      </c>
      <c r="L1248" s="53">
        <v>13.042832736388917</v>
      </c>
      <c r="M1248" s="54">
        <v>26.78428743081885</v>
      </c>
      <c r="N1248" s="53">
        <v>5.7265910263112447</v>
      </c>
      <c r="O1248" s="53">
        <v>37.027859747592011</v>
      </c>
      <c r="P1248" s="53">
        <v>5.8126217191480913</v>
      </c>
      <c r="Q1248" s="53">
        <v>8.4460320758996748</v>
      </c>
      <c r="R1248" s="53">
        <v>15.934051867958399</v>
      </c>
      <c r="S1248" s="53">
        <v>20.254253263454963</v>
      </c>
      <c r="T1248" s="53">
        <v>37.898092950984399</v>
      </c>
      <c r="U1248" s="53">
        <v>11.932435273880053</v>
      </c>
      <c r="V1248" s="54">
        <v>143.03193792522885</v>
      </c>
      <c r="W1248" s="54">
        <v>311.83063407080755</v>
      </c>
      <c r="X1248" s="53">
        <v>34.189971581593035</v>
      </c>
      <c r="Y1248" s="55">
        <v>345.87346132786286</v>
      </c>
      <c r="Z1248" s="17" t="str">
        <f>SUBSTITUTE(SUBSTITUTE(SUBSTITUTE(SUBSTITUTE(IF(E1248="","",VLOOKUP(E1248,[1]Esquemas_NORM!$A$2:$H$126,8,FALSE)),"PROVINCIA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48" s="17" t="str">
        <f>IF($E1248="","",INDEX([1]Esquemas_NORM!$H$2:$K$126,MATCH($E1248,[1]Esquemas_NORM!$A$2:$A$126,0),MATCH(AA$4,[1]Esquemas_NORM!$H$1:$K$1,0)))</f>
        <v>A la fecha no ha conformado un EAT Región</v>
      </c>
      <c r="AB1248" s="17" t="str">
        <f>IF($E1248="","",INDEX([1]Esquemas_NORM!$H$2:$K$126,MATCH($E1248,[1]Esquemas_NORM!$A$2:$A$126,0),MATCH(AB$4,[1]Esquemas_NORM!$H$1:$K$1,0)))</f>
        <v>A la fecha no ha conformado un EAT Área Metropolitana</v>
      </c>
      <c r="AC1248" s="17" t="str">
        <f>IF($E1248="","",INDEX([1]Esquemas_NORM!$H$2:$K$126,MATCH($E1248,[1]Esquemas_NORM!$A$2:$A$126,0),MATCH(AC$4,[1]Esquemas_NORM!$H$1:$K$1,0)))</f>
        <v>A la fecha no ha conformado un EAT asociación - unión</v>
      </c>
      <c r="AD1248" s="23"/>
    </row>
    <row r="1249" spans="1:30" x14ac:dyDescent="0.25">
      <c r="A1249" s="51">
        <v>2024</v>
      </c>
      <c r="B1249" s="52" t="s">
        <v>36</v>
      </c>
      <c r="C1249" s="52" t="s">
        <v>252</v>
      </c>
      <c r="D1249" s="52" t="s">
        <v>267</v>
      </c>
      <c r="E1249" s="52" t="s">
        <v>294</v>
      </c>
      <c r="F1249" s="52" t="s">
        <v>255</v>
      </c>
      <c r="G1249" s="52" t="s">
        <v>295</v>
      </c>
      <c r="H1249" s="53">
        <v>33.804212171039786</v>
      </c>
      <c r="I1249" s="53">
        <v>1.674895518272542</v>
      </c>
      <c r="J1249" s="54">
        <v>35.479107689312329</v>
      </c>
      <c r="K1249" s="53">
        <v>2.7029578226662339</v>
      </c>
      <c r="L1249" s="53">
        <v>2.9920133062134471</v>
      </c>
      <c r="M1249" s="54">
        <v>5.6949711288796809</v>
      </c>
      <c r="N1249" s="53">
        <v>2.7928431645638545</v>
      </c>
      <c r="O1249" s="53">
        <v>13.067171855462497</v>
      </c>
      <c r="P1249" s="53">
        <v>3.086866572249618</v>
      </c>
      <c r="Q1249" s="53">
        <v>3.4703700225959615</v>
      </c>
      <c r="R1249" s="53">
        <v>6.9881229185826346</v>
      </c>
      <c r="S1249" s="53">
        <v>8.4251293374554095</v>
      </c>
      <c r="T1249" s="53">
        <v>17.326190537597657</v>
      </c>
      <c r="U1249" s="53">
        <v>4.653071509427134</v>
      </c>
      <c r="V1249" s="54">
        <v>59.809765917934769</v>
      </c>
      <c r="W1249" s="54">
        <v>116.10175765530984</v>
      </c>
      <c r="X1249" s="53">
        <v>12.729717228189944</v>
      </c>
      <c r="Y1249" s="55">
        <v>128.77668964805048</v>
      </c>
      <c r="Z1249" s="17" t="str">
        <f>SUBSTITUTE(SUBSTITUTE(SUBSTITUTE(SUBSTITUTE(IF(E1249="","",VLOOKUP(E1249,[1]Esquemas_NORM!$A$2:$H$126,8,FALSE)),"PROVINCIA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49" s="17" t="str">
        <f>IF($E1249="","",INDEX([1]Esquemas_NORM!$H$2:$K$126,MATCH($E1249,[1]Esquemas_NORM!$A$2:$A$126,0),MATCH(AA$4,[1]Esquemas_NORM!$H$1:$K$1,0)))</f>
        <v>A la fecha no ha conformado un EAT Región</v>
      </c>
      <c r="AB1249" s="17" t="str">
        <f>IF($E1249="","",INDEX([1]Esquemas_NORM!$H$2:$K$126,MATCH($E1249,[1]Esquemas_NORM!$A$2:$A$126,0),MATCH(AB$4,[1]Esquemas_NORM!$H$1:$K$1,0)))</f>
        <v>A la fecha no ha conformado un EAT Área Metropolitana</v>
      </c>
      <c r="AC1249" s="17" t="str">
        <f>IF($E1249="","",INDEX([1]Esquemas_NORM!$H$2:$K$126,MATCH($E1249,[1]Esquemas_NORM!$A$2:$A$126,0),MATCH(AC$4,[1]Esquemas_NORM!$H$1:$K$1,0)))</f>
        <v>A la fecha no ha conformado un EAT asociación - unión</v>
      </c>
      <c r="AD1249" s="23"/>
    </row>
    <row r="1250" spans="1:30" x14ac:dyDescent="0.25">
      <c r="A1250" s="51">
        <v>2024</v>
      </c>
      <c r="B1250" s="52" t="s">
        <v>36</v>
      </c>
      <c r="C1250" s="52" t="s">
        <v>252</v>
      </c>
      <c r="D1250" s="52" t="s">
        <v>253</v>
      </c>
      <c r="E1250" s="52" t="s">
        <v>296</v>
      </c>
      <c r="F1250" s="52" t="s">
        <v>255</v>
      </c>
      <c r="G1250" s="52" t="s">
        <v>297</v>
      </c>
      <c r="H1250" s="53">
        <v>19.398459454782795</v>
      </c>
      <c r="I1250" s="53">
        <v>7.464556059103387</v>
      </c>
      <c r="J1250" s="54">
        <v>26.863015513886182</v>
      </c>
      <c r="K1250" s="53">
        <v>4.1784409205738511</v>
      </c>
      <c r="L1250" s="53">
        <v>2.4314247932492772</v>
      </c>
      <c r="M1250" s="54">
        <v>6.6098657138231278</v>
      </c>
      <c r="N1250" s="53">
        <v>3.9707581850667872</v>
      </c>
      <c r="O1250" s="53">
        <v>21.536968150824247</v>
      </c>
      <c r="P1250" s="53">
        <v>4.7657852575208342</v>
      </c>
      <c r="Q1250" s="53">
        <v>3.3004749921689629</v>
      </c>
      <c r="R1250" s="53">
        <v>11.935414769831491</v>
      </c>
      <c r="S1250" s="53">
        <v>12.912939042499008</v>
      </c>
      <c r="T1250" s="53">
        <v>20.937213343755708</v>
      </c>
      <c r="U1250" s="53">
        <v>7.7687020833125766</v>
      </c>
      <c r="V1250" s="54">
        <v>87.128255824979618</v>
      </c>
      <c r="W1250" s="54">
        <v>131.86963698250219</v>
      </c>
      <c r="X1250" s="53">
        <v>14.458551047575021</v>
      </c>
      <c r="Y1250" s="55">
        <v>146.26596236479261</v>
      </c>
      <c r="Z1250" s="17" t="str">
        <f>SUBSTITUTE(SUBSTITUTE(SUBSTITUTE(SUBSTITUTE(IF(E1250="","",VLOOKUP(E1250,[1]Esquemas_NORM!$A$2:$H$126,8,FALSE)),"PROVINCIA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250" s="17" t="str">
        <f>IF($E1250="","",INDEX([1]Esquemas_NORM!$H$2:$K$126,MATCH($E1250,[1]Esquemas_NORM!$A$2:$A$126,0),MATCH(AA$4,[1]Esquemas_NORM!$H$1:$K$1,0)))</f>
        <v>A la fecha no ha conformado un EAT Región</v>
      </c>
      <c r="AB1250" s="17" t="str">
        <f>IF($E1250="","",INDEX([1]Esquemas_NORM!$H$2:$K$126,MATCH($E1250,[1]Esquemas_NORM!$A$2:$A$126,0),MATCH(AB$4,[1]Esquemas_NORM!$H$1:$K$1,0)))</f>
        <v>A la fecha no ha conformado un EAT Área Metropolitana</v>
      </c>
      <c r="AC1250" s="17" t="str">
        <f>IF($E1250="","",INDEX([1]Esquemas_NORM!$H$2:$K$126,MATCH($E1250,[1]Esquemas_NORM!$A$2:$A$126,0),MATCH(AC$4,[1]Esquemas_NORM!$H$1:$K$1,0)))</f>
        <v>A la fecha no ha conformado un EAT asociación - unión</v>
      </c>
      <c r="AD1250" s="23"/>
    </row>
    <row r="1251" spans="1:30" x14ac:dyDescent="0.25">
      <c r="A1251" s="51">
        <v>2024</v>
      </c>
      <c r="B1251" s="52" t="s">
        <v>36</v>
      </c>
      <c r="C1251" s="52" t="s">
        <v>252</v>
      </c>
      <c r="D1251" s="52" t="s">
        <v>264</v>
      </c>
      <c r="E1251" s="52" t="s">
        <v>298</v>
      </c>
      <c r="F1251" s="52" t="s">
        <v>255</v>
      </c>
      <c r="G1251" s="52" t="s">
        <v>299</v>
      </c>
      <c r="H1251" s="53">
        <v>308.86395260847718</v>
      </c>
      <c r="I1251" s="53">
        <v>0</v>
      </c>
      <c r="J1251" s="54">
        <v>308.86395260847718</v>
      </c>
      <c r="K1251" s="53">
        <v>26.701466222206648</v>
      </c>
      <c r="L1251" s="53">
        <v>11.145187131120093</v>
      </c>
      <c r="M1251" s="54">
        <v>37.846653353326744</v>
      </c>
      <c r="N1251" s="53">
        <v>8.448821035953479</v>
      </c>
      <c r="O1251" s="53">
        <v>55.296436035830936</v>
      </c>
      <c r="P1251" s="53">
        <v>11.172751356816297</v>
      </c>
      <c r="Q1251" s="53">
        <v>14.651342267112794</v>
      </c>
      <c r="R1251" s="53">
        <v>28.515744745078276</v>
      </c>
      <c r="S1251" s="53">
        <v>33.976158815624316</v>
      </c>
      <c r="T1251" s="53">
        <v>72.102679657007897</v>
      </c>
      <c r="U1251" s="53">
        <v>19.296318664390139</v>
      </c>
      <c r="V1251" s="54">
        <v>243.46025257781412</v>
      </c>
      <c r="W1251" s="54">
        <v>727.55105198022102</v>
      </c>
      <c r="X1251" s="53">
        <v>79.770705868841318</v>
      </c>
      <c r="Y1251" s="55">
        <v>806.9784464600807</v>
      </c>
      <c r="Z1251" s="17" t="str">
        <f>SUBSTITUTE(SUBSTITUTE(SUBSTITUTE(SUBSTITUTE(IF(E1251="","",VLOOKUP(E1251,[1]Esquemas_NORM!$A$2:$H$126,8,FALSE)),"PROVINCIA ADMINISTRATIVA Y DE PLANIFICACIÓN","PAT"),"PROVINCIA ADMINISTRATIVA Y DE PLANIFICACION","PAT"),"PROVINCIA ADMINISTRATIVA DE PLANIFICACION","PAT"),"PROVINCIA ADMINISTRATIVA Y PLANIFICACION","PAT")</f>
        <v>PAT DE PENDERISCO Y SINIFANÁ</v>
      </c>
      <c r="AA1251" s="17" t="str">
        <f>IF($E1251="","",INDEX([1]Esquemas_NORM!$H$2:$K$126,MATCH($E1251,[1]Esquemas_NORM!$A$2:$A$126,0),MATCH(AA$4,[1]Esquemas_NORM!$H$1:$K$1,0)))</f>
        <v>A la fecha no ha conformado un EAT Región</v>
      </c>
      <c r="AB1251" s="17" t="str">
        <f>IF($E1251="","",INDEX([1]Esquemas_NORM!$H$2:$K$126,MATCH($E1251,[1]Esquemas_NORM!$A$2:$A$126,0),MATCH(AB$4,[1]Esquemas_NORM!$H$1:$K$1,0)))</f>
        <v>A la fecha no ha conformado un EAT Área Metropolitana</v>
      </c>
      <c r="AC1251" s="17" t="str">
        <f>IF($E1251="","",INDEX([1]Esquemas_NORM!$H$2:$K$126,MATCH($E1251,[1]Esquemas_NORM!$A$2:$A$126,0),MATCH(AC$4,[1]Esquemas_NORM!$H$1:$K$1,0)))</f>
        <v>A la fecha no ha conformado un EAT asociación - unión</v>
      </c>
      <c r="AD1251" s="23"/>
    </row>
    <row r="1252" spans="1:30" x14ac:dyDescent="0.25">
      <c r="A1252" s="51">
        <v>2024</v>
      </c>
      <c r="B1252" s="52" t="s">
        <v>36</v>
      </c>
      <c r="C1252" s="52" t="s">
        <v>252</v>
      </c>
      <c r="D1252" s="52" t="s">
        <v>267</v>
      </c>
      <c r="E1252" s="52" t="s">
        <v>300</v>
      </c>
      <c r="F1252" s="52" t="s">
        <v>255</v>
      </c>
      <c r="G1252" s="52" t="s">
        <v>301</v>
      </c>
      <c r="H1252" s="53">
        <v>102.06758403681474</v>
      </c>
      <c r="I1252" s="53">
        <v>0.47710082639171603</v>
      </c>
      <c r="J1252" s="54">
        <v>102.54468486320646</v>
      </c>
      <c r="K1252" s="53">
        <v>5.7005034122160101</v>
      </c>
      <c r="L1252" s="53">
        <v>4.5293246344930429</v>
      </c>
      <c r="M1252" s="54">
        <v>10.229828046709052</v>
      </c>
      <c r="N1252" s="53">
        <v>2.0180234371886177</v>
      </c>
      <c r="O1252" s="53">
        <v>14.465491002893083</v>
      </c>
      <c r="P1252" s="53">
        <v>2.6225570468082986</v>
      </c>
      <c r="Q1252" s="53">
        <v>2.3414105336473368</v>
      </c>
      <c r="R1252" s="53">
        <v>9.8717630003140684</v>
      </c>
      <c r="S1252" s="53">
        <v>9.2988855314801224</v>
      </c>
      <c r="T1252" s="53">
        <v>17.017373192461545</v>
      </c>
      <c r="U1252" s="53">
        <v>5.814718854909505</v>
      </c>
      <c r="V1252" s="54">
        <v>63.450222599702577</v>
      </c>
      <c r="W1252" s="54">
        <v>222.76677925745668</v>
      </c>
      <c r="X1252" s="53">
        <v>24.424764663769938</v>
      </c>
      <c r="Y1252" s="55">
        <v>247.0864263872781</v>
      </c>
      <c r="Z1252" s="17" t="str">
        <f>SUBSTITUTE(SUBSTITUTE(SUBSTITUTE(SUBSTITUTE(IF(E1252="","",VLOOKUP(E1252,[1]Esquemas_NORM!$A$2:$H$126,8,FALSE)),"PROVINCIA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52" s="17" t="str">
        <f>IF($E1252="","",INDEX([1]Esquemas_NORM!$H$2:$K$126,MATCH($E1252,[1]Esquemas_NORM!$A$2:$A$126,0),MATCH(AA$4,[1]Esquemas_NORM!$H$1:$K$1,0)))</f>
        <v>A la fecha no ha conformado un EAT Región</v>
      </c>
      <c r="AB1252" s="17" t="str">
        <f>IF($E1252="","",INDEX([1]Esquemas_NORM!$H$2:$K$126,MATCH($E1252,[1]Esquemas_NORM!$A$2:$A$126,0),MATCH(AB$4,[1]Esquemas_NORM!$H$1:$K$1,0)))</f>
        <v>A la fecha no ha conformado un EAT Área Metropolitana</v>
      </c>
      <c r="AC1252" s="17" t="str">
        <f>IF($E1252="","",INDEX([1]Esquemas_NORM!$H$2:$K$126,MATCH($E1252,[1]Esquemas_NORM!$A$2:$A$126,0),MATCH(AC$4,[1]Esquemas_NORM!$H$1:$K$1,0)))</f>
        <v>A la fecha no ha conformado un EAT asociación - unión</v>
      </c>
      <c r="AD1252" s="23"/>
    </row>
    <row r="1253" spans="1:30" x14ac:dyDescent="0.25">
      <c r="A1253" s="51">
        <v>2024</v>
      </c>
      <c r="B1253" s="52" t="s">
        <v>36</v>
      </c>
      <c r="C1253" s="52" t="s">
        <v>252</v>
      </c>
      <c r="D1253" s="52" t="s">
        <v>253</v>
      </c>
      <c r="E1253" s="52" t="s">
        <v>302</v>
      </c>
      <c r="F1253" s="52" t="s">
        <v>255</v>
      </c>
      <c r="G1253" s="52" t="s">
        <v>303</v>
      </c>
      <c r="H1253" s="53">
        <v>55.701226801102997</v>
      </c>
      <c r="I1253" s="53">
        <v>8.9237924392941466</v>
      </c>
      <c r="J1253" s="54">
        <v>64.625019240397137</v>
      </c>
      <c r="K1253" s="53">
        <v>5.8300447881352655</v>
      </c>
      <c r="L1253" s="53">
        <v>5.7098453125347017</v>
      </c>
      <c r="M1253" s="54">
        <v>11.539890100669968</v>
      </c>
      <c r="N1253" s="53">
        <v>11.272048395264802</v>
      </c>
      <c r="O1253" s="53">
        <v>34.654839761256561</v>
      </c>
      <c r="P1253" s="53">
        <v>6.4548801510442528</v>
      </c>
      <c r="Q1253" s="53">
        <v>5.1050400331782546</v>
      </c>
      <c r="R1253" s="53">
        <v>18.789683113199054</v>
      </c>
      <c r="S1253" s="53">
        <v>18.572747914732805</v>
      </c>
      <c r="T1253" s="53">
        <v>23.616280259969948</v>
      </c>
      <c r="U1253" s="53">
        <v>10.42824393502843</v>
      </c>
      <c r="V1253" s="54">
        <v>128.8937635636741</v>
      </c>
      <c r="W1253" s="54">
        <v>236.16423258534422</v>
      </c>
      <c r="X1253" s="53">
        <v>25.893698432628451</v>
      </c>
      <c r="Y1253" s="55">
        <v>261.94649159321062</v>
      </c>
      <c r="Z1253" s="17" t="str">
        <f>SUBSTITUTE(SUBSTITUTE(SUBSTITUTE(SUBSTITUTE(IF(E1253="","",VLOOKUP(E1253,[1]Esquemas_NORM!$A$2:$H$126,8,FALSE)),"PROVINCIA ADMINISTRATIVA Y DE PLANIFICACIÓN","PAT"),"PROVINCIA ADMINISTRATIVA Y DE PLANIFICACION","PAT"),"PROVINCIA ADMINISTRATIVA DE PLANIFICACION","PAT"),"PROVINCIA ADMINISTRATIVA Y PLANIFICACION","PAT")</f>
        <v>PAT CARTAMA</v>
      </c>
      <c r="AA1253" s="17" t="str">
        <f>IF($E1253="","",INDEX([1]Esquemas_NORM!$H$2:$K$126,MATCH($E1253,[1]Esquemas_NORM!$A$2:$A$126,0),MATCH(AA$4,[1]Esquemas_NORM!$H$1:$K$1,0)))</f>
        <v>A la fecha no ha conformado un EAT Región</v>
      </c>
      <c r="AB1253" s="17" t="str">
        <f>IF($E1253="","",INDEX([1]Esquemas_NORM!$H$2:$K$126,MATCH($E1253,[1]Esquemas_NORM!$A$2:$A$126,0),MATCH(AB$4,[1]Esquemas_NORM!$H$1:$K$1,0)))</f>
        <v>A la fecha no ha conformado un EAT Área Metropolitana</v>
      </c>
      <c r="AC1253" s="17" t="str">
        <f>IF($E1253="","",INDEX([1]Esquemas_NORM!$H$2:$K$126,MATCH($E1253,[1]Esquemas_NORM!$A$2:$A$126,0),MATCH(AC$4,[1]Esquemas_NORM!$H$1:$K$1,0)))</f>
        <v>A la fecha no ha conformado un EAT asociación - unión</v>
      </c>
      <c r="AD1253" s="23"/>
    </row>
    <row r="1254" spans="1:30" x14ac:dyDescent="0.25">
      <c r="A1254" s="51">
        <v>2024</v>
      </c>
      <c r="B1254" s="52" t="s">
        <v>36</v>
      </c>
      <c r="C1254" s="52" t="s">
        <v>304</v>
      </c>
      <c r="D1254" s="52" t="s">
        <v>305</v>
      </c>
      <c r="E1254" s="52" t="s">
        <v>306</v>
      </c>
      <c r="F1254" s="52" t="s">
        <v>307</v>
      </c>
      <c r="G1254" s="52" t="s">
        <v>308</v>
      </c>
      <c r="H1254" s="53">
        <v>491.97287143496379</v>
      </c>
      <c r="I1254" s="53">
        <v>0.92393182480008695</v>
      </c>
      <c r="J1254" s="54">
        <v>492.89680325976389</v>
      </c>
      <c r="K1254" s="53">
        <v>67.869390103589197</v>
      </c>
      <c r="L1254" s="53">
        <v>80.12143821590432</v>
      </c>
      <c r="M1254" s="54">
        <v>147.99082831949352</v>
      </c>
      <c r="N1254" s="53">
        <v>79.30250919623461</v>
      </c>
      <c r="O1254" s="53">
        <v>449.33842448371223</v>
      </c>
      <c r="P1254" s="53">
        <v>76.615653369883958</v>
      </c>
      <c r="Q1254" s="53">
        <v>91.014331248598523</v>
      </c>
      <c r="R1254" s="53">
        <v>99.417928449639717</v>
      </c>
      <c r="S1254" s="53">
        <v>222.27631951688824</v>
      </c>
      <c r="T1254" s="53">
        <v>406.19550702118335</v>
      </c>
      <c r="U1254" s="53">
        <v>89.083013480518403</v>
      </c>
      <c r="V1254" s="54">
        <v>1513.243686766659</v>
      </c>
      <c r="W1254" s="54">
        <v>2366.2832667127204</v>
      </c>
      <c r="X1254" s="53">
        <v>259.44582989417734</v>
      </c>
      <c r="Y1254" s="55">
        <v>2624.6125124265623</v>
      </c>
      <c r="Z1254" s="17" t="str">
        <f>SUBSTITUTE(SUBSTITUTE(SUBSTITUTE(SUBSTITUTE(IF(E1254="","",VLOOKUP(E1254,[1]Esquemas_NORM!$A$2:$H$126,8,FALSE)),"PROVINCIA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54" s="17" t="str">
        <f>IF($E1254="","",INDEX([1]Esquemas_NORM!$H$2:$K$126,MATCH($E1254,[1]Esquemas_NORM!$A$2:$A$126,0),MATCH(AA$4,[1]Esquemas_NORM!$H$1:$K$1,0)))</f>
        <v>Región de Planeación y Gestión de Urabá - RPG (Acuerdo de Voluntades)</v>
      </c>
      <c r="AB1254" s="17" t="str">
        <f>IF($E1254="","",INDEX([1]Esquemas_NORM!$H$2:$K$126,MATCH($E1254,[1]Esquemas_NORM!$A$2:$A$126,0),MATCH(AB$4,[1]Esquemas_NORM!$H$1:$K$1,0)))</f>
        <v>A la fecha no ha conformado un EAT Área Metropolitana</v>
      </c>
      <c r="AC1254" s="17" t="str">
        <f>IF($E1254="","",INDEX([1]Esquemas_NORM!$H$2:$K$126,MATCH($E1254,[1]Esquemas_NORM!$A$2:$A$126,0),MATCH(AC$4,[1]Esquemas_NORM!$H$1:$K$1,0)))</f>
        <v>ASOCIACIÓN DE MUNICIPIOS DEL URABÁ ANTIOQUEÑO - ASOMURA</v>
      </c>
      <c r="AD1254" s="23"/>
    </row>
    <row r="1255" spans="1:30" x14ac:dyDescent="0.25">
      <c r="A1255" s="51">
        <v>2024</v>
      </c>
      <c r="B1255" s="52" t="s">
        <v>36</v>
      </c>
      <c r="C1255" s="52" t="s">
        <v>304</v>
      </c>
      <c r="D1255" s="52" t="s">
        <v>309</v>
      </c>
      <c r="E1255" s="52" t="s">
        <v>310</v>
      </c>
      <c r="F1255" s="52" t="s">
        <v>307</v>
      </c>
      <c r="G1255" s="52" t="s">
        <v>311</v>
      </c>
      <c r="H1255" s="53">
        <v>60.950263647605667</v>
      </c>
      <c r="I1255" s="53">
        <v>0</v>
      </c>
      <c r="J1255" s="54">
        <v>60.950263647605667</v>
      </c>
      <c r="K1255" s="53">
        <v>0.78753165426252991</v>
      </c>
      <c r="L1255" s="53">
        <v>15.400121526510299</v>
      </c>
      <c r="M1255" s="54">
        <v>16.187653180772827</v>
      </c>
      <c r="N1255" s="53">
        <v>5.7241214459750438</v>
      </c>
      <c r="O1255" s="53">
        <v>57.216890347008281</v>
      </c>
      <c r="P1255" s="53">
        <v>10.527047175590139</v>
      </c>
      <c r="Q1255" s="53">
        <v>11.108564712620714</v>
      </c>
      <c r="R1255" s="53">
        <v>13.589975487409697</v>
      </c>
      <c r="S1255" s="53">
        <v>29.975852990829207</v>
      </c>
      <c r="T1255" s="53">
        <v>83.042809209889398</v>
      </c>
      <c r="U1255" s="53">
        <v>12.004183464508005</v>
      </c>
      <c r="V1255" s="54">
        <v>223.18944483383046</v>
      </c>
      <c r="W1255" s="54">
        <v>323.52834833235823</v>
      </c>
      <c r="X1255" s="53">
        <v>35.472541266790579</v>
      </c>
      <c r="Y1255" s="55">
        <v>358.84822544404972</v>
      </c>
      <c r="Z1255" s="17" t="str">
        <f>SUBSTITUTE(SUBSTITUTE(SUBSTITUTE(SUBSTITUTE(IF(E1255="","",VLOOKUP(E1255,[1]Esquemas_NORM!$A$2:$H$126,8,FALSE)),"PROVINCIA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55" s="17" t="str">
        <f>IF($E1255="","",INDEX([1]Esquemas_NORM!$H$2:$K$126,MATCH($E1255,[1]Esquemas_NORM!$A$2:$A$126,0),MATCH(AA$4,[1]Esquemas_NORM!$H$1:$K$1,0)))</f>
        <v>Región de Planeación y Gestión de Urabá - RPG (Acuerdo de Voluntades)</v>
      </c>
      <c r="AB1255" s="17" t="str">
        <f>IF($E1255="","",INDEX([1]Esquemas_NORM!$H$2:$K$126,MATCH($E1255,[1]Esquemas_NORM!$A$2:$A$126,0),MATCH(AB$4,[1]Esquemas_NORM!$H$1:$K$1,0)))</f>
        <v>A la fecha no ha conformado un EAT Área Metropolitana</v>
      </c>
      <c r="AC1255" s="17" t="str">
        <f>IF($E1255="","",INDEX([1]Esquemas_NORM!$H$2:$K$126,MATCH($E1255,[1]Esquemas_NORM!$A$2:$A$126,0),MATCH(AC$4,[1]Esquemas_NORM!$H$1:$K$1,0)))</f>
        <v>ASOCIACIÓN DE MUNICIPIOS DEL URABÁ ANTIOQUEÑO - ASOMURA /ASOCIACIÓN DE MUNICIPIOS DEL URABÁ NORTE-ASOURANOR</v>
      </c>
      <c r="AD1255" s="23"/>
    </row>
    <row r="1256" spans="1:30" x14ac:dyDescent="0.25">
      <c r="A1256" s="51">
        <v>2024</v>
      </c>
      <c r="B1256" s="52" t="s">
        <v>36</v>
      </c>
      <c r="C1256" s="52" t="s">
        <v>304</v>
      </c>
      <c r="D1256" s="52" t="s">
        <v>305</v>
      </c>
      <c r="E1256" s="52" t="s">
        <v>312</v>
      </c>
      <c r="F1256" s="52" t="s">
        <v>307</v>
      </c>
      <c r="G1256" s="52" t="s">
        <v>313</v>
      </c>
      <c r="H1256" s="53">
        <v>426.14031080175243</v>
      </c>
      <c r="I1256" s="53">
        <v>0.6534949246911157</v>
      </c>
      <c r="J1256" s="54">
        <v>426.79380572644357</v>
      </c>
      <c r="K1256" s="53">
        <v>31.375104274241323</v>
      </c>
      <c r="L1256" s="53">
        <v>23.383403167070686</v>
      </c>
      <c r="M1256" s="54">
        <v>54.758507441312005</v>
      </c>
      <c r="N1256" s="53">
        <v>19.914335273683125</v>
      </c>
      <c r="O1256" s="53">
        <v>118.37532331171715</v>
      </c>
      <c r="P1256" s="53">
        <v>26.22959368265553</v>
      </c>
      <c r="Q1256" s="53">
        <v>23.442441669415757</v>
      </c>
      <c r="R1256" s="53">
        <v>36.850032258346083</v>
      </c>
      <c r="S1256" s="53">
        <v>65.956182934115546</v>
      </c>
      <c r="T1256" s="53">
        <v>122.87335293681988</v>
      </c>
      <c r="U1256" s="53">
        <v>36.419499631183704</v>
      </c>
      <c r="V1256" s="54">
        <v>450.06076169793675</v>
      </c>
      <c r="W1256" s="54">
        <v>1123.4378547199944</v>
      </c>
      <c r="X1256" s="53">
        <v>123.17682783480551</v>
      </c>
      <c r="Y1256" s="55">
        <v>1246.0845630404517</v>
      </c>
      <c r="Z1256" s="17" t="str">
        <f>SUBSTITUTE(SUBSTITUTE(SUBSTITUTE(SUBSTITUTE(IF(E1256="","",VLOOKUP(E1256,[1]Esquemas_NORM!$A$2:$H$126,8,FALSE)),"PROVINCIA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56" s="17" t="str">
        <f>IF($E1256="","",INDEX([1]Esquemas_NORM!$H$2:$K$126,MATCH($E1256,[1]Esquemas_NORM!$A$2:$A$126,0),MATCH(AA$4,[1]Esquemas_NORM!$H$1:$K$1,0)))</f>
        <v>Región de Planeación y Gestión de Urabá - RPG (Acuerdo de Voluntades)</v>
      </c>
      <c r="AB1256" s="17" t="str">
        <f>IF($E1256="","",INDEX([1]Esquemas_NORM!$H$2:$K$126,MATCH($E1256,[1]Esquemas_NORM!$A$2:$A$126,0),MATCH(AB$4,[1]Esquemas_NORM!$H$1:$K$1,0)))</f>
        <v>A la fecha no ha conformado un EAT Área Metropolitana</v>
      </c>
      <c r="AC1256" s="17" t="str">
        <f>IF($E1256="","",INDEX([1]Esquemas_NORM!$H$2:$K$126,MATCH($E1256,[1]Esquemas_NORM!$A$2:$A$126,0),MATCH(AC$4,[1]Esquemas_NORM!$H$1:$K$1,0)))</f>
        <v>ASOCIACIÓN DE MUNICIPIOS DEL URABÁ ANTIOQUEÑO - ASOMURA / ASOCIACIÓN DE MUNICIPIOS DEL CHOCÓ Y URABÁ - ASUMUCUR</v>
      </c>
      <c r="AD1256" s="23"/>
    </row>
    <row r="1257" spans="1:30" x14ac:dyDescent="0.25">
      <c r="A1257" s="51">
        <v>2024</v>
      </c>
      <c r="B1257" s="52" t="s">
        <v>36</v>
      </c>
      <c r="C1257" s="52" t="s">
        <v>304</v>
      </c>
      <c r="D1257" s="52" t="s">
        <v>305</v>
      </c>
      <c r="E1257" s="52" t="s">
        <v>314</v>
      </c>
      <c r="F1257" s="52" t="s">
        <v>307</v>
      </c>
      <c r="G1257" s="52" t="s">
        <v>315</v>
      </c>
      <c r="H1257" s="53">
        <v>367.60011061828948</v>
      </c>
      <c r="I1257" s="53">
        <v>1.5594149761598419</v>
      </c>
      <c r="J1257" s="54">
        <v>369.15952559444929</v>
      </c>
      <c r="K1257" s="53">
        <v>24.207173499837563</v>
      </c>
      <c r="L1257" s="53">
        <v>31.003485346126268</v>
      </c>
      <c r="M1257" s="54">
        <v>55.210658845963835</v>
      </c>
      <c r="N1257" s="53">
        <v>25.413057960609766</v>
      </c>
      <c r="O1257" s="53">
        <v>146.57872144057876</v>
      </c>
      <c r="P1257" s="53">
        <v>37.911600556814136</v>
      </c>
      <c r="Q1257" s="53">
        <v>36.707708202779301</v>
      </c>
      <c r="R1257" s="53">
        <v>54.534241126013868</v>
      </c>
      <c r="S1257" s="53">
        <v>73.525504198156838</v>
      </c>
      <c r="T1257" s="53">
        <v>146.91649805310948</v>
      </c>
      <c r="U1257" s="53">
        <v>39.837470947384823</v>
      </c>
      <c r="V1257" s="54">
        <v>561.424802485447</v>
      </c>
      <c r="W1257" s="54">
        <v>1145.4404524470331</v>
      </c>
      <c r="X1257" s="53">
        <v>125.58925339156731</v>
      </c>
      <c r="Y1257" s="55">
        <v>1270.489203901785</v>
      </c>
      <c r="Z1257" s="17" t="str">
        <f>SUBSTITUTE(SUBSTITUTE(SUBSTITUTE(SUBSTITUTE(IF(E1257="","",VLOOKUP(E1257,[1]Esquemas_NORM!$A$2:$H$126,8,FALSE)),"PROVINCIA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57" s="17" t="str">
        <f>IF($E1257="","",INDEX([1]Esquemas_NORM!$H$2:$K$126,MATCH($E1257,[1]Esquemas_NORM!$A$2:$A$126,0),MATCH(AA$4,[1]Esquemas_NORM!$H$1:$K$1,0)))</f>
        <v>Región de Planeación y Gestión de Urabá - RPG (Acuerdo de Voluntades)</v>
      </c>
      <c r="AB1257" s="17" t="str">
        <f>IF($E1257="","",INDEX([1]Esquemas_NORM!$H$2:$K$126,MATCH($E1257,[1]Esquemas_NORM!$A$2:$A$126,0),MATCH(AB$4,[1]Esquemas_NORM!$H$1:$K$1,0)))</f>
        <v>A la fecha no ha conformado un EAT Área Metropolitana</v>
      </c>
      <c r="AC1257" s="17" t="str">
        <f>IF($E1257="","",INDEX([1]Esquemas_NORM!$H$2:$K$126,MATCH($E1257,[1]Esquemas_NORM!$A$2:$A$126,0),MATCH(AC$4,[1]Esquemas_NORM!$H$1:$K$1,0)))</f>
        <v>ASOCIACIÓN DE MUNICIPIOS DEL URABÁ ANTIOQUEÑO - ASOMURA</v>
      </c>
      <c r="AD1257" s="23"/>
    </row>
    <row r="1258" spans="1:30" x14ac:dyDescent="0.25">
      <c r="A1258" s="51">
        <v>2024</v>
      </c>
      <c r="B1258" s="52" t="s">
        <v>36</v>
      </c>
      <c r="C1258" s="52" t="s">
        <v>304</v>
      </c>
      <c r="D1258" s="52" t="s">
        <v>316</v>
      </c>
      <c r="E1258" s="52" t="s">
        <v>317</v>
      </c>
      <c r="F1258" s="52" t="s">
        <v>307</v>
      </c>
      <c r="G1258" s="52" t="s">
        <v>318</v>
      </c>
      <c r="H1258" s="53">
        <v>2.5041202398636178</v>
      </c>
      <c r="I1258" s="53">
        <v>0</v>
      </c>
      <c r="J1258" s="54">
        <v>2.5041202398636178</v>
      </c>
      <c r="K1258" s="53">
        <v>0.27182257879513766</v>
      </c>
      <c r="L1258" s="53">
        <v>1.6129679058946533</v>
      </c>
      <c r="M1258" s="54">
        <v>1.8847904846897909</v>
      </c>
      <c r="N1258" s="53">
        <v>0.15880176525526449</v>
      </c>
      <c r="O1258" s="53">
        <v>4.4089414036326673</v>
      </c>
      <c r="P1258" s="53">
        <v>1.8666779588985951</v>
      </c>
      <c r="Q1258" s="53">
        <v>1.0120826625961121</v>
      </c>
      <c r="R1258" s="53">
        <v>4.8880632050531228</v>
      </c>
      <c r="S1258" s="53">
        <v>5.4353017924394402</v>
      </c>
      <c r="T1258" s="53">
        <v>20.569534349876594</v>
      </c>
      <c r="U1258" s="53">
        <v>2.430960125640298</v>
      </c>
      <c r="V1258" s="54">
        <v>40.770363263392092</v>
      </c>
      <c r="W1258" s="54">
        <v>43.749615151117332</v>
      </c>
      <c r="X1258" s="53">
        <v>4.7968285835046691</v>
      </c>
      <c r="Y1258" s="55">
        <v>48.525799491026554</v>
      </c>
      <c r="Z1258" s="17" t="str">
        <f>SUBSTITUTE(SUBSTITUTE(SUBSTITUTE(SUBSTITUTE(IF(E1258="","",VLOOKUP(E1258,[1]Esquemas_NORM!$A$2:$H$126,8,FALSE)),"PROVINCIA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58" s="17" t="str">
        <f>IF($E1258="","",INDEX([1]Esquemas_NORM!$H$2:$K$126,MATCH($E1258,[1]Esquemas_NORM!$A$2:$A$126,0),MATCH(AA$4,[1]Esquemas_NORM!$H$1:$K$1,0)))</f>
        <v>Región de Planeación y Gestión de Urabá - RPG (Acuerdo de Voluntades)</v>
      </c>
      <c r="AB1258" s="17" t="str">
        <f>IF($E1258="","",INDEX([1]Esquemas_NORM!$H$2:$K$126,MATCH($E1258,[1]Esquemas_NORM!$A$2:$A$126,0),MATCH(AB$4,[1]Esquemas_NORM!$H$1:$K$1,0)))</f>
        <v>A la fecha no ha conformado un EAT Área Metropolitana</v>
      </c>
      <c r="AC1258" s="17" t="str">
        <f>IF($E1258="","",INDEX([1]Esquemas_NORM!$H$2:$K$126,MATCH($E1258,[1]Esquemas_NORM!$A$2:$A$126,0),MATCH(AC$4,[1]Esquemas_NORM!$H$1:$K$1,0)))</f>
        <v>ASOCIACION DE MUNICIPIOS DE LA CUENCA DEL ATRATO Y DARIEN ASOATRATO / ASOCIACIÓN DE MUNICIPIOS DEL CHOCÓ Y URABÁ - ASUMUCUR</v>
      </c>
      <c r="AD1258" s="23"/>
    </row>
    <row r="1259" spans="1:30" x14ac:dyDescent="0.25">
      <c r="A1259" s="51">
        <v>2024</v>
      </c>
      <c r="B1259" s="52" t="s">
        <v>36</v>
      </c>
      <c r="C1259" s="52" t="s">
        <v>304</v>
      </c>
      <c r="D1259" s="52" t="s">
        <v>305</v>
      </c>
      <c r="E1259" s="52" t="s">
        <v>319</v>
      </c>
      <c r="F1259" s="52" t="s">
        <v>307</v>
      </c>
      <c r="G1259" s="52" t="s">
        <v>320</v>
      </c>
      <c r="H1259" s="53">
        <v>49.52120570914105</v>
      </c>
      <c r="I1259" s="53">
        <v>30.535434519067934</v>
      </c>
      <c r="J1259" s="54">
        <v>80.056640228208977</v>
      </c>
      <c r="K1259" s="53">
        <v>3.0486535893725497</v>
      </c>
      <c r="L1259" s="53">
        <v>8.542811117306389</v>
      </c>
      <c r="M1259" s="54">
        <v>11.591464706678938</v>
      </c>
      <c r="N1259" s="53">
        <v>2.8451356702771791</v>
      </c>
      <c r="O1259" s="53">
        <v>33.946326073590221</v>
      </c>
      <c r="P1259" s="53">
        <v>4.9903511967274206</v>
      </c>
      <c r="Q1259" s="53">
        <v>5.4317756737882634</v>
      </c>
      <c r="R1259" s="53">
        <v>8.0742808123588024</v>
      </c>
      <c r="S1259" s="53">
        <v>16.301270284531498</v>
      </c>
      <c r="T1259" s="53">
        <v>42.124161276518265</v>
      </c>
      <c r="U1259" s="53">
        <v>7.1428642644511395</v>
      </c>
      <c r="V1259" s="54">
        <v>120.85616525224279</v>
      </c>
      <c r="W1259" s="54">
        <v>253.25753967735977</v>
      </c>
      <c r="X1259" s="53">
        <v>27.767855811226482</v>
      </c>
      <c r="Y1259" s="55">
        <v>280.90589020097485</v>
      </c>
      <c r="Z1259" s="17" t="str">
        <f>SUBSTITUTE(SUBSTITUTE(SUBSTITUTE(SUBSTITUTE(IF(E1259="","",VLOOKUP(E1259,[1]Esquemas_NORM!$A$2:$H$126,8,FALSE)),"PROVINCIA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59" s="17" t="str">
        <f>IF($E1259="","",INDEX([1]Esquemas_NORM!$H$2:$K$126,MATCH($E1259,[1]Esquemas_NORM!$A$2:$A$126,0),MATCH(AA$4,[1]Esquemas_NORM!$H$1:$K$1,0)))</f>
        <v>Región de Planeación y Gestión de Urabá - RPG (Acuerdo de Voluntades)</v>
      </c>
      <c r="AB1259" s="17" t="str">
        <f>IF($E1259="","",INDEX([1]Esquemas_NORM!$H$2:$K$126,MATCH($E1259,[1]Esquemas_NORM!$A$2:$A$126,0),MATCH(AB$4,[1]Esquemas_NORM!$H$1:$K$1,0)))</f>
        <v>A la fecha no ha conformado un EAT Área Metropolitana</v>
      </c>
      <c r="AC1259" s="17" t="str">
        <f>IF($E1259="","",INDEX([1]Esquemas_NORM!$H$2:$K$126,MATCH($E1259,[1]Esquemas_NORM!$A$2:$A$126,0),MATCH(AC$4,[1]Esquemas_NORM!$H$1:$K$1,0)))</f>
        <v>ASOCIACIÓN DE MUNICIPIOS DEL URABÁ ANTIOQUEÑO - ASOMURA / ASOCIACIÓN DE MUNICIPIOS DEL CHOCÓ Y URABÁ - ASUMUCUR</v>
      </c>
      <c r="AD1259" s="23"/>
    </row>
    <row r="1260" spans="1:30" x14ac:dyDescent="0.25">
      <c r="A1260" s="51">
        <v>2024</v>
      </c>
      <c r="B1260" s="52" t="s">
        <v>36</v>
      </c>
      <c r="C1260" s="52" t="s">
        <v>304</v>
      </c>
      <c r="D1260" s="52" t="s">
        <v>309</v>
      </c>
      <c r="E1260" s="52" t="s">
        <v>321</v>
      </c>
      <c r="F1260" s="52" t="s">
        <v>307</v>
      </c>
      <c r="G1260" s="52" t="s">
        <v>322</v>
      </c>
      <c r="H1260" s="53">
        <v>173.67082321389131</v>
      </c>
      <c r="I1260" s="53">
        <v>0</v>
      </c>
      <c r="J1260" s="54">
        <v>173.67082321389131</v>
      </c>
      <c r="K1260" s="53">
        <v>12.818071125716772</v>
      </c>
      <c r="L1260" s="53">
        <v>18.774418995243117</v>
      </c>
      <c r="M1260" s="54">
        <v>31.592490120959887</v>
      </c>
      <c r="N1260" s="53">
        <v>10.809722460134239</v>
      </c>
      <c r="O1260" s="53">
        <v>93.684044788741033</v>
      </c>
      <c r="P1260" s="53">
        <v>13.333050439257672</v>
      </c>
      <c r="Q1260" s="53">
        <v>15.877806789341992</v>
      </c>
      <c r="R1260" s="53">
        <v>37.659576871075366</v>
      </c>
      <c r="S1260" s="53">
        <v>45.887608168087077</v>
      </c>
      <c r="T1260" s="53">
        <v>124.07676321313497</v>
      </c>
      <c r="U1260" s="53">
        <v>24.980968078660183</v>
      </c>
      <c r="V1260" s="54">
        <v>366.30954080843247</v>
      </c>
      <c r="W1260" s="54">
        <v>644.19926616848579</v>
      </c>
      <c r="X1260" s="53">
        <v>70.631785965535045</v>
      </c>
      <c r="Y1260" s="55">
        <v>714.52707216691215</v>
      </c>
      <c r="Z1260" s="17" t="str">
        <f>SUBSTITUTE(SUBSTITUTE(SUBSTITUTE(SUBSTITUTE(IF(E1260="","",VLOOKUP(E1260,[1]Esquemas_NORM!$A$2:$H$126,8,FALSE)),"PROVINCIA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60" s="17" t="str">
        <f>IF($E1260="","",INDEX([1]Esquemas_NORM!$H$2:$K$126,MATCH($E1260,[1]Esquemas_NORM!$A$2:$A$126,0),MATCH(AA$4,[1]Esquemas_NORM!$H$1:$K$1,0)))</f>
        <v>Región de Planeación y Gestión de Urabá - RPG (Acuerdo de Voluntades)</v>
      </c>
      <c r="AB1260" s="17" t="str">
        <f>IF($E1260="","",INDEX([1]Esquemas_NORM!$H$2:$K$126,MATCH($E1260,[1]Esquemas_NORM!$A$2:$A$126,0),MATCH(AB$4,[1]Esquemas_NORM!$H$1:$K$1,0)))</f>
        <v>A la fecha no ha conformado un EAT Área Metropolitana</v>
      </c>
      <c r="AC1260" s="17" t="str">
        <f>IF($E1260="","",INDEX([1]Esquemas_NORM!$H$2:$K$126,MATCH($E1260,[1]Esquemas_NORM!$A$2:$A$126,0),MATCH(AC$4,[1]Esquemas_NORM!$H$1:$K$1,0)))</f>
        <v>ASOCIACIÓN DE MUNICIPIOS DEL URABÁ NORTE-ASOURANOR</v>
      </c>
      <c r="AD1260" s="23"/>
    </row>
    <row r="1261" spans="1:30" x14ac:dyDescent="0.25">
      <c r="A1261" s="51">
        <v>2024</v>
      </c>
      <c r="B1261" s="52" t="s">
        <v>36</v>
      </c>
      <c r="C1261" s="52" t="s">
        <v>304</v>
      </c>
      <c r="D1261" s="52" t="s">
        <v>309</v>
      </c>
      <c r="E1261" s="52" t="s">
        <v>323</v>
      </c>
      <c r="F1261" s="52" t="s">
        <v>307</v>
      </c>
      <c r="G1261" s="52" t="s">
        <v>324</v>
      </c>
      <c r="H1261" s="53">
        <v>50.691900878403352</v>
      </c>
      <c r="I1261" s="53">
        <v>0</v>
      </c>
      <c r="J1261" s="54">
        <v>50.691900878403352</v>
      </c>
      <c r="K1261" s="53">
        <v>6.2918947099666571</v>
      </c>
      <c r="L1261" s="53">
        <v>5.4245454189923237</v>
      </c>
      <c r="M1261" s="54">
        <v>11.716440128958981</v>
      </c>
      <c r="N1261" s="53">
        <v>3.5621658033499957</v>
      </c>
      <c r="O1261" s="53">
        <v>25.444488910683461</v>
      </c>
      <c r="P1261" s="53">
        <v>6.4119927253497977</v>
      </c>
      <c r="Q1261" s="53">
        <v>7.0381034181521214</v>
      </c>
      <c r="R1261" s="53">
        <v>13.903858416633833</v>
      </c>
      <c r="S1261" s="53">
        <v>17.458659759486352</v>
      </c>
      <c r="T1261" s="53">
        <v>60.927390824755975</v>
      </c>
      <c r="U1261" s="53">
        <v>14.176673144724269</v>
      </c>
      <c r="V1261" s="54">
        <v>148.92333300313581</v>
      </c>
      <c r="W1261" s="54">
        <v>228.32971954956045</v>
      </c>
      <c r="X1261" s="53">
        <v>25.034700794860203</v>
      </c>
      <c r="Y1261" s="55">
        <v>253.25667781150608</v>
      </c>
      <c r="Z1261" s="17" t="str">
        <f>SUBSTITUTE(SUBSTITUTE(SUBSTITUTE(SUBSTITUTE(IF(E1261="","",VLOOKUP(E1261,[1]Esquemas_NORM!$A$2:$H$126,8,FALSE)),"PROVINCIA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61" s="17" t="str">
        <f>IF($E1261="","",INDEX([1]Esquemas_NORM!$H$2:$K$126,MATCH($E1261,[1]Esquemas_NORM!$A$2:$A$126,0),MATCH(AA$4,[1]Esquemas_NORM!$H$1:$K$1,0)))</f>
        <v>Región de Planeación y Gestión de Urabá - RPG (Acuerdo de Voluntades)</v>
      </c>
      <c r="AB1261" s="17" t="str">
        <f>IF($E1261="","",INDEX([1]Esquemas_NORM!$H$2:$K$126,MATCH($E1261,[1]Esquemas_NORM!$A$2:$A$126,0),MATCH(AB$4,[1]Esquemas_NORM!$H$1:$K$1,0)))</f>
        <v>A la fecha no ha conformado un EAT Área Metropolitana</v>
      </c>
      <c r="AC1261" s="17" t="str">
        <f>IF($E1261="","",INDEX([1]Esquemas_NORM!$H$2:$K$126,MATCH($E1261,[1]Esquemas_NORM!$A$2:$A$126,0),MATCH(AC$4,[1]Esquemas_NORM!$H$1:$K$1,0)))</f>
        <v>ASOCIACIÓN DE MUNICIPIOS DEL URABÁ ANTIOQUEÑO - ASOMURA / ASOCIACIÓN DE MUNICIPIOS DEL CHOCÓ Y URABÁ - ASUMUCUR</v>
      </c>
      <c r="AD1261" s="23"/>
    </row>
    <row r="1262" spans="1:30" x14ac:dyDescent="0.25">
      <c r="A1262" s="51">
        <v>2024</v>
      </c>
      <c r="B1262" s="52" t="s">
        <v>36</v>
      </c>
      <c r="C1262" s="52" t="s">
        <v>304</v>
      </c>
      <c r="D1262" s="52" t="s">
        <v>309</v>
      </c>
      <c r="E1262" s="52" t="s">
        <v>325</v>
      </c>
      <c r="F1262" s="52" t="s">
        <v>307</v>
      </c>
      <c r="G1262" s="52" t="s">
        <v>326</v>
      </c>
      <c r="H1262" s="53">
        <v>90.211749833564767</v>
      </c>
      <c r="I1262" s="53">
        <v>0</v>
      </c>
      <c r="J1262" s="54">
        <v>90.211749833564767</v>
      </c>
      <c r="K1262" s="53">
        <v>7.1400512783859913</v>
      </c>
      <c r="L1262" s="53">
        <v>11.330257021330636</v>
      </c>
      <c r="M1262" s="54">
        <v>18.470308299716628</v>
      </c>
      <c r="N1262" s="53">
        <v>4.2742728091026905</v>
      </c>
      <c r="O1262" s="53">
        <v>37.224629923689754</v>
      </c>
      <c r="P1262" s="53">
        <v>11.752666075807303</v>
      </c>
      <c r="Q1262" s="53">
        <v>11.713454405849593</v>
      </c>
      <c r="R1262" s="53">
        <v>15.219112540896605</v>
      </c>
      <c r="S1262" s="53">
        <v>31.093808498074427</v>
      </c>
      <c r="T1262" s="53">
        <v>96.764420894500617</v>
      </c>
      <c r="U1262" s="53">
        <v>14.443655716002999</v>
      </c>
      <c r="V1262" s="54">
        <v>222.48602086392398</v>
      </c>
      <c r="W1262" s="54">
        <v>363.26304192305554</v>
      </c>
      <c r="X1262" s="53">
        <v>39.829162766523865</v>
      </c>
      <c r="Y1262" s="55">
        <v>402.92079082226394</v>
      </c>
      <c r="Z1262" s="17" t="str">
        <f>SUBSTITUTE(SUBSTITUTE(SUBSTITUTE(SUBSTITUTE(IF(E1262="","",VLOOKUP(E1262,[1]Esquemas_NORM!$A$2:$H$126,8,FALSE)),"PROVINCIA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62" s="17" t="str">
        <f>IF($E1262="","",INDEX([1]Esquemas_NORM!$H$2:$K$126,MATCH($E1262,[1]Esquemas_NORM!$A$2:$A$126,0),MATCH(AA$4,[1]Esquemas_NORM!$H$1:$K$1,0)))</f>
        <v>Región de Planeación y Gestión de Urabá - RPG (Acuerdo de Voluntades)</v>
      </c>
      <c r="AB1262" s="17" t="str">
        <f>IF($E1262="","",INDEX([1]Esquemas_NORM!$H$2:$K$126,MATCH($E1262,[1]Esquemas_NORM!$A$2:$A$126,0),MATCH(AB$4,[1]Esquemas_NORM!$H$1:$K$1,0)))</f>
        <v>A la fecha no ha conformado un EAT Área Metropolitana</v>
      </c>
      <c r="AC1262" s="17" t="str">
        <f>IF($E1262="","",INDEX([1]Esquemas_NORM!$H$2:$K$126,MATCH($E1262,[1]Esquemas_NORM!$A$2:$A$126,0),MATCH(AC$4,[1]Esquemas_NORM!$H$1:$K$1,0)))</f>
        <v>ASOCIACIÓN DE MUNICIPIOS DEL URABÁ NORTE-ASOURANOR</v>
      </c>
      <c r="AD1262" s="23"/>
    </row>
    <row r="1263" spans="1:30" x14ac:dyDescent="0.25">
      <c r="A1263" s="51">
        <v>2024</v>
      </c>
      <c r="B1263" s="52" t="s">
        <v>36</v>
      </c>
      <c r="C1263" s="52" t="s">
        <v>304</v>
      </c>
      <c r="D1263" s="52" t="s">
        <v>305</v>
      </c>
      <c r="E1263" s="52" t="s">
        <v>327</v>
      </c>
      <c r="F1263" s="52" t="s">
        <v>307</v>
      </c>
      <c r="G1263" s="52" t="s">
        <v>328</v>
      </c>
      <c r="H1263" s="53">
        <v>627.98437122588086</v>
      </c>
      <c r="I1263" s="53">
        <v>9.1938364043992457E-2</v>
      </c>
      <c r="J1263" s="54">
        <v>628.0763095899249</v>
      </c>
      <c r="K1263" s="53">
        <v>52.105929874357344</v>
      </c>
      <c r="L1263" s="53">
        <v>66.334363712159117</v>
      </c>
      <c r="M1263" s="54">
        <v>118.44029358651646</v>
      </c>
      <c r="N1263" s="53">
        <v>47.169009126938725</v>
      </c>
      <c r="O1263" s="53">
        <v>270.76829758325204</v>
      </c>
      <c r="P1263" s="53">
        <v>73.307496736927092</v>
      </c>
      <c r="Q1263" s="53">
        <v>69.393594003019913</v>
      </c>
      <c r="R1263" s="53">
        <v>117.09424671205878</v>
      </c>
      <c r="S1263" s="53">
        <v>194.51100587156253</v>
      </c>
      <c r="T1263" s="53">
        <v>571.84210565267779</v>
      </c>
      <c r="U1263" s="53">
        <v>93.421212299450929</v>
      </c>
      <c r="V1263" s="54">
        <v>1437.5069679858875</v>
      </c>
      <c r="W1263" s="54">
        <v>2426.1184055589993</v>
      </c>
      <c r="X1263" s="53">
        <v>266.00631970244103</v>
      </c>
      <c r="Y1263" s="55">
        <v>2690.9799065200118</v>
      </c>
      <c r="Z1263" s="17" t="str">
        <f>SUBSTITUTE(SUBSTITUTE(SUBSTITUTE(SUBSTITUTE(IF(E1263="","",VLOOKUP(E1263,[1]Esquemas_NORM!$A$2:$H$126,8,FALSE)),"PROVINCIA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63" s="17" t="str">
        <f>IF($E1263="","",INDEX([1]Esquemas_NORM!$H$2:$K$126,MATCH($E1263,[1]Esquemas_NORM!$A$2:$A$126,0),MATCH(AA$4,[1]Esquemas_NORM!$H$1:$K$1,0)))</f>
        <v>Región de Planeación y Gestión de Urabá - RPG (Acuerdo de Voluntades)</v>
      </c>
      <c r="AB1263" s="17" t="str">
        <f>IF($E1263="","",INDEX([1]Esquemas_NORM!$H$2:$K$126,MATCH($E1263,[1]Esquemas_NORM!$A$2:$A$126,0),MATCH(AB$4,[1]Esquemas_NORM!$H$1:$K$1,0)))</f>
        <v>A la fecha no ha conformado un EAT Área Metropolitana</v>
      </c>
      <c r="AC1263" s="17" t="str">
        <f>IF($E1263="","",INDEX([1]Esquemas_NORM!$H$2:$K$126,MATCH($E1263,[1]Esquemas_NORM!$A$2:$A$126,0),MATCH(AC$4,[1]Esquemas_NORM!$H$1:$K$1,0)))</f>
        <v>ASOCIACIÓN DE MUNICIPIOS DEL URABÁ ANTIOQUEÑO - ASOMURA</v>
      </c>
      <c r="AD1263" s="23"/>
    </row>
    <row r="1264" spans="1:30" ht="15.75" thickBot="1" x14ac:dyDescent="0.3">
      <c r="A1264" s="61">
        <v>2024</v>
      </c>
      <c r="B1264" s="62" t="s">
        <v>36</v>
      </c>
      <c r="C1264" s="62" t="s">
        <v>304</v>
      </c>
      <c r="D1264" s="62" t="s">
        <v>316</v>
      </c>
      <c r="E1264" s="62" t="s">
        <v>329</v>
      </c>
      <c r="F1264" s="62" t="s">
        <v>307</v>
      </c>
      <c r="G1264" s="62" t="s">
        <v>330</v>
      </c>
      <c r="H1264" s="63">
        <v>13.855039318345465</v>
      </c>
      <c r="I1264" s="63">
        <v>0</v>
      </c>
      <c r="J1264" s="64">
        <v>13.855039318345465</v>
      </c>
      <c r="K1264" s="63">
        <v>1.0429056767476641</v>
      </c>
      <c r="L1264" s="63">
        <v>2.7322346582986703</v>
      </c>
      <c r="M1264" s="64">
        <v>3.7751403350463342</v>
      </c>
      <c r="N1264" s="63">
        <v>1.7555356400157902</v>
      </c>
      <c r="O1264" s="63">
        <v>8.2264879654243011</v>
      </c>
      <c r="P1264" s="63">
        <v>3.0356440612133282</v>
      </c>
      <c r="Q1264" s="63">
        <v>2.2819240113364745</v>
      </c>
      <c r="R1264" s="63">
        <v>8.0803241678302911</v>
      </c>
      <c r="S1264" s="63">
        <v>9.1638748984987348</v>
      </c>
      <c r="T1264" s="63">
        <v>28.587712137201077</v>
      </c>
      <c r="U1264" s="63">
        <v>5.0314273591800474</v>
      </c>
      <c r="V1264" s="64">
        <v>66.162930240700035</v>
      </c>
      <c r="W1264" s="64">
        <v>86.819279946555397</v>
      </c>
      <c r="X1264" s="63">
        <v>9.5191055328905652</v>
      </c>
      <c r="Y1264" s="65">
        <v>96.29741784218109</v>
      </c>
      <c r="Z1264" s="17" t="str">
        <f>SUBSTITUTE(SUBSTITUTE(SUBSTITUTE(SUBSTITUTE(IF(E1264="","",VLOOKUP(E1264,[1]Esquemas_NORM!$A$2:$H$126,8,FALSE)),"PROVINCIA ADMINISTRATIVA Y DE PLANIFICACIÓN","PAT"),"PROVINCIA ADMINISTRATIVA Y DE PLANIFICACION","PAT"),"PROVINCIA ADMINISTRATIVA DE PLANIFICACION","PAT"),"PROVINCIA ADMINISTRATIVA Y PLANIFICACION","PAT")</f>
        <v>A la fecha no ha conformado un EAT Provincia</v>
      </c>
      <c r="AA1264" s="17" t="str">
        <f>IF($E1264="","",INDEX([1]Esquemas_NORM!$H$2:$K$126,MATCH($E1264,[1]Esquemas_NORM!$A$2:$A$126,0),MATCH(AA$4,[1]Esquemas_NORM!$H$1:$K$1,0)))</f>
        <v>Región de Planeación y Gestión de Urabá - RPG (Acuerdo de Voluntades)</v>
      </c>
      <c r="AB1264" s="17" t="str">
        <f>IF($E1264="","",INDEX([1]Esquemas_NORM!$H$2:$K$126,MATCH($E1264,[1]Esquemas_NORM!$A$2:$A$126,0),MATCH(AB$4,[1]Esquemas_NORM!$H$1:$K$1,0)))</f>
        <v>A la fecha no ha conformado un EAT Área Metropolitana</v>
      </c>
      <c r="AC1264" s="17" t="str">
        <f>IF($E1264="","",INDEX([1]Esquemas_NORM!$H$2:$K$126,MATCH($E1264,[1]Esquemas_NORM!$A$2:$A$126,0),MATCH(AC$4,[1]Esquemas_NORM!$H$1:$K$1,0)))</f>
        <v>ASOCIACION DE MUNICIPIOS DE LA CUENCA DEL ATRATO Y DARIEN ASOATRATO</v>
      </c>
      <c r="AD1264" s="23"/>
    </row>
  </sheetData>
  <autoFilter ref="A4:AC1264" xr:uid="{00000000-0001-0000-0600-000000000000}"/>
  <mergeCells count="2">
    <mergeCell ref="A1:Y1"/>
    <mergeCell ref="A2:Y2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PIB Mpal 2015-2024 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2026-08-04T22:01:59Z</dcterms:created>
  <dcterms:modified xsi:type="dcterms:W3CDTF">2026-08-04T22:02:24Z</dcterms:modified>
</cp:coreProperties>
</file>